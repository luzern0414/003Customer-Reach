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2bfbd80b6c94b1b" /></Relationships>
</file>

<file path=xl/workbook.xml><?xml version="1.0" encoding="utf-8"?>
<x:workbook xmlns:x="http://schemas.openxmlformats.org/spreadsheetml/2006/main">
  <x:sheets>
    <x:sheet xmlns:r="http://schemas.openxmlformats.org/officeDocument/2006/relationships" name="概览" sheetId="1" r:id="R9b5de295b3a24ea1"/>
    <x:sheet xmlns:r="http://schemas.openxmlformats.org/officeDocument/2006/relationships" name="企业资料" sheetId="2" r:id="R403112698fdb4e97"/>
    <x:sheet xmlns:r="http://schemas.openxmlformats.org/officeDocument/2006/relationships" name="财务经营" sheetId="3" r:id="Rf5028055a2ce4e37"/>
    <x:sheet xmlns:r="http://schemas.openxmlformats.org/officeDocument/2006/relationships" name="直接招采" sheetId="4" r:id="R7c7a79d8828c47da"/>
    <x:sheet xmlns:r="http://schemas.openxmlformats.org/officeDocument/2006/relationships" name="关联与待核" sheetId="5" r:id="R4d4ad2f9957b4a95"/>
    <x:sheet xmlns:r="http://schemas.openxmlformats.org/officeDocument/2006/relationships" name="原始记录" sheetId="6" r:id="R67b397c3c13b4c73"/>
    <x:sheet xmlns:r="http://schemas.openxmlformats.org/officeDocument/2006/relationships" name="来源覆盖" sheetId="7" r:id="R83a52552e8a1404b"/>
    <x:sheet xmlns:r="http://schemas.openxmlformats.org/officeDocument/2006/relationships" name="清洗审计" sheetId="8" r:id="R689b429bcdb840a6"/>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yyyy-mm-dd"/>
    <x:numFmt numFmtId="201" formatCode="@"/>
    <x:numFmt numFmtId="202" formatCode="#,##0"/>
    <x:numFmt numFmtId="203" formatCode="#,##0.####"/>
    <x:numFmt numFmtId="204" formatCode="yyyy-mm-dd hh:mm:ss"/>
    <x:numFmt numFmtId="205" formatCode="#,##0.00"/>
  </x:numFmts>
  <x:fonts count="9">
    <x:font>
      <x:sz val="11"/>
      <x:name val="Carlito"/>
    </x:font>
    <x:font>
      <x:b/>
      <x:sz val="15"/>
      <x:color rgb="FF20344A"/>
      <x:name val="Microsoft YaHei"/>
    </x:font>
    <x:font>
      <x:sz val="10"/>
      <x:color rgb="FF5C6B79"/>
      <x:name val="Microsoft YaHei"/>
    </x:font>
    <x:font>
      <x:sz val="11"/>
      <x:color rgb="FF243447"/>
      <x:name val="Microsoft YaHei"/>
    </x:font>
    <x:font>
      <x:b/>
      <x:sz val="11"/>
      <x:color rgb="FFFFFFFF"/>
      <x:name val="Microsoft YaHei"/>
    </x:font>
    <x:font>
      <x:b/>
      <x:sz val="13"/>
      <x:color rgb="FF20344A"/>
      <x:name val="Microsoft YaHei"/>
    </x:font>
    <x:font>
      <x:sz val="11"/>
      <x:color rgb="FF175FA5"/>
      <x:name val="Microsoft YaHei"/>
    </x:font>
    <x:font>
      <x:b/>
      <x:sz val="16"/>
      <x:color rgb="FF20344A"/>
      <x:name val="Microsoft YaHei"/>
    </x:font>
    <x:font>
      <x:b/>
      <x:sz val="12"/>
      <x:color rgb="FF20344A"/>
      <x:name val="Microsoft YaHei"/>
    </x:font>
  </x:fonts>
  <x:fills count="3">
    <x:fill>
      <x:patternFill patternType="none"/>
    </x:fill>
    <x:fill>
      <x:patternFill patternType="gray125"/>
    </x:fill>
    <x:fill>
      <x:patternFill patternType="solid">
        <x:fgColor rgb="FF294C70"/>
      </x:patternFill>
    </x:fill>
  </x:fills>
  <x:borders count="5">
    <x:border>
      <x:left/>
      <x:right/>
      <x:top/>
      <x:bottom/>
      <x:diagonal/>
    </x:border>
    <x:border>
      <x:left/>
      <x:right/>
      <x:top/>
      <x:bottom style="thin">
        <x:color rgb="FF9CAFC0"/>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37">
    <x:xf numFmtId="0" fontId="0" fillId="0" borderId="0" xfId="0"/>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200" fontId="3" fillId="0" borderId="0" xfId="0" applyNumberFormat="1" applyFont="1" applyFill="1" applyBorder="1" applyAlignment="1">
      <x:alignment vertical="center" wrapText="1"/>
    </x:xf>
    <x:xf numFmtId="201" fontId="3" fillId="0" borderId="0" xfId="0" applyNumberFormat="1" applyFont="1" applyFill="1" applyBorder="1" applyAlignment="1">
      <x:alignment vertical="center" wrapText="1"/>
    </x:xf>
    <x:xf numFmtId="202" fontId="3" fillId="0" borderId="0" xfId="0" applyNumberFormat="1" applyFont="1" applyFill="1" applyBorder="1" applyAlignment="1">
      <x:alignment vertical="center" wrapText="1"/>
    </x:xf>
    <x:xf numFmtId="203" fontId="3" fillId="0" borderId="0" xfId="0" applyNumberFormat="1" applyFont="1" applyFill="1" applyBorder="1" applyAlignment="1">
      <x:alignment vertical="center" wrapText="1"/>
    </x:xf>
    <x:xf numFmtId="203" fontId="3" fillId="0" borderId="0" xfId="0" applyNumberFormat="1" applyFont="1" applyFill="1" applyBorder="1" applyAlignment="1">
      <x:alignment horizontal="right" vertical="center" wrapText="1"/>
    </x:xf>
    <x:xf numFmtId="202" fontId="3" fillId="0" borderId="0" xfId="0" applyNumberFormat="1" applyFont="1" applyFill="1" applyBorder="1" applyAlignment="1">
      <x:alignment horizontal="right" vertical="center" wrapText="1"/>
    </x:xf>
    <x:xf numFmtId="204" fontId="3" fillId="0" borderId="0" xfId="0" applyNumberFormat="1" applyFont="1" applyFill="1" applyBorder="1" applyAlignment="1">
      <x:alignment vertical="center" wrapText="1"/>
    </x:xf>
    <x:xf numFmtId="0" fontId="5" fillId="0" borderId="0" xfId="0" applyNumberFormat="1" applyFont="1" applyFill="1" applyBorder="1"/>
    <x:xf numFmtId="0" fontId="3" fillId="0" borderId="0" xfId="0" applyNumberFormat="1" applyFont="1" applyFill="1" applyBorder="1" applyAlignment="1">
      <x:alignment wrapText="1"/>
    </x:xf>
    <x:xf numFmtId="0" fontId="3" fillId="2" borderId="0" xfId="0" applyNumberFormat="1" applyFont="1" applyFill="1" applyBorder="1" applyAlignment="1">
      <x:alignment wrapText="1"/>
    </x:xf>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200" fontId="3" fillId="0" borderId="0" xfId="0" applyNumberFormat="1" applyFont="1" applyFill="1" applyBorder="1" applyAlignment="1">
      <x:alignment wrapText="1"/>
    </x:xf>
    <x:xf numFmtId="0" fontId="6" fillId="0" borderId="0" xfId="0" applyNumberFormat="1" applyFont="1" applyFill="1" applyBorder="1" applyAlignment="1">
      <x:alignment wrapText="1"/>
    </x:xf>
    <x:xf numFmtId="0" fontId="7" fillId="0" borderId="0" xfId="0" applyNumberFormat="1" applyFont="1" applyFill="1" applyBorder="1"/>
    <x:xf numFmtId="0" fontId="7" fillId="0" borderId="1" xfId="0" applyNumberFormat="1" applyFont="1" applyFill="1" applyBorder="1"/>
    <x:xf numFmtId="0" fontId="3"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center"/>
    </x:xf>
    <x:xf numFmtId="202" fontId="3" fillId="0" borderId="0" xfId="0" applyNumberFormat="1" applyFont="1" applyFill="1" applyBorder="1"/>
    <x:xf numFmtId="205" fontId="3" fillId="0" borderId="0" xfId="0" applyNumberFormat="1" applyFont="1" applyFill="1" applyBorder="1"/>
    <x:xf numFmtId="202" fontId="3" fillId="0" borderId="0" xfId="0" applyNumberFormat="1" applyFont="1" applyFill="1" applyBorder="1" applyAlignment="1">
      <x:alignment horizontal="center"/>
    </x:xf>
    <x:xf numFmtId="202" fontId="3" fillId="0" borderId="0" xfId="0" applyNumberFormat="1" applyFont="1" applyFill="1" applyBorder="1" applyAlignment="1">
      <x:alignment horizontal="center" wrapText="1"/>
    </x:xf>
    <x:xf numFmtId="0" fontId="8" fillId="0" borderId="0" xfId="0" applyNumberFormat="1" applyFont="1" applyFill="1" applyBorder="1"/>
  </x:cellXfs>
  <x:cellStyles count="1">
    <x:cellStyle name="Normal" xfId="0"/>
  </x:cellStyles>
  <x:dxfs count="1">
    <x:dxf>
      <x:font>
        <x:color rgb="FF8A5A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17ffa8cdf3f4a98" /><Relationship Type="http://schemas.openxmlformats.org/officeDocument/2006/relationships/theme" Target="/xl/theme/theme1.xml" Id="R5230844336374430" /><Relationship Type="http://schemas.openxmlformats.org/officeDocument/2006/relationships/sharedStrings" Target="/xl/sharedStrings.xml" Id="R25e87b130a5e4e84" /><Relationship Type="http://schemas.openxmlformats.org/officeDocument/2006/relationships/worksheet" Target="/xl/worksheets/sheet1.xml" Id="R9b5de295b3a24ea1" /><Relationship Type="http://schemas.openxmlformats.org/officeDocument/2006/relationships/worksheet" Target="/xl/worksheets/sheet2.xml" Id="R403112698fdb4e97" /><Relationship Type="http://schemas.openxmlformats.org/officeDocument/2006/relationships/worksheet" Target="/xl/worksheets/sheet3.xml" Id="Rf5028055a2ce4e37" /><Relationship Type="http://schemas.openxmlformats.org/officeDocument/2006/relationships/worksheet" Target="/xl/worksheets/sheet4.xml" Id="R7c7a79d8828c47da" /><Relationship Type="http://schemas.openxmlformats.org/officeDocument/2006/relationships/worksheet" Target="/xl/worksheets/sheet5.xml" Id="R4d4ad2f9957b4a95" /><Relationship Type="http://schemas.openxmlformats.org/officeDocument/2006/relationships/worksheet" Target="/xl/worksheets/sheet6.xml" Id="R67b397c3c13b4c73" /><Relationship Type="http://schemas.openxmlformats.org/officeDocument/2006/relationships/worksheet" Target="/xl/worksheets/sheet7.xml" Id="R83a52552e8a1404b" /><Relationship Type="http://schemas.openxmlformats.org/officeDocument/2006/relationships/worksheet" Target="/xl/worksheets/sheet8.xml" Id="R689b429bcdb840a6" /></Relationships>
</file>

<file path=xl/tables/table1.xml><?xml version="1.0" encoding="utf-8"?>
<x:table xmlns:x="http://schemas.openxmlformats.org/spreadsheetml/2006/main" id="1" name="CompanyFacts" displayName="CompanyFacts" ref="A5:M207" headerRowCount="1" totalsRowCount="0" totalsRowShown="0">
  <x:autoFilter ref="A5:M207"/>
  <x:tableColumns count="13">
    <x:tableColumn id="1" name="记录ID"/>
    <x:tableColumn id="2" name="企业主体"/>
    <x:tableColumn id="3" name="主体范围"/>
    <x:tableColumn id="4" name="类别"/>
    <x:tableColumn id="5" name="字段"/>
    <x:tableColumn id="6" name="数值或内容"/>
    <x:tableColumn id="7" name="原单位"/>
    <x:tableColumn id="8" name="资料时点"/>
    <x:tableColumn id="9" name="披露或发布日"/>
    <x:tableColumn id="10" name="来源编号"/>
    <x:tableColumn id="11" name="核验状态"/>
    <x:tableColumn id="12" name="联系方式状态"/>
    <x:tableColumn id="13" name="限定说明"/>
  </x:tableColumns>
  <x:tableStyleInfo name="TableStyleMedium2" showFirstColumn="0" showLastColumn="0" showRowStripes="1" showColumnStripes="0"/>
</x:table>
</file>

<file path=xl/tables/table2.xml><?xml version="1.0" encoding="utf-8"?>
<x:table xmlns:x="http://schemas.openxmlformats.org/spreadsheetml/2006/main" id="2" name="FinancialFacts" displayName="FinancialFacts" ref="A5:M120" headerRowCount="1" totalsRowCount="0" totalsRowShown="0">
  <x:autoFilter ref="A5:M120"/>
  <x:tableColumns count="13">
    <x:tableColumn id="1" name="记录ID"/>
    <x:tableColumn id="2" name="企业主体"/>
    <x:tableColumn id="3" name="类别"/>
    <x:tableColumn id="4" name="指标"/>
    <x:tableColumn id="5" name="报告期或时点"/>
    <x:tableColumn id="6" name="原数值"/>
    <x:tableColumn id="7" name="原单位"/>
    <x:tableColumn id="8" name="标准数值"/>
    <x:tableColumn id="9" name="标准单位"/>
    <x:tableColumn id="10" name="披露日"/>
    <x:tableColumn id="11" name="来源编号"/>
    <x:tableColumn id="12" name="核验状态"/>
    <x:tableColumn id="13" name="统计口径"/>
  </x:tableColumns>
  <x:tableStyleInfo name="TableStyleMedium2" showFirstColumn="0" showLastColumn="0" showRowStripes="1" showColumnStripes="0"/>
</x:table>
</file>

<file path=xl/tables/table3.xml><?xml version="1.0" encoding="utf-8"?>
<x:table xmlns:x="http://schemas.openxmlformats.org/spreadsheetml/2006/main" id="3" name="DirectTenders" displayName="DirectTenders" ref="A5:AA22" headerRowCount="1" totalsRowCount="0" totalsRowShown="0">
  <x:autoFilter ref="A5:AA22"/>
  <x:tableColumns count="27">
    <x:tableColumn id="1" name="记录ID"/>
    <x:tableColumn id="2" name="比亚迪主体"/>
    <x:tableColumn id="3" name="主体角色"/>
    <x:tableColumn id="4" name="公告阶段"/>
    <x:tableColumn id="5" name="项目名称"/>
    <x:tableColumn id="6" name="项目编号"/>
    <x:tableColumn id="7" name="项目族或去重键"/>
    <x:tableColumn id="8" name="原公告日期"/>
    <x:tableColumn id="9" name="平台发布日期"/>
    <x:tableColumn id="10" name="投标截止"/>
    <x:tableColumn id="11" name="截至核查日状态"/>
    <x:tableColumn id="12" name="采购人"/>
    <x:tableColumn id="13" name="采购代理"/>
    <x:tableColumn id="14" name="供应商或候选人"/>
    <x:tableColumn id="15" name="地区"/>
    <x:tableColumn id="16" name="原文金额"/>
    <x:tableColumn id="17" name="金额数值"/>
    <x:tableColumn id="18" name="金额单位"/>
    <x:tableColumn id="19" name="币种"/>
    <x:tableColumn id="20" name="金额性质"/>
    <x:tableColumn id="21" name="联系人"/>
    <x:tableColumn id="22" name="电话原文"/>
    <x:tableColumn id="23" name="邮箱原文"/>
    <x:tableColumn id="24" name="联系人归属"/>
    <x:tableColumn id="25" name="来源编号"/>
    <x:tableColumn id="26" name="核验状态"/>
    <x:tableColumn id="27" name="限定说明"/>
  </x:tableColumns>
  <x:tableStyleInfo name="TableStyleMedium2" showFirstColumn="0" showLastColumn="0" showRowStripes="1" showColumnStripes="0"/>
</x:table>
</file>

<file path=xl/tables/table4.xml><?xml version="1.0" encoding="utf-8"?>
<x:table xmlns:x="http://schemas.openxmlformats.org/spreadsheetml/2006/main" id="4" name="RelatedRecords" displayName="RelatedRecords" ref="A5:K96" headerRowCount="1" totalsRowCount="0" totalsRowShown="0">
  <x:autoFilter ref="A5:K96"/>
  <x:tableColumns count="11">
    <x:tableColumn id="1" name="记录ID"/>
    <x:tableColumn id="2" name="数据类型"/>
    <x:tableColumn id="3" name="主体或涉及名称"/>
    <x:tableColumn id="4" name="角色或类别"/>
    <x:tableColumn id="5" name="项目或字段"/>
    <x:tableColumn id="6" name="数值或摘要"/>
    <x:tableColumn id="7" name="原单位"/>
    <x:tableColumn id="8" name="公告日或资料时点"/>
    <x:tableColumn id="9" name="来源编号"/>
    <x:tableColumn id="10" name="状态"/>
    <x:tableColumn id="11" name="关联与限制"/>
  </x:tableColumns>
  <x:tableStyleInfo name="TableStyleMedium2" showFirstColumn="0" showLastColumn="0" showRowStripes="1" showColumnStripes="0"/>
</x:table>
</file>

<file path=xl/tables/table5.xml><?xml version="1.0" encoding="utf-8"?>
<x:table xmlns:x="http://schemas.openxmlformats.org/spreadsheetml/2006/main" id="5" name="RawEvidence" displayName="RawEvidence" ref="A5:L451" headerRowCount="1" totalsRowCount="0" totalsRowShown="0">
  <x:autoFilter ref="A5:L451"/>
  <x:tableColumns count="12">
    <x:tableColumn id="1" name="原始记录ID"/>
    <x:tableColumn id="2" name="类型"/>
    <x:tableColumn id="3" name="分段号"/>
    <x:tableColumn id="4" name="原始主体"/>
    <x:tableColumn id="5" name="原始项目或字段"/>
    <x:tableColumn id="6" name="原值或金额"/>
    <x:tableColumn id="7" name="原单位"/>
    <x:tableColumn id="8" name="原始发布日期"/>
    <x:tableColumn id="9" name="原始证据引句"/>
    <x:tableColumn id="10" name="来源编号"/>
    <x:tableColumn id="11" name="清洗结论"/>
    <x:tableColumn id="12" name="原因"/>
  </x:tableColumns>
  <x:tableStyleInfo name="TableStyleMedium2" showFirstColumn="0" showLastColumn="0" showRowStripes="1" showColumnStripes="0"/>
</x:table>
</file>

<file path=xl/tables/table6.xml><?xml version="1.0" encoding="utf-8"?>
<x:table xmlns:x="http://schemas.openxmlformats.org/spreadsheetml/2006/main" id="6" name="PlatformCoverage" displayName="PlatformCoverage" ref="A5:I22" headerRowCount="1" totalsRowCount="0" totalsRowShown="0">
  <x:autoFilter ref="A5:I22"/>
  <x:tableColumns count="9">
    <x:tableColumn id="1" name="平台"/>
    <x:tableColumn id="2" name="域名"/>
    <x:tableColumn id="3" name="本轮核查情况"/>
    <x:tableColumn id="4" name="采用源文件数"/>
    <x:tableColumn id="5" name="核验字段数"/>
    <x:tableColumn id="6" name="直接公告数"/>
    <x:tableColumn id="7" name="关联或待核数"/>
    <x:tableColumn id="8" name="检索与读取方式"/>
    <x:tableColumn id="9" name="限制"/>
  </x:tableColumns>
  <x:tableStyleInfo name="TableStyleMedium2" showFirstColumn="0" showLastColumn="0" showRowStripes="1" showColumnStripes="0"/>
</x:table>
</file>

<file path=xl/tables/table7.xml><?xml version="1.0" encoding="utf-8"?>
<x:table xmlns:x="http://schemas.openxmlformats.org/spreadsheetml/2006/main" id="7" name="SourceIndex" displayName="SourceIndex" ref="A26:G107" headerRowCount="1" totalsRowCount="0" totalsRowShown="0">
  <x:autoFilter ref="A26:G107"/>
  <x:tableColumns count="7">
    <x:tableColumn id="1" name="来源编号"/>
    <x:tableColumn id="2" name="平台"/>
    <x:tableColumn id="3" name="标题"/>
    <x:tableColumn id="4" name="平台发布日期"/>
    <x:tableColumn id="5" name="证据类型"/>
    <x:tableColumn id="6" name="使用情况"/>
    <x:tableColumn id="7" name="原始URL"/>
  </x:tableColumns>
  <x:tableStyleInfo name="TableStyleMedium2" showFirstColumn="0" showLastColumn="0" showRowStripes="1" showColumnStripes="0"/>
</x:table>
</file>

<file path=xl/tables/table8.xml><?xml version="1.0" encoding="utf-8"?>
<x:table xmlns:x="http://schemas.openxmlformats.org/spreadsheetml/2006/main" id="8" name="CleaningAudit" displayName="CleaningAudit" ref="A5:H212" headerRowCount="1" totalsRowCount="0" totalsRowShown="0">
  <x:autoFilter ref="A5:H212"/>
  <x:tableColumns count="8">
    <x:tableColumn id="1" name="处理类型"/>
    <x:tableColumn id="2" name="来源编号"/>
    <x:tableColumn id="3" name="原始记录ID"/>
    <x:tableColumn id="4" name="涉及字段或项目"/>
    <x:tableColumn id="5" name="纠正前"/>
    <x:tableColumn id="6" name="纠正后或归档"/>
    <x:tableColumn id="7" name="理由"/>
    <x:tableColumn id="8" name="核验出处"/>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c0efe57cb0e477d" /></Relationships>
</file>

<file path=xl/worksheets/_rels/sheet3.xml.rels>&#65279;<?xml version="1.0" encoding="utf-8"?><Relationships xmlns="http://schemas.openxmlformats.org/package/2006/relationships"><Relationship Type="http://schemas.openxmlformats.org/officeDocument/2006/relationships/table" Target="/xl/tables/table2.xml" Id="R10161df0f12a4067" /></Relationships>
</file>

<file path=xl/worksheets/_rels/sheet4.xml.rels>&#65279;<?xml version="1.0" encoding="utf-8"?><Relationships xmlns="http://schemas.openxmlformats.org/package/2006/relationships"><Relationship Type="http://schemas.openxmlformats.org/officeDocument/2006/relationships/table" Target="/xl/tables/table3.xml" Id="Rbf369620cd1b4a58" /></Relationships>
</file>

<file path=xl/worksheets/_rels/sheet5.xml.rels>&#65279;<?xml version="1.0" encoding="utf-8"?><Relationships xmlns="http://schemas.openxmlformats.org/package/2006/relationships"><Relationship Type="http://schemas.openxmlformats.org/officeDocument/2006/relationships/table" Target="/xl/tables/table4.xml" Id="R9698e7bed60744da" /></Relationships>
</file>

<file path=xl/worksheets/_rels/sheet6.xml.rels>&#65279;<?xml version="1.0" encoding="utf-8"?><Relationships xmlns="http://schemas.openxmlformats.org/package/2006/relationships"><Relationship Type="http://schemas.openxmlformats.org/officeDocument/2006/relationships/table" Target="/xl/tables/table5.xml" Id="R5df0a785e9934e6b" /></Relationships>
</file>

<file path=xl/worksheets/_rels/sheet7.xml.rels>&#65279;<?xml version="1.0" encoding="utf-8"?><Relationships xmlns="http://schemas.openxmlformats.org/package/2006/relationships"><Relationship Type="http://schemas.openxmlformats.org/officeDocument/2006/relationships/table" Target="/xl/tables/table6.xml" Id="R8ba2d37e9bf94a26" /><Relationship Type="http://schemas.openxmlformats.org/officeDocument/2006/relationships/table" Target="/xl/tables/table7.xml" Id="R8334e6a18c3242e6" /></Relationships>
</file>

<file path=xl/worksheets/_rels/sheet8.xml.rels>&#65279;<?xml version="1.0" encoding="utf-8"?><Relationships xmlns="http://schemas.openxmlformats.org/package/2006/relationships"><Relationship Type="http://schemas.openxmlformats.org/officeDocument/2006/relationships/table" Target="/xl/tables/table8.xml" Id="R2faa982bbc0346bc" /></Relationships>
</file>

<file path=xl/worksheets/sheet1.xml><?xml version="1.0" encoding="utf-8"?>
<x:worksheet xmlns:x="http://schemas.openxmlformats.org/spreadsheetml/2006/main">
  <x:sheetPr>
    <x:tabColor rgb="FF294C70"/>
  </x:sheetPr>
  <x:sheetViews>
    <x:sheetView showGridLines="0" workbookViewId="0"/>
  </x:sheetViews>
  <x:sheetFormatPr defaultRowHeight="15"/>
  <x:cols>
    <x:col min="1" max="1" width="34" hidden="0" customWidth="1"/>
    <x:col min="2" max="2" width="25" hidden="0" customWidth="1"/>
    <x:col min="3" max="3" width="34" hidden="0" customWidth="1"/>
    <x:col min="4" max="4" width="70" hidden="0" customWidth="1"/>
    <x:col min="5" max="5" width="12" hidden="0" customWidth="1"/>
    <x:col min="6" max="6" width="12" hidden="0" customWidth="1"/>
    <x:col min="7" max="7" width="12" hidden="0" customWidth="1"/>
    <x:col min="8" max="8" width="12" hidden="0" customWidth="1"/>
  </x:cols>
  <x:sheetData>
    <x:row r="1">
      <x:c r="A1" s="4"/>
      <x:c r="B1" s="4"/>
      <x:c r="C1" s="4"/>
      <x:c r="D1" s="4"/>
      <x:c r="E1" s="4"/>
      <x:c r="F1" s="4"/>
      <x:c r="G1" s="4"/>
      <x:c r="H1" s="4"/>
    </x:row>
    <x:row r="2" ht="30" customHeight="1">
      <x:c r="A2" s="28" t="str">
        <x:v>比亚迪近一年企业与招采数据</x:v>
      </x:c>
      <x:c r="B2" s="28"/>
      <x:c r="C2" s="28"/>
      <x:c r="D2" s="28"/>
      <x:c r="E2" s="28"/>
      <x:c r="F2" s="28"/>
      <x:c r="G2" s="28"/>
      <x:c r="H2" s="28"/>
    </x:row>
    <x:row r="3" ht="24" customHeight="1">
      <x:c r="A3" s="3" t="str">
        <x:v>发布窗口：2025-10-08 至 2026-10-08；报告统计期按各行说明，非滚动一年财务合计。</x:v>
      </x:c>
      <x:c r="B3" s="3"/>
      <x:c r="C3" s="3"/>
      <x:c r="D3" s="3"/>
      <x:c r="E3" s="3"/>
      <x:c r="F3" s="3"/>
      <x:c r="G3" s="3"/>
      <x:c r="H3" s="3"/>
    </x:row>
    <x:row r="4">
      <x:c r="A4" s="4"/>
      <x:c r="B4" s="4"/>
      <x:c r="C4" s="4"/>
      <x:c r="D4" s="4"/>
      <x:c r="E4" s="4"/>
      <x:c r="F4" s="4"/>
      <x:c r="G4" s="4"/>
      <x:c r="H4" s="4"/>
    </x:row>
    <x:row r="5" ht="32" customHeight="1">
      <x:c r="A5" s="31" t="str">
        <x:v>数据范围</x:v>
      </x:c>
      <x:c r="B5" s="31" t="str">
        <x:v>记录数</x:v>
      </x:c>
      <x:c r="C5" s="4"/>
      <x:c r="D5" s="31" t="str">
        <x:v>数据范围</x:v>
      </x:c>
      <x:c r="E5" s="31" t="str">
        <x:v>记录数</x:v>
      </x:c>
      <x:c r="F5" s="4"/>
      <x:c r="G5" s="4"/>
      <x:c r="H5" s="4"/>
    </x:row>
    <x:row r="6" ht="32" customHeight="1">
      <x:c r="A6" s="4" t="str">
        <x:v>企业/采购主体字段</x:v>
      </x:c>
      <x:c r="B6" s="32" t="n">
        <x:f>COUNTA('企业资料'!A6:A207)</x:f>
        <x:v>202</x:v>
      </x:c>
      <x:c r="C6" s="4"/>
      <x:c r="D6" s="4" t="str">
        <x:v>财务经营指标</x:v>
      </x:c>
      <x:c r="E6" s="32" t="n">
        <x:f>COUNTA('财务经营'!A6:A120)</x:f>
        <x:v>115</x:v>
      </x:c>
      <x:c r="F6" s="4"/>
      <x:c r="G6" s="4"/>
      <x:c r="H6" s="4"/>
    </x:row>
    <x:row r="7" ht="32" customHeight="1">
      <x:c r="A7" s="4" t="str">
        <x:v>主体直接招采公告</x:v>
      </x:c>
      <x:c r="B7" s="32" t="n">
        <x:f>COUNTA('直接招采'!A6:A22)</x:f>
        <x:v>17</x:v>
      </x:c>
      <x:c r="C7" s="4"/>
      <x:c r="D7" s="4" t="str">
        <x:v>关联及待核记录</x:v>
      </x:c>
      <x:c r="E7" s="32" t="n">
        <x:f>COUNTA('关联与待核'!A6:A96)</x:f>
        <x:v>91</x:v>
      </x:c>
      <x:c r="F7" s="4"/>
      <x:c r="G7" s="4"/>
      <x:c r="H7" s="4"/>
    </x:row>
    <x:row r="8" ht="32" customHeight="1">
      <x:c r="A8" s="4" t="str">
        <x:v>原始独立记录</x:v>
      </x:c>
      <x:c r="B8" s="32" t="n">
        <x:f>COUNTIFS('原始记录'!C6:C451,1)</x:f>
        <x:v>429</x:v>
      </x:c>
      <x:c r="C8" s="4"/>
      <x:c r="D8" s="4" t="str">
        <x:v>原始来源页面/文件</x:v>
      </x:c>
      <x:c r="E8" s="32" t="n">
        <x:v>81</x:v>
      </x:c>
      <x:c r="F8" s="4"/>
      <x:c r="G8" s="4"/>
      <x:c r="H8" s="4"/>
    </x:row>
    <x:row r="9">
      <x:c r="A9" s="4"/>
      <x:c r="B9" s="4"/>
      <x:c r="C9" s="4"/>
      <x:c r="D9" s="4"/>
      <x:c r="E9" s="4"/>
      <x:c r="F9" s="4"/>
      <x:c r="G9" s="4"/>
      <x:c r="H9" s="4"/>
    </x:row>
    <x:row r="10" ht="40" customHeight="1">
      <x:c r="A10" s="24" t="str">
        <x:v>财务报告期</x:v>
      </x:c>
      <x:c r="B10" s="24" t="str">
        <x:v>营业收入（亿元）</x:v>
      </x:c>
      <x:c r="C10" s="24" t="str">
        <x:v>归母净利（亿元）</x:v>
      </x:c>
      <x:c r="D10" s="24" t="str">
        <x:v>经营现金流（亿元）</x:v>
      </x:c>
      <x:c r="E10" s="4"/>
      <x:c r="F10" s="4"/>
      <x:c r="G10" s="4"/>
      <x:c r="H10" s="4"/>
    </x:row>
    <x:row r="11" ht="30" customHeight="1">
      <x:c r="A11" s="4" t="str">
        <x:v>2025年前三季度</x:v>
      </x:c>
      <x:c r="B11" s="33" t="n">
        <x:f>'财务经营'!H72/100000000</x:f>
        <x:v>5662.65546</x:v>
      </x:c>
      <x:c r="C11" s="33" t="n">
        <x:f>'财务经营'!H70/100000000</x:f>
        <x:v>233.33173</x:v>
      </x:c>
      <x:c r="D11" s="33" t="n">
        <x:f>'财务经营'!H71/100000000</x:f>
        <x:v>408.45498</x:v>
      </x:c>
      <x:c r="E11" s="4"/>
      <x:c r="F11" s="4"/>
      <x:c r="G11" s="4"/>
      <x:c r="H11" s="4"/>
    </x:row>
    <x:row r="12" ht="30" customHeight="1">
      <x:c r="A12" s="4" t="str">
        <x:v>2025年全年</x:v>
      </x:c>
      <x:c r="B12" s="33" t="n">
        <x:f>'财务经营'!H89/100000000</x:f>
        <x:v>8039.64958</x:v>
      </x:c>
      <x:c r="C12" s="33" t="n">
        <x:f>'财务经营'!H78/100000000</x:f>
        <x:v>326.19022</x:v>
      </x:c>
      <x:c r="D12" s="33" t="n">
        <x:f>'财务经营'!H86/100000000</x:f>
        <x:v>591.35544</x:v>
      </x:c>
      <x:c r="E12" s="4"/>
      <x:c r="F12" s="4"/>
      <x:c r="G12" s="4"/>
      <x:c r="H12" s="4"/>
    </x:row>
    <x:row r="13" ht="30" customHeight="1">
      <x:c r="A13" s="4" t="str">
        <x:v>2026年上半年</x:v>
      </x:c>
      <x:c r="B13" s="33" t="n">
        <x:f>'财务经营'!H115/100000000</x:f>
        <x:v>3448.15421</x:v>
      </x:c>
      <x:c r="C13" s="33" t="n">
        <x:f>'财务经营'!H104/100000000</x:f>
        <x:v>123.25408</x:v>
      </x:c>
      <x:c r="D13" s="33" t="n">
        <x:f>'财务经营'!H112/100000000</x:f>
        <x:v>373.34744</x:v>
      </x:c>
      <x:c r="E13" s="4"/>
      <x:c r="F13" s="4"/>
      <x:c r="G13" s="4"/>
      <x:c r="H13" s="4"/>
    </x:row>
    <x:row r="14">
      <x:c r="A14" s="4"/>
      <x:c r="B14" s="4"/>
      <x:c r="C14" s="4"/>
      <x:c r="D14" s="4"/>
      <x:c r="E14" s="4"/>
      <x:c r="F14" s="4"/>
      <x:c r="G14" s="4"/>
      <x:c r="H14" s="4"/>
    </x:row>
    <x:row r="15" ht="34" customHeight="1">
      <x:c r="A15" s="30" t="str">
        <x:v>2026年9月产销</x:v>
      </x:c>
      <x:c r="B15" s="30" t="str">
        <x:v>数量或规模</x:v>
      </x:c>
      <x:c r="C15" s="30" t="str">
        <x:v>指标</x:v>
      </x:c>
      <x:c r="D15" s="30" t="str">
        <x:v>数量或规模</x:v>
      </x:c>
      <x:c r="E15" s="4"/>
      <x:c r="F15" s="4"/>
      <x:c r="G15" s="4"/>
      <x:c r="H15" s="4"/>
    </x:row>
    <x:row r="16" ht="30" customHeight="1">
      <x:c r="A16" s="4" t="str">
        <x:v>新能源汽车销量</x:v>
      </x:c>
      <x:c r="B16" s="32" t="n">
        <x:f>'财务经营'!H34</x:f>
        <x:v>463561</x:v>
      </x:c>
      <x:c r="C16" s="4" t="str">
        <x:v>当月出口量</x:v>
      </x:c>
      <x:c r="D16" s="32" t="n">
        <x:f>'财务经营'!H33</x:f>
        <x:v>180700</x:v>
      </x:c>
      <x:c r="E16" s="4"/>
      <x:c r="F16" s="4"/>
      <x:c r="G16" s="4"/>
      <x:c r="H16" s="4"/>
    </x:row>
    <x:row r="17" ht="30" customHeight="1">
      <x:c r="A17" s="4" t="str">
        <x:v>1—9月累计销量</x:v>
      </x:c>
      <x:c r="B17" s="32" t="n">
        <x:f>'财务经营'!H18</x:f>
        <x:v>3131576</x:v>
      </x:c>
      <x:c r="C17" s="4" t="str">
        <x:v>当月新能源汽车产量</x:v>
      </x:c>
      <x:c r="D17" s="32" t="n">
        <x:f>'财务经营'!H32</x:f>
        <x:v>463864</x:v>
      </x:c>
      <x:c r="E17" s="4"/>
      <x:c r="F17" s="4"/>
      <x:c r="G17" s="4"/>
      <x:c r="H17" s="4"/>
    </x:row>
    <x:row r="18" ht="30" customHeight="1">
      <x:c r="A18" s="4"/>
      <x:c r="B18" s="4"/>
      <x:c r="C18" s="4"/>
      <x:c r="D18" s="4" t="str">
        <x:v>产销单位：辆；公告数据未经审计</x:v>
      </x:c>
      <x:c r="E18" s="4"/>
      <x:c r="F18" s="4"/>
      <x:c r="G18" s="4"/>
      <x:c r="H18" s="4"/>
    </x:row>
    <x:row r="19">
      <x:c r="A19" s="4"/>
      <x:c r="B19" s="4"/>
      <x:c r="C19" s="4"/>
      <x:c r="D19" s="4"/>
      <x:c r="E19" s="4"/>
      <x:c r="F19" s="4"/>
      <x:c r="G19" s="4"/>
      <x:c r="H19" s="4"/>
    </x:row>
    <x:row r="20" ht="34" customHeight="1">
      <x:c r="A20" s="30" t="str">
        <x:v>直接公告中的主体角色</x:v>
      </x:c>
      <x:c r="B20" s="30" t="str">
        <x:v>公告数</x:v>
      </x:c>
      <x:c r="C20" s="30" t="str">
        <x:v>核验范围</x:v>
      </x:c>
      <x:c r="D20" s="30" t="str">
        <x:v>说明</x:v>
      </x:c>
      <x:c r="E20" s="4"/>
      <x:c r="F20" s="4"/>
      <x:c r="G20" s="4"/>
      <x:c r="H20" s="4"/>
    </x:row>
    <x:row r="21" ht="38" customHeight="1">
      <x:c r="A21" s="21" t="str">
        <x:v>招标人/实际采购主体</x:v>
      </x:c>
      <x:c r="B21" s="35" t="n">
        <x:f>COUNTIFS('直接招采'!C6:C22,A21)</x:f>
        <x:v>12</x:v>
      </x:c>
      <x:c r="C21" s="21" t="str">
        <x:v>已读主体角色</x:v>
      </x:c>
      <x:c r="D21" s="21" t="str">
        <x:v>包含招标、中止及候选公示；不是12笔成交</x:v>
      </x:c>
      <x:c r="E21" s="4"/>
      <x:c r="F21" s="4"/>
      <x:c r="G21" s="4"/>
      <x:c r="H21" s="4"/>
    </x:row>
    <x:row r="22" ht="38" customHeight="1">
      <x:c r="A22" s="21" t="str">
        <x:v>中标人</x:v>
      </x:c>
      <x:c r="B22" s="35" t="n">
        <x:f>COUNTIFS('直接招采'!C6:C22,A22)</x:f>
        <x:v>1</x:v>
      </x:c>
      <x:c r="C22" s="21" t="str">
        <x:v>已读主体角色</x:v>
      </x:c>
      <x:c r="D22" s="21" t="str">
        <x:v>实际中标角色明确，金额遮挡仍为空</x:v>
      </x:c>
      <x:c r="E22" s="4"/>
      <x:c r="F22" s="4"/>
      <x:c r="G22" s="4"/>
      <x:c r="H22" s="4"/>
    </x:row>
    <x:row r="23" ht="38" customHeight="1">
      <x:c r="A23" s="21" t="str">
        <x:v>第一中标候选人</x:v>
      </x:c>
      <x:c r="B23" s="35" t="n">
        <x:f>COUNTIFS('直接招采'!C6:C22,A23)</x:f>
        <x:v>1</x:v>
      </x:c>
      <x:c r="C23" s="21" t="str">
        <x:v>已读主体角色</x:v>
      </x:c>
      <x:c r="D23" s="21" t="str">
        <x:v>候选阶段；不等于最终中标</x:v>
      </x:c>
      <x:c r="E23" s="4"/>
      <x:c r="F23" s="4"/>
      <x:c r="G23" s="4"/>
      <x:c r="H23" s="4"/>
    </x:row>
    <x:row r="24" ht="38" customHeight="1">
      <x:c r="A24" s="21" t="str">
        <x:v>第三成交候选人</x:v>
      </x:c>
      <x:c r="B24" s="35" t="n">
        <x:f>COUNTIFS('直接招采'!C6:C22,A24)</x:f>
        <x:v>1</x:v>
      </x:c>
      <x:c r="C24" s="21" t="str">
        <x:v>已读主体角色</x:v>
      </x:c>
      <x:c r="D24" s="21" t="str">
        <x:v>第三候选；不等于成交</x:v>
      </x:c>
      <x:c r="E24" s="4"/>
      <x:c r="F24" s="4"/>
      <x:c r="G24" s="4"/>
      <x:c r="H24" s="4"/>
    </x:row>
    <x:row r="25" ht="38" customHeight="1">
      <x:c r="A25" s="21" t="str">
        <x:v>框架入围供应商</x:v>
      </x:c>
      <x:c r="B25" s="35" t="n">
        <x:f>COUNTIFS('直接招采'!C6:C22,A25)</x:f>
        <x:v>1</x:v>
      </x:c>
      <x:c r="C25" s="21" t="str">
        <x:v>已读主体角色</x:v>
      </x:c>
      <x:c r="D25" s="21" t="str">
        <x:v>入围不等于已执行订单</x:v>
      </x:c>
      <x:c r="E25" s="4"/>
      <x:c r="F25" s="4"/>
      <x:c r="G25" s="4"/>
      <x:c r="H25" s="4"/>
    </x:row>
    <x:row r="26" ht="38" customHeight="1">
      <x:c r="A26" s="21" t="str">
        <x:v>入围供应商</x:v>
      </x:c>
      <x:c r="B26" s="35" t="n">
        <x:f>COUNTIFS('直接招采'!C6:C22,A26)</x:f>
        <x:v>1</x:v>
      </x:c>
      <x:c r="C26" s="21" t="str">
        <x:v>已读主体角色</x:v>
      </x:c>
      <x:c r="D26" s="21" t="str">
        <x:v>公告车型单价不作总采购金额</x:v>
      </x:c>
      <x:c r="E26" s="4"/>
      <x:c r="F26" s="4"/>
      <x:c r="G26" s="4"/>
      <x:c r="H26" s="4"/>
    </x:row>
    <x:row r="27">
      <x:c r="A27" s="4"/>
      <x:c r="B27" s="4"/>
      <x:c r="C27" s="4"/>
      <x:c r="D27" s="4"/>
      <x:c r="E27" s="4"/>
      <x:c r="F27" s="4"/>
      <x:c r="G27" s="4"/>
      <x:c r="H27" s="4"/>
    </x:row>
    <x:row r="28">
      <x:c r="A28" s="36" t="str">
        <x:v>清洗口径</x:v>
      </x:c>
      <x:c r="B28" s="4"/>
      <x:c r="C28" s="4"/>
      <x:c r="D28" s="4"/>
      <x:c r="E28" s="4"/>
      <x:c r="F28" s="4"/>
      <x:c r="G28" s="4"/>
      <x:c r="H28" s="4"/>
    </x:row>
    <x:row r="29" ht="24" customHeight="1">
      <x:c r="A29" s="3" t="str">
        <x:v>财务单位与集团/母公司口径分别保留；历史招标不计当前意向。</x:v>
      </x:c>
      <x:c r="B29" s="3"/>
      <x:c r="C29" s="3"/>
      <x:c r="D29" s="3"/>
      <x:c r="E29" s="3"/>
      <x:c r="F29" s="3"/>
      <x:c r="G29" s="3"/>
      <x:c r="H29" s="3"/>
    </x:row>
    <x:row r="30" ht="24" customHeight="1">
      <x:c r="A30" s="3" t="str">
        <x:v>原文遮挡、异常邮箱、缺区号电话及无更新时间资料标待核，不补造。</x:v>
      </x:c>
      <x:c r="B30" s="3"/>
      <x:c r="C30" s="3"/>
      <x:c r="D30" s="3"/>
      <x:c r="E30" s="3"/>
      <x:c r="F30" s="3"/>
      <x:c r="G30" s="3"/>
      <x:c r="H30" s="3"/>
    </x:row>
    <x:row r="31" ht="24" customHeight="1">
      <x:c r="A31" s="3" t="str">
        <x:v>同公告转载合并；不同公告阶段保留并关联项目族，金额不跨阶段相加。</x:v>
      </x:c>
      <x:c r="B31" s="3"/>
      <x:c r="C31" s="3"/>
      <x:c r="D31" s="3"/>
      <x:c r="E31" s="3"/>
      <x:c r="F31" s="3"/>
      <x:c r="G31" s="3"/>
      <x:c r="H31" s="3"/>
    </x:row>
    <x:row r="32" ht="24" customHeight="1">
      <x:c r="A32" s="3" t="str">
        <x:v>每条原始记录保留来源编号与引句；原始链接在来源覆盖表。</x:v>
      </x:c>
      <x:c r="B32" s="3"/>
      <x:c r="C32" s="3"/>
      <x:c r="D32" s="3"/>
      <x:c r="E32" s="3"/>
      <x:c r="F32" s="3"/>
      <x:c r="G32" s="3"/>
      <x:c r="H32" s="3"/>
    </x:row>
    <x:row r="33" ht="24" customHeight="1">
      <x:c r="A33" s="3" t="str">
        <x:v>43项独立复核意见已处理；财务日期按正式文件目录，批准日不替代披露日。</x:v>
      </x:c>
      <x:c r="B33" s="3"/>
      <x:c r="C33" s="3"/>
      <x:c r="D33" s="3"/>
      <x:c r="E33" s="3"/>
      <x:c r="F33" s="3"/>
      <x:c r="G33" s="3"/>
      <x:c r="H33" s="3"/>
    </x:row>
    <x:row r="34">
      <x:c r="A34" s="4"/>
      <x:c r="B34" s="4"/>
      <x:c r="C34" s="4"/>
      <x:c r="D34" s="4"/>
      <x:c r="E34" s="4"/>
      <x:c r="F34" s="4"/>
      <x:c r="G34" s="4"/>
      <x:c r="H34" s="4"/>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35" hidden="0" customWidth="1"/>
    <x:col min="3" max="3" width="32" hidden="0" customWidth="1"/>
    <x:col min="4" max="4" width="18" hidden="0" customWidth="1"/>
    <x:col min="5" max="5" width="30" hidden="0" customWidth="1"/>
    <x:col min="6" max="6" width="62" hidden="0" customWidth="1"/>
    <x:col min="7" max="7" width="20" hidden="0" customWidth="1"/>
    <x:col min="8" max="8" width="24" hidden="0" customWidth="1"/>
    <x:col min="9" max="9" width="18" hidden="0" customWidth="1"/>
    <x:col min="10" max="10" width="16" hidden="0" customWidth="1"/>
    <x:col min="11" max="11" width="29" hidden="0" customWidth="1"/>
    <x:col min="12" max="12" width="28" hidden="0" customWidth="1"/>
    <x:col min="13" max="13" width="68" hidden="0" customWidth="1"/>
  </x:cols>
  <x:sheetData>
    <x:row r="2" ht="26" customHeight="1">
      <x:c r="A2" s="2" t="str">
        <x:v>比亚迪企业与采购主体资料</x:v>
      </x:c>
      <x:c r="B2" s="2"/>
      <x:c r="C2" s="2"/>
      <x:c r="D2" s="2"/>
      <x:c r="E2" s="2"/>
      <x:c r="F2" s="2"/>
      <x:c r="G2" s="2"/>
      <x:c r="H2" s="2"/>
      <x:c r="I2" s="2"/>
      <x:c r="J2" s="2"/>
      <x:c r="K2" s="2"/>
      <x:c r="L2" s="2"/>
      <x:c r="M2" s="2"/>
    </x:row>
    <x:row r="3" ht="24" customHeight="1">
      <x:c r="A3" s="3" t="str">
        <x:v>2025-10-08 至 2026-10-08披露；集团、子公司与公告联系人分别记录。</x:v>
      </x:c>
      <x:c r="B3" s="3"/>
      <x:c r="C3" s="3"/>
      <x:c r="D3" s="3"/>
      <x:c r="E3" s="3"/>
      <x:c r="F3" s="3"/>
      <x:c r="G3" s="3"/>
      <x:c r="H3" s="3"/>
      <x:c r="I3" s="3"/>
      <x:c r="J3" s="3"/>
      <x:c r="K3" s="3"/>
      <x:c r="L3" s="3"/>
      <x:c r="M3" s="3"/>
    </x:row>
    <x:row r="5" ht="34" customHeight="1">
      <x:c r="A5" s="10" t="str">
        <x:v>记录ID</x:v>
      </x:c>
      <x:c r="B5" s="11" t="str">
        <x:v>企业主体</x:v>
      </x:c>
      <x:c r="C5" s="11" t="str">
        <x:v>主体范围</x:v>
      </x:c>
      <x:c r="D5" s="11" t="str">
        <x:v>类别</x:v>
      </x:c>
      <x:c r="E5" s="11" t="str">
        <x:v>字段</x:v>
      </x:c>
      <x:c r="F5" s="11" t="str">
        <x:v>数值或内容</x:v>
      </x:c>
      <x:c r="G5" s="11" t="str">
        <x:v>原单位</x:v>
      </x:c>
      <x:c r="H5" s="11" t="str">
        <x:v>资料时点</x:v>
      </x:c>
      <x:c r="I5" s="11" t="str">
        <x:v>披露或发布日</x:v>
      </x:c>
      <x:c r="J5" s="11" t="str">
        <x:v>来源编号</x:v>
      </x:c>
      <x:c r="K5" s="11" t="str">
        <x:v>核验状态</x:v>
      </x:c>
      <x:c r="L5" s="11" t="str">
        <x:v>联系方式状态</x:v>
      </x:c>
      <x:c r="M5" s="12" t="str">
        <x:v>限定说明</x:v>
      </x:c>
    </x:row>
    <x:row r="6" ht="40" customHeight="1">
      <x:c r="A6" s="6" t="str">
        <x:v>R0241</x:v>
      </x:c>
      <x:c r="B6" s="6" t="str">
        <x:v>比亚迪股份有限公司</x:v>
      </x:c>
      <x:c r="C6" s="6" t="str">
        <x:v>官方披露集团/子公司</x:v>
      </x:c>
      <x:c r="D6" s="6" t="str">
        <x:v>企业基本及公开联系</x:v>
      </x:c>
      <x:c r="E6" s="6" t="str">
        <x:v>办公地址</x:v>
      </x:c>
      <x:c r="F6" s="6" t="str">
        <x:v>深圳市坪山区比亚迪路3009号</x:v>
      </x:c>
      <x:c r="G6" s="6" t="str"/>
      <x:c r="H6" s="6" t="str">
        <x:v>2025-12-31</x:v>
      </x:c>
      <x:c r="I6" s="13" t="d">
        <x:v>2026-03-28T00:00:00.000Z</x:v>
      </x:c>
      <x:c r="J6" s="6" t="str">
        <x:v>F001</x:v>
      </x:c>
      <x:c r="K6" s="6" t="str">
        <x:v>官方披露已核验</x:v>
      </x:c>
      <x:c r="L6" s="6" t="str"/>
      <x:c r="M6" s="6" t="str">
        <x:v>2026半年报第6页说明联系方式在报告期无变化。 核查日期:2026-10-08。；披露日期依据巨潮发布目录；报告批准日另列，不混同</x:v>
      </x:c>
    </x:row>
    <x:row r="7" ht="40" customHeight="1">
      <x:c r="A7" s="6" t="str">
        <x:v>R0242</x:v>
      </x:c>
      <x:c r="B7" s="6" t="str">
        <x:v>比亚迪股份有限公司</x:v>
      </x:c>
      <x:c r="C7" s="6" t="str">
        <x:v>官方披露集团/子公司</x:v>
      </x:c>
      <x:c r="D7" s="6" t="str">
        <x:v>企业基本及公开联系</x:v>
      </x:c>
      <x:c r="E7" s="6" t="str">
        <x:v>办公地址邮编</x:v>
      </x:c>
      <x:c r="F7" s="14" t="str">
        <x:v>518118</x:v>
      </x:c>
      <x:c r="G7" s="6" t="str"/>
      <x:c r="H7" s="6" t="str">
        <x:v>2025-12-31</x:v>
      </x:c>
      <x:c r="I7" s="13" t="d">
        <x:v>2026-03-28T00:00:00.000Z</x:v>
      </x:c>
      <x:c r="J7" s="6" t="str">
        <x:v>F001</x:v>
      </x:c>
      <x:c r="K7" s="6" t="str">
        <x:v>官方披露已核验</x:v>
      </x:c>
      <x:c r="L7" s="6" t="str"/>
      <x:c r="M7" s="6" t="str">
        <x:v>2026半年报第6页说明联系方式在报告期无变化。 核查日期:2026-10-08。；披露日期依据巨潮发布目录；报告批准日另列，不混同</x:v>
      </x:c>
    </x:row>
    <x:row r="8" ht="40" customHeight="1">
      <x:c r="A8" s="6" t="str">
        <x:v>R0243</x:v>
      </x:c>
      <x:c r="B8" s="6" t="str">
        <x:v>比亚迪股份有限公司</x:v>
      </x:c>
      <x:c r="C8" s="6" t="str">
        <x:v>官方披露集团/子公司</x:v>
      </x:c>
      <x:c r="D8" s="6" t="str">
        <x:v>企业基本及公开联系</x:v>
      </x:c>
      <x:c r="E8" s="6" t="str">
        <x:v>官网</x:v>
      </x:c>
      <x:c r="F8" s="6" t="str">
        <x:v>https://www.bydglobal.com</x:v>
      </x:c>
      <x:c r="G8" s="6" t="str"/>
      <x:c r="H8" s="6" t="str">
        <x:v>2025-12-31</x:v>
      </x:c>
      <x:c r="I8" s="13" t="d">
        <x:v>2026-03-28T00:00:00.000Z</x:v>
      </x:c>
      <x:c r="J8" s="6" t="str">
        <x:v>F001</x:v>
      </x:c>
      <x:c r="K8" s="6" t="str">
        <x:v>官方披露已核验</x:v>
      </x:c>
      <x:c r="L8" s="6" t="str"/>
      <x:c r="M8" s="6" t="str">
        <x:v>2026半年报第6页说明联系方式在报告期无变化。 核查日期:2026-10-08。；披露日期依据巨潮发布目录；报告批准日另列，不混同</x:v>
      </x:c>
    </x:row>
    <x:row r="9" ht="40" customHeight="1">
      <x:c r="A9" s="6" t="str">
        <x:v>R0239</x:v>
      </x:c>
      <x:c r="B9" s="6" t="str">
        <x:v>比亚迪股份有限公司</x:v>
      </x:c>
      <x:c r="C9" s="6" t="str">
        <x:v>官方披露集团/子公司</x:v>
      </x:c>
      <x:c r="D9" s="6" t="str">
        <x:v>企业基本及公开联系</x:v>
      </x:c>
      <x:c r="E9" s="6" t="str">
        <x:v>注册地址</x:v>
      </x:c>
      <x:c r="F9" s="6" t="str">
        <x:v>深圳市大鹏新区葵涌街道延安路一号</x:v>
      </x:c>
      <x:c r="G9" s="6" t="str"/>
      <x:c r="H9" s="6" t="str">
        <x:v>2025-12-31</x:v>
      </x:c>
      <x:c r="I9" s="13" t="d">
        <x:v>2026-03-28T00:00:00.000Z</x:v>
      </x:c>
      <x:c r="J9" s="6" t="str">
        <x:v>F001</x:v>
      </x:c>
      <x:c r="K9" s="6" t="str">
        <x:v>官方披露已核验</x:v>
      </x:c>
      <x:c r="L9" s="6" t="str"/>
      <x:c r="M9" s="6" t="str">
        <x:v>2026半年报第6页说明联系方式在报告期无变化。 核查日期:2026-10-08。；披露日期依据巨潮发布目录；报告批准日另列，不混同</x:v>
      </x:c>
    </x:row>
    <x:row r="10" ht="40" customHeight="1">
      <x:c r="A10" s="6" t="str">
        <x:v>R0240</x:v>
      </x:c>
      <x:c r="B10" s="6" t="str">
        <x:v>比亚迪股份有限公司</x:v>
      </x:c>
      <x:c r="C10" s="6" t="str">
        <x:v>官方披露集团/子公司</x:v>
      </x:c>
      <x:c r="D10" s="6" t="str">
        <x:v>企业基本及公开联系</x:v>
      </x:c>
      <x:c r="E10" s="6" t="str">
        <x:v>注册地址邮编</x:v>
      </x:c>
      <x:c r="F10" s="14" t="str">
        <x:v>518119</x:v>
      </x:c>
      <x:c r="G10" s="6" t="str"/>
      <x:c r="H10" s="6" t="str">
        <x:v>2025-12-31</x:v>
      </x:c>
      <x:c r="I10" s="13" t="d">
        <x:v>2026-03-28T00:00:00.000Z</x:v>
      </x:c>
      <x:c r="J10" s="6" t="str">
        <x:v>F001</x:v>
      </x:c>
      <x:c r="K10" s="6" t="str">
        <x:v>官方披露已核验</x:v>
      </x:c>
      <x:c r="L10" s="6" t="str"/>
      <x:c r="M10" s="6" t="str">
        <x:v>2026半年报第6页说明联系方式在报告期无变化。 核查日期:2026-10-08。；披露日期依据巨潮发布目录；报告批准日另列，不混同</x:v>
      </x:c>
    </x:row>
    <x:row r="11" ht="40" customHeight="1">
      <x:c r="A11" s="6" t="str">
        <x:v>R0230</x:v>
      </x:c>
      <x:c r="B11" s="6" t="str">
        <x:v>比亚迪股份有限公司</x:v>
      </x:c>
      <x:c r="C11" s="6" t="str">
        <x:v>官方披露集团/子公司</x:v>
      </x:c>
      <x:c r="D11" s="6" t="str">
        <x:v>企业基本及公开联系</x:v>
      </x:c>
      <x:c r="E11" s="6" t="str">
        <x:v>A股代码</x:v>
      </x:c>
      <x:c r="F11" s="14" t="str">
        <x:v>002594</x:v>
      </x:c>
      <x:c r="G11" s="6" t="str"/>
      <x:c r="H11" s="6" t="str">
        <x:v>2026-06-30</x:v>
      </x:c>
      <x:c r="I11" s="13" t="d">
        <x:v>2026-08-29T00:00:00.000Z</x:v>
      </x:c>
      <x:c r="J11" s="6" t="str">
        <x:v>F002</x:v>
      </x:c>
      <x:c r="K11" s="6" t="str">
        <x:v>官方披露已核验</x:v>
      </x:c>
      <x:c r="L11" s="6" t="str"/>
      <x:c r="M11" s="6" t="str">
        <x:v>核查日期:2026-10-08。；披露日期依据巨潮发布目录；报告批准日另列，不混同</x:v>
      </x:c>
    </x:row>
    <x:row r="12" ht="40" customHeight="1">
      <x:c r="A12" s="6" t="str">
        <x:v>R0232</x:v>
      </x:c>
      <x:c r="B12" s="6" t="str">
        <x:v>比亚迪股份有限公司</x:v>
      </x:c>
      <x:c r="C12" s="6" t="str">
        <x:v>官方披露集团/子公司</x:v>
      </x:c>
      <x:c r="D12" s="6" t="str">
        <x:v>企业基本及公开联系</x:v>
      </x:c>
      <x:c r="E12" s="6" t="str">
        <x:v>H股人民币柜台代码</x:v>
      </x:c>
      <x:c r="F12" s="14" t="str">
        <x:v>81211</x:v>
      </x:c>
      <x:c r="G12" s="6" t="str"/>
      <x:c r="H12" s="6" t="str">
        <x:v>2026-06-30</x:v>
      </x:c>
      <x:c r="I12" s="13" t="d">
        <x:v>2026-08-29T00:00:00.000Z</x:v>
      </x:c>
      <x:c r="J12" s="6" t="str">
        <x:v>F002</x:v>
      </x:c>
      <x:c r="K12" s="6" t="str">
        <x:v>官方披露已核验</x:v>
      </x:c>
      <x:c r="L12" s="6" t="str"/>
      <x:c r="M12" s="6" t="str">
        <x:v>核查日期:2026-10-08。；披露日期依据巨潮发布目录；报告批准日另列，不混同</x:v>
      </x:c>
    </x:row>
    <x:row r="13" ht="40" customHeight="1">
      <x:c r="A13" s="6" t="str">
        <x:v>R0231</x:v>
      </x:c>
      <x:c r="B13" s="6" t="str">
        <x:v>比亚迪股份有限公司</x:v>
      </x:c>
      <x:c r="C13" s="6" t="str">
        <x:v>官方披露集团/子公司</x:v>
      </x:c>
      <x:c r="D13" s="6" t="str">
        <x:v>企业基本及公开联系</x:v>
      </x:c>
      <x:c r="E13" s="6" t="str">
        <x:v>H股港币柜台代码</x:v>
      </x:c>
      <x:c r="F13" s="14" t="str">
        <x:v>01211</x:v>
      </x:c>
      <x:c r="G13" s="6" t="str"/>
      <x:c r="H13" s="6" t="str">
        <x:v>2026-06-30</x:v>
      </x:c>
      <x:c r="I13" s="13" t="d">
        <x:v>2026-08-29T00:00:00.000Z</x:v>
      </x:c>
      <x:c r="J13" s="6" t="str">
        <x:v>F002</x:v>
      </x:c>
      <x:c r="K13" s="6" t="str">
        <x:v>官方披露已核验</x:v>
      </x:c>
      <x:c r="L13" s="6" t="str"/>
      <x:c r="M13" s="6" t="str">
        <x:v>核查日期:2026-10-08。；披露日期依据巨潮发布目录；报告批准日另列，不混同</x:v>
      </x:c>
    </x:row>
    <x:row r="14" ht="40" customHeight="1">
      <x:c r="A14" s="6" t="str">
        <x:v>R0225</x:v>
      </x:c>
      <x:c r="B14" s="6" t="str">
        <x:v>比亚迪股份有限公司</x:v>
      </x:c>
      <x:c r="C14" s="6" t="str">
        <x:v>官方披露集团/子公司</x:v>
      </x:c>
      <x:c r="D14" s="6" t="str">
        <x:v>企业基本及公开联系</x:v>
      </x:c>
      <x:c r="E14" s="6" t="str">
        <x:v>中文名称</x:v>
      </x:c>
      <x:c r="F14" s="6" t="str">
        <x:v>比亚迪股份有限公司</x:v>
      </x:c>
      <x:c r="G14" s="6" t="str"/>
      <x:c r="H14" s="6" t="str">
        <x:v>2026-06-30</x:v>
      </x:c>
      <x:c r="I14" s="13" t="d">
        <x:v>2026-08-29T00:00:00.000Z</x:v>
      </x:c>
      <x:c r="J14" s="6" t="str">
        <x:v>F002</x:v>
      </x:c>
      <x:c r="K14" s="6" t="str">
        <x:v>官方披露已核验</x:v>
      </x:c>
      <x:c r="L14" s="6" t="str"/>
      <x:c r="M14" s="6" t="str">
        <x:v>核查日期:2026-10-08。；披露日期依据巨潮发布目录；报告批准日另列，不混同</x:v>
      </x:c>
    </x:row>
    <x:row r="15" ht="40" customHeight="1">
      <x:c r="A15" s="6" t="str">
        <x:v>R0227</x:v>
      </x:c>
      <x:c r="B15" s="6" t="str">
        <x:v>比亚迪股份有限公司</x:v>
      </x:c>
      <x:c r="C15" s="6" t="str">
        <x:v>官方披露集团/子公司</x:v>
      </x:c>
      <x:c r="D15" s="6" t="str">
        <x:v>企业基本及公开联系</x:v>
      </x:c>
      <x:c r="E15" s="6" t="str">
        <x:v>中文简称</x:v>
      </x:c>
      <x:c r="F15" s="6" t="str">
        <x:v>比亚迪</x:v>
      </x:c>
      <x:c r="G15" s="6" t="str"/>
      <x:c r="H15" s="6" t="str">
        <x:v>2026-06-30</x:v>
      </x:c>
      <x:c r="I15" s="13" t="d">
        <x:v>2026-08-29T00:00:00.000Z</x:v>
      </x:c>
      <x:c r="J15" s="6" t="str">
        <x:v>F002</x:v>
      </x:c>
      <x:c r="K15" s="6" t="str">
        <x:v>官方披露已核验</x:v>
      </x:c>
      <x:c r="L15" s="6" t="str"/>
      <x:c r="M15" s="6" t="str">
        <x:v>核查日期:2026-10-08。；披露日期依据巨潮发布目录；报告批准日另列，不混同</x:v>
      </x:c>
    </x:row>
    <x:row r="16" ht="40" customHeight="1">
      <x:c r="A16" s="6" t="str">
        <x:v>R0247</x:v>
      </x:c>
      <x:c r="B16" s="6" t="str">
        <x:v>比亚迪股份有限公司</x:v>
      </x:c>
      <x:c r="C16" s="6" t="str">
        <x:v>官方披露集团/子公司</x:v>
      </x:c>
      <x:c r="D16" s="6" t="str">
        <x:v>企业基本及公开联系</x:v>
      </x:c>
      <x:c r="E16" s="6" t="str">
        <x:v>主要业务</x:v>
      </x:c>
      <x:c r="F16" s="6" t="str">
        <x:v>新能源汽车;电子;二次充电电池及光伏;城市轨道交通</x:v>
      </x:c>
      <x:c r="G16" s="6" t="str"/>
      <x:c r="H16" s="6" t="str">
        <x:v>2026-06-30</x:v>
      </x:c>
      <x:c r="I16" s="13" t="d">
        <x:v>2026-08-29T00:00:00.000Z</x:v>
      </x:c>
      <x:c r="J16" s="6" t="str">
        <x:v>F002</x:v>
      </x:c>
      <x:c r="K16" s="6" t="str">
        <x:v>官方披露已核验</x:v>
      </x:c>
      <x:c r="L16" s="6" t="str"/>
      <x:c r="M16" s="6" t="str">
        <x:v>核查日期:2026-10-08。；披露日期依据巨潮发布目录；报告批准日另列，不混同</x:v>
      </x:c>
    </x:row>
    <x:row r="17" ht="40" customHeight="1">
      <x:c r="A17" s="6" t="str">
        <x:v>R0246</x:v>
      </x:c>
      <x:c r="B17" s="6" t="str">
        <x:v>比亚迪股份有限公司</x:v>
      </x:c>
      <x:c r="C17" s="6" t="str">
        <x:v>官方披露集团/子公司</x:v>
      </x:c>
      <x:c r="D17" s="6" t="str">
        <x:v>企业基本及公开联系</x:v>
      </x:c>
      <x:c r="E17" s="6" t="str">
        <x:v>前身企业</x:v>
      </x:c>
      <x:c r="F17" s="6" t="str">
        <x:v>深圳市比亚迪实业有限公司</x:v>
      </x:c>
      <x:c r="G17" s="6" t="str"/>
      <x:c r="H17" s="6" t="str">
        <x:v>2026-06-30</x:v>
      </x:c>
      <x:c r="I17" s="13" t="d">
        <x:v>2026-08-29T00:00:00.000Z</x:v>
      </x:c>
      <x:c r="J17" s="6" t="str">
        <x:v>F002</x:v>
      </x:c>
      <x:c r="K17" s="6" t="str">
        <x:v>官方披露已核验</x:v>
      </x:c>
      <x:c r="L17" s="6" t="str"/>
      <x:c r="M17" s="6" t="str">
        <x:v>核查日期:2026-10-08。；披露日期依据巨潮发布目录；报告批准日另列，不混同</x:v>
      </x:c>
    </x:row>
    <x:row r="18" ht="40" customHeight="1">
      <x:c r="A18" s="6" t="str">
        <x:v>R0235</x:v>
      </x:c>
      <x:c r="B18" s="6" t="str">
        <x:v>比亚迪股份有限公司</x:v>
      </x:c>
      <x:c r="C18" s="6" t="str">
        <x:v>官方披露集团/子公司</x:v>
      </x:c>
      <x:c r="D18" s="6" t="str">
        <x:v>企业基本及公开联系</x:v>
      </x:c>
      <x:c r="E18" s="6" t="str">
        <x:v>投资者关系/董秘联系电话</x:v>
      </x:c>
      <x:c r="F18" s="14" t="str">
        <x:v>+86-755-89888888-62126</x:v>
      </x:c>
      <x:c r="G18" s="6" t="str"/>
      <x:c r="H18" s="6" t="str">
        <x:v>2026-06-30</x:v>
      </x:c>
      <x:c r="I18" s="13" t="d">
        <x:v>2026-08-29T00:00:00.000Z</x:v>
      </x:c>
      <x:c r="J18" s="6" t="str">
        <x:v>F002</x:v>
      </x:c>
      <x:c r="K18" s="6" t="str">
        <x:v>官方披露已核验</x:v>
      </x:c>
      <x:c r="L18" s="6" t="str">
        <x:v>原文公开；未验证接通或收信</x:v>
      </x:c>
      <x:c r="M18" s="6" t="str">
        <x:v>投资者关系联系方式不等于采购联系方式。 核查日期:2026-10-08。；披露日期依据巨潮发布目录；报告批准日另列，不混同</x:v>
      </x:c>
    </x:row>
    <x:row r="19" ht="40" customHeight="1">
      <x:c r="A19" s="6" t="str">
        <x:v>R0236</x:v>
      </x:c>
      <x:c r="B19" s="6" t="str">
        <x:v>比亚迪股份有限公司</x:v>
      </x:c>
      <x:c r="C19" s="6" t="str">
        <x:v>官方披露集团/子公司</x:v>
      </x:c>
      <x:c r="D19" s="6" t="str">
        <x:v>企业基本及公开联系</x:v>
      </x:c>
      <x:c r="E19" s="6" t="str">
        <x:v>投资者关系传真</x:v>
      </x:c>
      <x:c r="F19" s="14" t="str">
        <x:v>+86-755-84202222</x:v>
      </x:c>
      <x:c r="G19" s="6" t="str"/>
      <x:c r="H19" s="6" t="str">
        <x:v>2026-06-30</x:v>
      </x:c>
      <x:c r="I19" s="13" t="d">
        <x:v>2026-08-29T00:00:00.000Z</x:v>
      </x:c>
      <x:c r="J19" s="6" t="str">
        <x:v>F002</x:v>
      </x:c>
      <x:c r="K19" s="6" t="str">
        <x:v>官方披露已核验</x:v>
      </x:c>
      <x:c r="L19" s="6" t="str">
        <x:v>原文公开；未验证接通或收信</x:v>
      </x:c>
      <x:c r="M19" s="6" t="str">
        <x:v>核查日期:2026-10-08。；披露日期依据巨潮发布目录；报告批准日另列，不混同</x:v>
      </x:c>
    </x:row>
    <x:row r="20" ht="40" customHeight="1">
      <x:c r="A20" s="6" t="str">
        <x:v>R0237</x:v>
      </x:c>
      <x:c r="B20" s="6" t="str">
        <x:v>比亚迪股份有限公司</x:v>
      </x:c>
      <x:c r="C20" s="6" t="str">
        <x:v>官方披露集团/子公司</x:v>
      </x:c>
      <x:c r="D20" s="6" t="str">
        <x:v>企业基本及公开联系</x:v>
      </x:c>
      <x:c r="E20" s="6" t="str">
        <x:v>投资者关系电子信箱</x:v>
      </x:c>
      <x:c r="F20" s="6" t="str">
        <x:v>db@byd.com</x:v>
      </x:c>
      <x:c r="G20" s="6" t="str"/>
      <x:c r="H20" s="6" t="str">
        <x:v>2026-06-30</x:v>
      </x:c>
      <x:c r="I20" s="13" t="d">
        <x:v>2026-08-29T00:00:00.000Z</x:v>
      </x:c>
      <x:c r="J20" s="6" t="str">
        <x:v>F002</x:v>
      </x:c>
      <x:c r="K20" s="6" t="str">
        <x:v>官方披露已核验</x:v>
      </x:c>
      <x:c r="L20" s="6" t="str"/>
      <x:c r="M20" s="6" t="str">
        <x:v>投资者关系联系方式不等于采购联系方式。 核查日期:2026-10-08。；披露日期依据巨潮发布目录；报告批准日另列，不混同</x:v>
      </x:c>
    </x:row>
    <x:row r="21" ht="40" customHeight="1">
      <x:c r="A21" s="6" t="str">
        <x:v>R0228</x:v>
      </x:c>
      <x:c r="B21" s="6" t="str">
        <x:v>比亚迪股份有限公司</x:v>
      </x:c>
      <x:c r="C21" s="6" t="str">
        <x:v>官方披露集团/子公司</x:v>
      </x:c>
      <x:c r="D21" s="6" t="str">
        <x:v>企业基本及公开联系</x:v>
      </x:c>
      <x:c r="E21" s="6" t="str">
        <x:v>法定代表人</x:v>
      </x:c>
      <x:c r="F21" s="6" t="str">
        <x:v>王传福</x:v>
      </x:c>
      <x:c r="G21" s="6" t="str"/>
      <x:c r="H21" s="6" t="str">
        <x:v>2026-06-30</x:v>
      </x:c>
      <x:c r="I21" s="13" t="d">
        <x:v>2026-08-29T00:00:00.000Z</x:v>
      </x:c>
      <x:c r="J21" s="6" t="str">
        <x:v>F002</x:v>
      </x:c>
      <x:c r="K21" s="6" t="str">
        <x:v>官方披露已核验</x:v>
      </x:c>
      <x:c r="L21" s="6" t="str"/>
      <x:c r="M21" s="6" t="str">
        <x:v>核查日期:2026-10-08。；披露日期依据巨潮发布目录；报告批准日另列，不混同</x:v>
      </x:c>
    </x:row>
    <x:row r="22" ht="40" customHeight="1">
      <x:c r="A22" s="6" t="str">
        <x:v>R0244</x:v>
      </x:c>
      <x:c r="B22" s="6" t="str">
        <x:v>比亚迪股份有限公司</x:v>
      </x:c>
      <x:c r="C22" s="6" t="str">
        <x:v>官方披露集团/子公司</x:v>
      </x:c>
      <x:c r="D22" s="6" t="str">
        <x:v>企业基本及公开联系</x:v>
      </x:c>
      <x:c r="E22" s="6" t="str">
        <x:v>统一社会信用代码</x:v>
      </x:c>
      <x:c r="F22" s="6" t="str">
        <x:v>91440300192317458F</x:v>
      </x:c>
      <x:c r="G22" s="6" t="str"/>
      <x:c r="H22" s="6" t="str">
        <x:v>2026-06-30</x:v>
      </x:c>
      <x:c r="I22" s="13" t="d">
        <x:v>2026-08-29T00:00:00.000Z</x:v>
      </x:c>
      <x:c r="J22" s="6" t="str">
        <x:v>F002</x:v>
      </x:c>
      <x:c r="K22" s="6" t="str">
        <x:v>官方披露已核验</x:v>
      </x:c>
      <x:c r="L22" s="6" t="str"/>
      <x:c r="M22" s="6" t="str">
        <x:v>核查日期:2026-10-08。；披露日期依据巨潮发布目录；报告批准日另列，不混同</x:v>
      </x:c>
    </x:row>
    <x:row r="23" ht="40" customHeight="1">
      <x:c r="A23" s="6" t="str">
        <x:v>R0245</x:v>
      </x:c>
      <x:c r="B23" s="6" t="str">
        <x:v>比亚迪股份有限公司</x:v>
      </x:c>
      <x:c r="C23" s="6" t="str">
        <x:v>官方披露集团/子公司</x:v>
      </x:c>
      <x:c r="D23" s="6" t="str">
        <x:v>企业基本及公开联系</x:v>
      </x:c>
      <x:c r="E23" s="6" t="str">
        <x:v>股份公司整体变更设立日期</x:v>
      </x:c>
      <x:c r="F23" s="6" t="str">
        <x:v>2002-06-11</x:v>
      </x:c>
      <x:c r="G23" s="6" t="str"/>
      <x:c r="H23" s="6" t="str">
        <x:v>2026-06-30</x:v>
      </x:c>
      <x:c r="I23" s="13" t="d">
        <x:v>2026-08-29T00:00:00.000Z</x:v>
      </x:c>
      <x:c r="J23" s="6" t="str">
        <x:v>F002</x:v>
      </x:c>
      <x:c r="K23" s="6" t="str">
        <x:v>官方披露已核验</x:v>
      </x:c>
      <x:c r="L23" s="6" t="str"/>
      <x:c r="M23" s="6" t="str">
        <x:v>整体变更设立日期与品牌历史成立年份是不同口径。 核查日期:2026-10-08。；披露日期依据巨潮发布目录；报告批准日另列，不混同</x:v>
      </x:c>
    </x:row>
    <x:row r="24" ht="40" customHeight="1">
      <x:c r="A24" s="6" t="str">
        <x:v>R0229</x:v>
      </x:c>
      <x:c r="B24" s="6" t="str">
        <x:v>比亚迪股份有限公司</x:v>
      </x:c>
      <x:c r="C24" s="6" t="str">
        <x:v>官方披露集团/子公司</x:v>
      </x:c>
      <x:c r="D24" s="6" t="str">
        <x:v>企业基本及公开联系</x:v>
      </x:c>
      <x:c r="E24" s="6" t="str">
        <x:v>股票上市交易所</x:v>
      </x:c>
      <x:c r="F24" s="6" t="str">
        <x:v>深圳证券交易所;香港联合交易所有限公司</x:v>
      </x:c>
      <x:c r="G24" s="6" t="str"/>
      <x:c r="H24" s="6" t="str">
        <x:v>2026-06-30</x:v>
      </x:c>
      <x:c r="I24" s="13" t="d">
        <x:v>2026-08-29T00:00:00.000Z</x:v>
      </x:c>
      <x:c r="J24" s="6" t="str">
        <x:v>F002</x:v>
      </x:c>
      <x:c r="K24" s="6" t="str">
        <x:v>官方披露已核验</x:v>
      </x:c>
      <x:c r="L24" s="6" t="str"/>
      <x:c r="M24" s="6" t="str">
        <x:v>核查日期:2026-10-08。；披露日期依据巨潮发布目录；报告批准日另列，不混同</x:v>
      </x:c>
    </x:row>
    <x:row r="25" ht="40" customHeight="1">
      <x:c r="A25" s="6" t="str">
        <x:v>R0226</x:v>
      </x:c>
      <x:c r="B25" s="6" t="str">
        <x:v>比亚迪股份有限公司</x:v>
      </x:c>
      <x:c r="C25" s="6" t="str">
        <x:v>官方披露集团/子公司</x:v>
      </x:c>
      <x:c r="D25" s="6" t="str">
        <x:v>企业基本及公开联系</x:v>
      </x:c>
      <x:c r="E25" s="6" t="str">
        <x:v>英文名称</x:v>
      </x:c>
      <x:c r="F25" s="6" t="str">
        <x:v>BYD COMPANY LIMITED</x:v>
      </x:c>
      <x:c r="G25" s="6" t="str"/>
      <x:c r="H25" s="6" t="str">
        <x:v>2026-06-30</x:v>
      </x:c>
      <x:c r="I25" s="13" t="d">
        <x:v>2026-08-29T00:00:00.000Z</x:v>
      </x:c>
      <x:c r="J25" s="6" t="str">
        <x:v>F002</x:v>
      </x:c>
      <x:c r="K25" s="6" t="str">
        <x:v>官方披露已核验</x:v>
      </x:c>
      <x:c r="L25" s="6" t="str"/>
      <x:c r="M25" s="6" t="str">
        <x:v>核查日期:2026-10-08。；披露日期依据巨潮发布目录；报告批准日另列，不混同</x:v>
      </x:c>
    </x:row>
    <x:row r="26" ht="40" customHeight="1">
      <x:c r="A26" s="6" t="str">
        <x:v>R0233</x:v>
      </x:c>
      <x:c r="B26" s="6" t="str">
        <x:v>比亚迪股份有限公司</x:v>
      </x:c>
      <x:c r="C26" s="6" t="str">
        <x:v>官方披露集团/子公司</x:v>
      </x:c>
      <x:c r="D26" s="6" t="str">
        <x:v>企业基本及公开联系</x:v>
      </x:c>
      <x:c r="E26" s="6" t="str">
        <x:v>董事会秘书</x:v>
      </x:c>
      <x:c r="F26" s="6" t="str">
        <x:v>李黔</x:v>
      </x:c>
      <x:c r="G26" s="6" t="str"/>
      <x:c r="H26" s="6" t="str">
        <x:v>2026-06-30</x:v>
      </x:c>
      <x:c r="I26" s="13" t="d">
        <x:v>2026-08-29T00:00:00.000Z</x:v>
      </x:c>
      <x:c r="J26" s="6" t="str">
        <x:v>F002</x:v>
      </x:c>
      <x:c r="K26" s="6" t="str">
        <x:v>官方披露已核验</x:v>
      </x:c>
      <x:c r="L26" s="6" t="str"/>
      <x:c r="M26" s="6" t="str">
        <x:v>核查日期:2026-10-08。；披露日期依据巨潮发布目录；报告批准日另列，不混同</x:v>
      </x:c>
    </x:row>
    <x:row r="27" ht="40" customHeight="1">
      <x:c r="A27" s="6" t="str">
        <x:v>R0238</x:v>
      </x:c>
      <x:c r="B27" s="6" t="str">
        <x:v>比亚迪股份有限公司</x:v>
      </x:c>
      <x:c r="C27" s="6" t="str">
        <x:v>官方披露集团/子公司</x:v>
      </x:c>
      <x:c r="D27" s="6" t="str">
        <x:v>企业基本及公开联系</x:v>
      </x:c>
      <x:c r="E27" s="6" t="str">
        <x:v>董秘联系地址</x:v>
      </x:c>
      <x:c r="F27" s="6" t="str">
        <x:v>深圳市坪山区比亚迪路3009号</x:v>
      </x:c>
      <x:c r="G27" s="6" t="str"/>
      <x:c r="H27" s="6" t="str">
        <x:v>2026-06-30</x:v>
      </x:c>
      <x:c r="I27" s="13" t="d">
        <x:v>2026-08-29T00:00:00.000Z</x:v>
      </x:c>
      <x:c r="J27" s="6" t="str">
        <x:v>F002</x:v>
      </x:c>
      <x:c r="K27" s="6" t="str">
        <x:v>官方披露已核验</x:v>
      </x:c>
      <x:c r="L27" s="6" t="str"/>
      <x:c r="M27" s="6" t="str">
        <x:v>核查日期:2026-10-08。；披露日期依据巨潮发布目录；报告批准日另列，不混同</x:v>
      </x:c>
    </x:row>
    <x:row r="28" ht="40" customHeight="1">
      <x:c r="A28" s="6" t="str">
        <x:v>R0234</x:v>
      </x:c>
      <x:c r="B28" s="6" t="str">
        <x:v>比亚迪股份有限公司</x:v>
      </x:c>
      <x:c r="C28" s="6" t="str">
        <x:v>官方披露集团/子公司</x:v>
      </x:c>
      <x:c r="D28" s="6" t="str">
        <x:v>企业基本及公开联系</x:v>
      </x:c>
      <x:c r="E28" s="6" t="str">
        <x:v>证券事务代表</x:v>
      </x:c>
      <x:c r="F28" s="6" t="str">
        <x:v>程燕/吴越</x:v>
      </x:c>
      <x:c r="G28" s="6" t="str"/>
      <x:c r="H28" s="6" t="str">
        <x:v>2026-06-30</x:v>
      </x:c>
      <x:c r="I28" s="13" t="d">
        <x:v>2026-08-29T00:00:00.000Z</x:v>
      </x:c>
      <x:c r="J28" s="6" t="str">
        <x:v>F002</x:v>
      </x:c>
      <x:c r="K28" s="6" t="str">
        <x:v>官方披露已核验</x:v>
      </x:c>
      <x:c r="L28" s="6" t="str"/>
      <x:c r="M28" s="6" t="str">
        <x:v>核查日期:2026-10-08。；披露日期依据巨潮发布目录；报告批准日另列，不混同</x:v>
      </x:c>
    </x:row>
    <x:row r="29" ht="34" customHeight="1">
      <x:c r="A29" s="6" t="str">
        <x:v>R0254</x:v>
      </x:c>
      <x:c r="B29" s="6" t="str">
        <x:v>比亚迪股份有限公司</x:v>
      </x:c>
      <x:c r="C29" s="6" t="str">
        <x:v>官方披露集团/子公司</x:v>
      </x:c>
      <x:c r="D29" s="6" t="str">
        <x:v>企业基本及公开联系</x:v>
      </x:c>
      <x:c r="E29" s="6" t="str">
        <x:v>A股上市日期</x:v>
      </x:c>
      <x:c r="F29" s="6" t="str">
        <x:v>2011-06-30</x:v>
      </x:c>
      <x:c r="G29" s="6" t="str"/>
      <x:c r="H29" s="6" t="str">
        <x:v>2026-10-08</x:v>
      </x:c>
      <x:c r="I29" s="13"/>
      <x:c r="J29" s="6" t="str">
        <x:v>F004</x:v>
      </x:c>
      <x:c r="K29" s="6" t="str">
        <x:v>官方静态网页；截至核查日</x:v>
      </x:c>
      <x:c r="L29" s="6" t="str"/>
      <x:c r="M29" s="6" t="str">
        <x:v>官网无明确发布日期；静态基础字段按核查日记录。</x:v>
      </x:c>
    </x:row>
    <x:row r="30" ht="34" customHeight="1">
      <x:c r="A30" s="6" t="str">
        <x:v>R0256</x:v>
      </x:c>
      <x:c r="B30" s="6" t="str">
        <x:v>比亚迪股份有限公司</x:v>
      </x:c>
      <x:c r="C30" s="6" t="str">
        <x:v>官方披露集团/子公司</x:v>
      </x:c>
      <x:c r="D30" s="6" t="str">
        <x:v>企业基本及公开联系</x:v>
      </x:c>
      <x:c r="E30" s="6" t="str">
        <x:v>A股发行价</x:v>
      </x:c>
      <x:c r="F30" s="15" t="n">
        <x:v>18</x:v>
      </x:c>
      <x:c r="G30" s="6" t="str">
        <x:v>人民币元/股</x:v>
      </x:c>
      <x:c r="H30" s="6" t="str">
        <x:v>2026-10-08</x:v>
      </x:c>
      <x:c r="I30" s="13"/>
      <x:c r="J30" s="6" t="str">
        <x:v>F004</x:v>
      </x:c>
      <x:c r="K30" s="6" t="str">
        <x:v>官方静态网页；截至核查日</x:v>
      </x:c>
      <x:c r="L30" s="6" t="str"/>
      <x:c r="M30" s="6" t="str">
        <x:v>官网无明确发布日期；静态基础字段按核查日记录。</x:v>
      </x:c>
    </x:row>
    <x:row r="31" ht="34" customHeight="1">
      <x:c r="A31" s="6" t="str">
        <x:v>R0253</x:v>
      </x:c>
      <x:c r="B31" s="6" t="str">
        <x:v>比亚迪股份有限公司</x:v>
      </x:c>
      <x:c r="C31" s="6" t="str">
        <x:v>官方披露集团/子公司</x:v>
      </x:c>
      <x:c r="D31" s="6" t="str">
        <x:v>企业基本及公开联系</x:v>
      </x:c>
      <x:c r="E31" s="6" t="str">
        <x:v>H股上市日期</x:v>
      </x:c>
      <x:c r="F31" s="6" t="str">
        <x:v>2002-07-31</x:v>
      </x:c>
      <x:c r="G31" s="6" t="str"/>
      <x:c r="H31" s="6" t="str">
        <x:v>2026-10-08</x:v>
      </x:c>
      <x:c r="I31" s="13"/>
      <x:c r="J31" s="6" t="str">
        <x:v>F004</x:v>
      </x:c>
      <x:c r="K31" s="6" t="str">
        <x:v>官方静态网页；截至核查日</x:v>
      </x:c>
      <x:c r="L31" s="6" t="str"/>
      <x:c r="M31" s="6" t="str">
        <x:v>官网无明确发布日期；静态基础字段按核查日记录。</x:v>
      </x:c>
    </x:row>
    <x:row r="32" ht="34" customHeight="1">
      <x:c r="A32" s="6" t="str">
        <x:v>R0255</x:v>
      </x:c>
      <x:c r="B32" s="6" t="str">
        <x:v>比亚迪股份有限公司</x:v>
      </x:c>
      <x:c r="C32" s="6" t="str">
        <x:v>官方披露集团/子公司</x:v>
      </x:c>
      <x:c r="D32" s="6" t="str">
        <x:v>企业基本及公开联系</x:v>
      </x:c>
      <x:c r="E32" s="6" t="str">
        <x:v>H股发行价</x:v>
      </x:c>
      <x:c r="F32" s="16" t="n">
        <x:v>10.95</x:v>
      </x:c>
      <x:c r="G32" s="6" t="str">
        <x:v>港元/股</x:v>
      </x:c>
      <x:c r="H32" s="6" t="str">
        <x:v>2026-10-08</x:v>
      </x:c>
      <x:c r="I32" s="13"/>
      <x:c r="J32" s="6" t="str">
        <x:v>F004</x:v>
      </x:c>
      <x:c r="K32" s="6" t="str">
        <x:v>官方静态网页；截至核查日</x:v>
      </x:c>
      <x:c r="L32" s="6" t="str"/>
      <x:c r="M32" s="6" t="str">
        <x:v>官网无明确发布日期；静态基础字段按核查日记录。</x:v>
      </x:c>
    </x:row>
    <x:row r="33" ht="34" customHeight="1">
      <x:c r="A33" s="6" t="str">
        <x:v>R0252</x:v>
      </x:c>
      <x:c r="B33" s="6" t="str">
        <x:v>比亚迪股份有限公司</x:v>
      </x:c>
      <x:c r="C33" s="6" t="str">
        <x:v>官方披露集团/子公司</x:v>
      </x:c>
      <x:c r="D33" s="6" t="str">
        <x:v>企业基本及公开联系</x:v>
      </x:c>
      <x:c r="E33" s="6" t="str">
        <x:v>注册资本</x:v>
      </x:c>
      <x:c r="F33" s="16" t="n">
        <x:v>911719.7565</x:v>
      </x:c>
      <x:c r="G33" s="6" t="str">
        <x:v>人民币万元</x:v>
      </x:c>
      <x:c r="H33" s="6" t="str">
        <x:v>2026-10-08</x:v>
      </x:c>
      <x:c r="I33" s="13"/>
      <x:c r="J33" s="6" t="str">
        <x:v>F004</x:v>
      </x:c>
      <x:c r="K33" s="6" t="str">
        <x:v>官方静态网页；截至核查日</x:v>
      </x:c>
      <x:c r="L33" s="6" t="str"/>
      <x:c r="M33" s="6" t="str">
        <x:v>官网无明确发布日期；静态基础字段按核查日记录。</x:v>
      </x:c>
    </x:row>
    <x:row r="34" ht="72" customHeight="1">
      <x:c r="A34" s="6" t="str">
        <x:v>R0257</x:v>
      </x:c>
      <x:c r="B34" s="6" t="str">
        <x:v>比亚迪股份有限公司</x:v>
      </x:c>
      <x:c r="C34" s="6" t="str">
        <x:v>官方披露集团/子公司</x:v>
      </x:c>
      <x:c r="D34" s="6" t="str">
        <x:v>企业基本及公开联系</x:v>
      </x:c>
      <x:c r="E34" s="6" t="str">
        <x:v>香港IPR公关热线(投资者及传媒关系顾问)</x:v>
      </x:c>
      <x:c r="F34" s="14" t="str">
        <x:v>+852-21366185</x:v>
      </x:c>
      <x:c r="G34" s="6" t="str"/>
      <x:c r="H34" s="6" t="str">
        <x:v>2026-10-08</x:v>
      </x:c>
      <x:c r="I34" s="13"/>
      <x:c r="J34" s="6" t="str">
        <x:v>F004</x:v>
      </x:c>
      <x:c r="K34" s="6" t="str">
        <x:v>官方静态网页；截至核查日</x:v>
      </x:c>
      <x:c r="L34" s="6" t="str"/>
      <x:c r="M34" s="6" t="str">
        <x:v>官网无明确发布日期;静态基础字段按核查日记录。投资者关系热线,不等于采购联系电话。；原文将该号码列为第三方顾问IPR公关热线；比亚迪自有投资者关系热线另为(+86)755-8988 8888-62126。原字段可能让读者误认自有香港投资者关系部门。</x:v>
      </x:c>
    </x:row>
    <x:row r="35" ht="40" customHeight="1">
      <x:c r="A35" s="6" t="str">
        <x:v>R0258</x:v>
      </x:c>
      <x:c r="B35" s="6" t="str">
        <x:v>比亚迪股份有限公司</x:v>
      </x:c>
      <x:c r="C35" s="6" t="str">
        <x:v>官方披露集团/子公司</x:v>
      </x:c>
      <x:c r="D35" s="6" t="str">
        <x:v>企业基本及公开联系</x:v>
      </x:c>
      <x:c r="E35" s="6" t="str">
        <x:v>香港IPR公关邮箱</x:v>
      </x:c>
      <x:c r="F35" s="6" t="str">
        <x:v>byd@ipr.com.hk</x:v>
      </x:c>
      <x:c r="G35" s="6" t="str"/>
      <x:c r="H35" s="6" t="str">
        <x:v>2026-10-08</x:v>
      </x:c>
      <x:c r="I35" s="13"/>
      <x:c r="J35" s="6" t="str">
        <x:v>F004</x:v>
      </x:c>
      <x:c r="K35" s="6" t="str">
        <x:v>官方静态网页；截至核查日</x:v>
      </x:c>
      <x:c r="L35" s="6" t="str">
        <x:v>原文公开；未验证接通或收信</x:v>
      </x:c>
      <x:c r="M35" s="6" t="str">
        <x:v>官网无明确发布日期；静态基础字段按核查日记录。公关联系资料，不等于采购邮箱。</x:v>
      </x:c>
    </x:row>
    <x:row r="36" ht="40" customHeight="1">
      <x:c r="A36" s="6" t="str">
        <x:v>R0249</x:v>
      </x:c>
      <x:c r="B36" s="6" t="str">
        <x:v>比亚迪股份有限公司</x:v>
      </x:c>
      <x:c r="C36" s="6" t="str">
        <x:v>官方披露集团/子公司</x:v>
      </x:c>
      <x:c r="D36" s="6" t="str">
        <x:v>治理</x:v>
      </x:c>
      <x:c r="E36" s="6" t="str">
        <x:v>王传福持股比例</x:v>
      </x:c>
      <x:c r="F36" s="16" t="n">
        <x:v>17.06</x:v>
      </x:c>
      <x:c r="G36" s="6" t="str">
        <x:v>%</x:v>
      </x:c>
      <x:c r="H36" s="6" t="str">
        <x:v>2026-06-30</x:v>
      </x:c>
      <x:c r="I36" s="13" t="d">
        <x:v>2026-08-29T00:00:00.000Z</x:v>
      </x:c>
      <x:c r="J36" s="6" t="str">
        <x:v>F002</x:v>
      </x:c>
      <x:c r="K36" s="6" t="str">
        <x:v>官方披露已核验</x:v>
      </x:c>
      <x:c r="L36" s="6" t="str"/>
      <x:c r="M36" s="6" t="str">
        <x:v>报告明确为第一大股东,不自动等同于控股股东。 核查日期:2026-10-08。；披露日期依据巨潮发布目录；报告批准日另列，不混同</x:v>
      </x:c>
    </x:row>
    <x:row r="37" ht="40" customHeight="1">
      <x:c r="A37" s="6" t="str">
        <x:v>R0248</x:v>
      </x:c>
      <x:c r="B37" s="6" t="str">
        <x:v>比亚迪股份有限公司</x:v>
      </x:c>
      <x:c r="C37" s="6" t="str">
        <x:v>官方披露集团/子公司</x:v>
      </x:c>
      <x:c r="D37" s="6" t="str">
        <x:v>治理</x:v>
      </x:c>
      <x:c r="E37" s="6" t="str">
        <x:v>直接第一大及最终第一大股东</x:v>
      </x:c>
      <x:c r="F37" s="6" t="str">
        <x:v>王传福</x:v>
      </x:c>
      <x:c r="G37" s="6" t="str"/>
      <x:c r="H37" s="6" t="str">
        <x:v>2026-06-30</x:v>
      </x:c>
      <x:c r="I37" s="13" t="d">
        <x:v>2026-08-29T00:00:00.000Z</x:v>
      </x:c>
      <x:c r="J37" s="6" t="str">
        <x:v>F002</x:v>
      </x:c>
      <x:c r="K37" s="6" t="str">
        <x:v>官方披露已核验</x:v>
      </x:c>
      <x:c r="L37" s="6" t="str"/>
      <x:c r="M37" s="6" t="str">
        <x:v>核查日期:2026-10-08。；披露日期依据巨潮发布目录；报告批准日另列，不混同</x:v>
      </x:c>
    </x:row>
    <x:row r="38" ht="40" customHeight="1">
      <x:c r="A38" s="6" t="str">
        <x:v>R0250</x:v>
      </x:c>
      <x:c r="B38" s="6" t="str">
        <x:v>比亚迪股份有限公司</x:v>
      </x:c>
      <x:c r="C38" s="6" t="str">
        <x:v>官方披露集团/子公司</x:v>
      </x:c>
      <x:c r="D38" s="6" t="str">
        <x:v>股本</x:v>
      </x:c>
      <x:c r="E38" s="6" t="str">
        <x:v>A股发行股数</x:v>
      </x:c>
      <x:c r="F38" s="15" t="n">
        <x:v>5433798</x:v>
      </x:c>
      <x:c r="G38" s="6" t="str">
        <x:v>千股</x:v>
      </x:c>
      <x:c r="H38" s="6" t="str">
        <x:v>2026-06-30</x:v>
      </x:c>
      <x:c r="I38" s="13" t="d">
        <x:v>2026-08-29T00:00:00.000Z</x:v>
      </x:c>
      <x:c r="J38" s="6" t="str">
        <x:v>F002</x:v>
      </x:c>
      <x:c r="K38" s="6" t="str">
        <x:v>官方披露已核验</x:v>
      </x:c>
      <x:c r="L38" s="6" t="str"/>
      <x:c r="M38" s="6" t="str">
        <x:v>核查日期:2026-10-08。；披露日期依据巨潮发布目录；报告批准日另列，不混同</x:v>
      </x:c>
    </x:row>
    <x:row r="39" ht="40" customHeight="1">
      <x:c r="A39" s="6" t="str">
        <x:v>R0251</x:v>
      </x:c>
      <x:c r="B39" s="6" t="str">
        <x:v>比亚迪股份有限公司</x:v>
      </x:c>
      <x:c r="C39" s="6" t="str">
        <x:v>官方披露集团/子公司</x:v>
      </x:c>
      <x:c r="D39" s="6" t="str">
        <x:v>股本</x:v>
      </x:c>
      <x:c r="E39" s="6" t="str">
        <x:v>H股发行股数</x:v>
      </x:c>
      <x:c r="F39" s="15" t="n">
        <x:v>3683400</x:v>
      </x:c>
      <x:c r="G39" s="6" t="str">
        <x:v>千股</x:v>
      </x:c>
      <x:c r="H39" s="6" t="str">
        <x:v>2026-06-30</x:v>
      </x:c>
      <x:c r="I39" s="13" t="d">
        <x:v>2026-08-29T00:00:00.000Z</x:v>
      </x:c>
      <x:c r="J39" s="6" t="str">
        <x:v>F002</x:v>
      </x:c>
      <x:c r="K39" s="6" t="str">
        <x:v>官方披露已核验</x:v>
      </x:c>
      <x:c r="L39" s="6" t="str"/>
      <x:c r="M39" s="6" t="str">
        <x:v>核查日期:2026-10-08。；披露日期依据巨潮发布目录；报告批准日另列，不混同</x:v>
      </x:c>
    </x:row>
    <x:row r="40" ht="56" customHeight="1">
      <x:c r="A40" s="6" t="str">
        <x:v>R0361</x:v>
      </x:c>
      <x:c r="B40" s="6" t="str">
        <x:v>合肥比亚迪汽车有限公司</x:v>
      </x:c>
      <x:c r="C40" s="6" t="str">
        <x:v>官方披露集团/子公司</x:v>
      </x:c>
      <x:c r="D40" s="6" t="str">
        <x:v>母子实体</x:v>
      </x:c>
      <x:c r="E40" s="6" t="str">
        <x:v>业务性质</x:v>
      </x:c>
      <x:c r="F40" s="6" t="str">
        <x:v>制造</x:v>
      </x:c>
      <x:c r="G40" s="6" t="str"/>
      <x:c r="H40" s="6" t="str">
        <x:v>2026-06-30</x:v>
      </x:c>
      <x:c r="I40" s="13" t="d">
        <x:v>2026-08-29T00:00:00.000Z</x:v>
      </x:c>
      <x:c r="J40" s="6" t="str">
        <x:v>F002</x:v>
      </x:c>
      <x:c r="K40" s="6" t="str">
        <x:v>官方披露已核验</x:v>
      </x:c>
      <x:c r="L40" s="6" t="str"/>
      <x:c r="M40"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41" ht="56" customHeight="1">
      <x:c r="A41" s="6" t="str">
        <x:v>R0360</x:v>
      </x:c>
      <x:c r="B41" s="6" t="str">
        <x:v>合肥比亚迪汽车有限公司</x:v>
      </x:c>
      <x:c r="C41" s="6" t="str">
        <x:v>官方披露集团/子公司</x:v>
      </x:c>
      <x:c r="D41" s="6" t="str">
        <x:v>母子实体</x:v>
      </x:c>
      <x:c r="E41" s="6" t="str">
        <x:v>主要经营地及注册地</x:v>
      </x:c>
      <x:c r="F41" s="6" t="str">
        <x:v>合肥</x:v>
      </x:c>
      <x:c r="G41" s="6" t="str"/>
      <x:c r="H41" s="6" t="str">
        <x:v>2026-06-30</x:v>
      </x:c>
      <x:c r="I41" s="13" t="d">
        <x:v>2026-08-29T00:00:00.000Z</x:v>
      </x:c>
      <x:c r="J41" s="6" t="str">
        <x:v>F002</x:v>
      </x:c>
      <x:c r="K41" s="6" t="str">
        <x:v>官方披露已核验</x:v>
      </x:c>
      <x:c r="L41" s="6" t="str"/>
      <x:c r="M41"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42" ht="56" customHeight="1">
      <x:c r="A42" s="6" t="str">
        <x:v>R0359</x:v>
      </x:c>
      <x:c r="B42" s="6" t="str">
        <x:v>合肥比亚迪汽车有限公司</x:v>
      </x:c>
      <x:c r="C42" s="6" t="str">
        <x:v>官方披露集团/子公司</x:v>
      </x:c>
      <x:c r="D42" s="6" t="str">
        <x:v>母子实体</x:v>
      </x:c>
      <x:c r="E42" s="6" t="str">
        <x:v>母子关系</x:v>
      </x:c>
      <x:c r="F42" s="6" t="str">
        <x:v>比亚迪股份有限公司重要子公司</x:v>
      </x:c>
      <x:c r="G42" s="6" t="str"/>
      <x:c r="H42" s="6" t="str">
        <x:v>2026-06-30</x:v>
      </x:c>
      <x:c r="I42" s="13" t="d">
        <x:v>2026-08-29T00:00:00.000Z</x:v>
      </x:c>
      <x:c r="J42" s="6" t="str">
        <x:v>F002</x:v>
      </x:c>
      <x:c r="K42" s="6" t="str">
        <x:v>官方披露已核验</x:v>
      </x:c>
      <x:c r="L42" s="6" t="str"/>
      <x:c r="M42"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43" ht="56" customHeight="1">
      <x:c r="A43" s="6" t="str">
        <x:v>R0363</x:v>
      </x:c>
      <x:c r="B43" s="6" t="str">
        <x:v>合肥比亚迪汽车有限公司</x:v>
      </x:c>
      <x:c r="C43" s="6" t="str">
        <x:v>官方披露集团/子公司</x:v>
      </x:c>
      <x:c r="D43" s="6" t="str">
        <x:v>母子实体</x:v>
      </x:c>
      <x:c r="E43" s="6" t="str">
        <x:v>比亚迪股份间接持股比例</x:v>
      </x:c>
      <x:c r="F43" s="15" t="n">
        <x:v>100</x:v>
      </x:c>
      <x:c r="G43" s="6" t="str">
        <x:v>%</x:v>
      </x:c>
      <x:c r="H43" s="6" t="str">
        <x:v>2026-06-30</x:v>
      </x:c>
      <x:c r="I43" s="13" t="d">
        <x:v>2026-08-29T00:00:00.000Z</x:v>
      </x:c>
      <x:c r="J43" s="6" t="str">
        <x:v>F002</x:v>
      </x:c>
      <x:c r="K43" s="6" t="str">
        <x:v>官方披露已核验</x:v>
      </x:c>
      <x:c r="L43" s="6" t="str"/>
      <x:c r="M43"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44" ht="56" customHeight="1">
      <x:c r="A44" s="6" t="str">
        <x:v>R0362</x:v>
      </x:c>
      <x:c r="B44" s="6" t="str">
        <x:v>合肥比亚迪汽车有限公司</x:v>
      </x:c>
      <x:c r="C44" s="6" t="str">
        <x:v>官方披露集团/子公司</x:v>
      </x:c>
      <x:c r="D44" s="6" t="str">
        <x:v>母子实体</x:v>
      </x:c>
      <x:c r="E44" s="6" t="str">
        <x:v>注册资本/股本</x:v>
      </x:c>
      <x:c r="F44" s="15" t="n">
        <x:v>2000000000</x:v>
      </x:c>
      <x:c r="G44" s="6" t="str">
        <x:v>人民币元</x:v>
      </x:c>
      <x:c r="H44" s="6" t="str">
        <x:v>2026-06-30</x:v>
      </x:c>
      <x:c r="I44" s="13" t="d">
        <x:v>2026-08-29T00:00:00.000Z</x:v>
      </x:c>
      <x:c r="J44" s="6" t="str">
        <x:v>F002</x:v>
      </x:c>
      <x:c r="K44" s="6" t="str">
        <x:v>官方披露已核验</x:v>
      </x:c>
      <x:c r="L44" s="6" t="str"/>
      <x:c r="M44"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45" ht="56" customHeight="1">
      <x:c r="A45" s="6" t="str">
        <x:v>R0386</x:v>
      </x:c>
      <x:c r="B45" s="6" t="str">
        <x:v>常州比亚迪汽车有限公司</x:v>
      </x:c>
      <x:c r="C45" s="6" t="str">
        <x:v>官方披露集团/子公司</x:v>
      </x:c>
      <x:c r="D45" s="6" t="str">
        <x:v>母子实体</x:v>
      </x:c>
      <x:c r="E45" s="6" t="str">
        <x:v>业务性质</x:v>
      </x:c>
      <x:c r="F45" s="6" t="str">
        <x:v>制造</x:v>
      </x:c>
      <x:c r="G45" s="6" t="str"/>
      <x:c r="H45" s="6" t="str">
        <x:v>2026-06-30</x:v>
      </x:c>
      <x:c r="I45" s="13" t="d">
        <x:v>2026-08-29T00:00:00.000Z</x:v>
      </x:c>
      <x:c r="J45" s="6" t="str">
        <x:v>F002</x:v>
      </x:c>
      <x:c r="K45" s="6" t="str">
        <x:v>官方披露已核验</x:v>
      </x:c>
      <x:c r="L45" s="6" t="str"/>
      <x:c r="M45"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46" ht="56" customHeight="1">
      <x:c r="A46" s="6" t="str">
        <x:v>R0385</x:v>
      </x:c>
      <x:c r="B46" s="6" t="str">
        <x:v>常州比亚迪汽车有限公司</x:v>
      </x:c>
      <x:c r="C46" s="6" t="str">
        <x:v>官方披露集团/子公司</x:v>
      </x:c>
      <x:c r="D46" s="6" t="str">
        <x:v>母子实体</x:v>
      </x:c>
      <x:c r="E46" s="6" t="str">
        <x:v>主要经营地及注册地</x:v>
      </x:c>
      <x:c r="F46" s="6" t="str">
        <x:v>常州</x:v>
      </x:c>
      <x:c r="G46" s="6" t="str"/>
      <x:c r="H46" s="6" t="str">
        <x:v>2026-06-30</x:v>
      </x:c>
      <x:c r="I46" s="13" t="d">
        <x:v>2026-08-29T00:00:00.000Z</x:v>
      </x:c>
      <x:c r="J46" s="6" t="str">
        <x:v>F002</x:v>
      </x:c>
      <x:c r="K46" s="6" t="str">
        <x:v>官方披露已核验</x:v>
      </x:c>
      <x:c r="L46" s="6" t="str"/>
      <x:c r="M46"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47" ht="56" customHeight="1">
      <x:c r="A47" s="6" t="str">
        <x:v>R0384</x:v>
      </x:c>
      <x:c r="B47" s="6" t="str">
        <x:v>常州比亚迪汽车有限公司</x:v>
      </x:c>
      <x:c r="C47" s="6" t="str">
        <x:v>官方披露集团/子公司</x:v>
      </x:c>
      <x:c r="D47" s="6" t="str">
        <x:v>母子实体</x:v>
      </x:c>
      <x:c r="E47" s="6" t="str">
        <x:v>母子关系</x:v>
      </x:c>
      <x:c r="F47" s="6" t="str">
        <x:v>比亚迪股份有限公司重要子公司</x:v>
      </x:c>
      <x:c r="G47" s="6" t="str"/>
      <x:c r="H47" s="6" t="str">
        <x:v>2026-06-30</x:v>
      </x:c>
      <x:c r="I47" s="13" t="d">
        <x:v>2026-08-29T00:00:00.000Z</x:v>
      </x:c>
      <x:c r="J47" s="6" t="str">
        <x:v>F002</x:v>
      </x:c>
      <x:c r="K47" s="6" t="str">
        <x:v>官方披露已核验</x:v>
      </x:c>
      <x:c r="L47" s="6" t="str"/>
      <x:c r="M47"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48" ht="56" customHeight="1">
      <x:c r="A48" s="6" t="str">
        <x:v>R0388</x:v>
      </x:c>
      <x:c r="B48" s="6" t="str">
        <x:v>常州比亚迪汽车有限公司</x:v>
      </x:c>
      <x:c r="C48" s="6" t="str">
        <x:v>官方披露集团/子公司</x:v>
      </x:c>
      <x:c r="D48" s="6" t="str">
        <x:v>母子实体</x:v>
      </x:c>
      <x:c r="E48" s="6" t="str">
        <x:v>比亚迪股份间接持股比例</x:v>
      </x:c>
      <x:c r="F48" s="15" t="n">
        <x:v>100</x:v>
      </x:c>
      <x:c r="G48" s="6" t="str">
        <x:v>%</x:v>
      </x:c>
      <x:c r="H48" s="6" t="str">
        <x:v>2026-06-30</x:v>
      </x:c>
      <x:c r="I48" s="13" t="d">
        <x:v>2026-08-29T00:00:00.000Z</x:v>
      </x:c>
      <x:c r="J48" s="6" t="str">
        <x:v>F002</x:v>
      </x:c>
      <x:c r="K48" s="6" t="str">
        <x:v>官方披露已核验</x:v>
      </x:c>
      <x:c r="L48" s="6" t="str"/>
      <x:c r="M48"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49" ht="56" customHeight="1">
      <x:c r="A49" s="6" t="str">
        <x:v>R0387</x:v>
      </x:c>
      <x:c r="B49" s="6" t="str">
        <x:v>常州比亚迪汽车有限公司</x:v>
      </x:c>
      <x:c r="C49" s="6" t="str">
        <x:v>官方披露集团/子公司</x:v>
      </x:c>
      <x:c r="D49" s="6" t="str">
        <x:v>母子实体</x:v>
      </x:c>
      <x:c r="E49" s="6" t="str">
        <x:v>注册资本/股本</x:v>
      </x:c>
      <x:c r="F49" s="15" t="n">
        <x:v>50000000</x:v>
      </x:c>
      <x:c r="G49" s="6" t="str">
        <x:v>人民币元</x:v>
      </x:c>
      <x:c r="H49" s="6" t="str">
        <x:v>2026-06-30</x:v>
      </x:c>
      <x:c r="I49" s="13" t="d">
        <x:v>2026-08-29T00:00:00.000Z</x:v>
      </x:c>
      <x:c r="J49" s="6" t="str">
        <x:v>F002</x:v>
      </x:c>
      <x:c r="K49" s="6" t="str">
        <x:v>官方披露已核验</x:v>
      </x:c>
      <x:c r="L49" s="6" t="str"/>
      <x:c r="M49"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50" ht="56" customHeight="1">
      <x:c r="A50" s="6" t="str">
        <x:v>R0381</x:v>
      </x:c>
      <x:c r="B50" s="6" t="str">
        <x:v>惠州比亚迪电子有限公司</x:v>
      </x:c>
      <x:c r="C50" s="6" t="str">
        <x:v>官方披露集团/子公司</x:v>
      </x:c>
      <x:c r="D50" s="6" t="str">
        <x:v>母子实体</x:v>
      </x:c>
      <x:c r="E50" s="6" t="str">
        <x:v>业务性质</x:v>
      </x:c>
      <x:c r="F50" s="6" t="str">
        <x:v>制造</x:v>
      </x:c>
      <x:c r="G50" s="6" t="str"/>
      <x:c r="H50" s="6" t="str">
        <x:v>2026-06-30</x:v>
      </x:c>
      <x:c r="I50" s="13" t="d">
        <x:v>2026-08-29T00:00:00.000Z</x:v>
      </x:c>
      <x:c r="J50" s="6" t="str">
        <x:v>F002</x:v>
      </x:c>
      <x:c r="K50" s="6" t="str">
        <x:v>官方披露已核验</x:v>
      </x:c>
      <x:c r="L50" s="6" t="str"/>
      <x:c r="M50"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51" ht="56" customHeight="1">
      <x:c r="A51" s="6" t="str">
        <x:v>R0380</x:v>
      </x:c>
      <x:c r="B51" s="6" t="str">
        <x:v>惠州比亚迪电子有限公司</x:v>
      </x:c>
      <x:c r="C51" s="6" t="str">
        <x:v>官方披露集团/子公司</x:v>
      </x:c>
      <x:c r="D51" s="6" t="str">
        <x:v>母子实体</x:v>
      </x:c>
      <x:c r="E51" s="6" t="str">
        <x:v>主要经营地及注册地</x:v>
      </x:c>
      <x:c r="F51" s="6" t="str">
        <x:v>惠州</x:v>
      </x:c>
      <x:c r="G51" s="6" t="str"/>
      <x:c r="H51" s="6" t="str">
        <x:v>2026-06-30</x:v>
      </x:c>
      <x:c r="I51" s="13" t="d">
        <x:v>2026-08-29T00:00:00.000Z</x:v>
      </x:c>
      <x:c r="J51" s="6" t="str">
        <x:v>F002</x:v>
      </x:c>
      <x:c r="K51" s="6" t="str">
        <x:v>官方披露已核验</x:v>
      </x:c>
      <x:c r="L51" s="6" t="str"/>
      <x:c r="M51"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52" ht="56" customHeight="1">
      <x:c r="A52" s="6" t="str">
        <x:v>R0379</x:v>
      </x:c>
      <x:c r="B52" s="6" t="str">
        <x:v>惠州比亚迪电子有限公司</x:v>
      </x:c>
      <x:c r="C52" s="6" t="str">
        <x:v>官方披露集团/子公司</x:v>
      </x:c>
      <x:c r="D52" s="6" t="str">
        <x:v>母子实体</x:v>
      </x:c>
      <x:c r="E52" s="6" t="str">
        <x:v>母子关系</x:v>
      </x:c>
      <x:c r="F52" s="6" t="str">
        <x:v>比亚迪股份有限公司重要子公司</x:v>
      </x:c>
      <x:c r="G52" s="6" t="str"/>
      <x:c r="H52" s="6" t="str">
        <x:v>2026-06-30</x:v>
      </x:c>
      <x:c r="I52" s="13" t="d">
        <x:v>2026-08-29T00:00:00.000Z</x:v>
      </x:c>
      <x:c r="J52" s="6" t="str">
        <x:v>F002</x:v>
      </x:c>
      <x:c r="K52" s="6" t="str">
        <x:v>官方披露已核验</x:v>
      </x:c>
      <x:c r="L52" s="6" t="str"/>
      <x:c r="M52"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53" ht="56" customHeight="1">
      <x:c r="A53" s="6" t="str">
        <x:v>R0383</x:v>
      </x:c>
      <x:c r="B53" s="6" t="str">
        <x:v>惠州比亚迪电子有限公司</x:v>
      </x:c>
      <x:c r="C53" s="6" t="str">
        <x:v>官方披露集团/子公司</x:v>
      </x:c>
      <x:c r="D53" s="6" t="str">
        <x:v>母子实体</x:v>
      </x:c>
      <x:c r="E53" s="6" t="str">
        <x:v>比亚迪股份间接持股比例</x:v>
      </x:c>
      <x:c r="F53" s="16" t="n">
        <x:v>65.76</x:v>
      </x:c>
      <x:c r="G53" s="6" t="str">
        <x:v>%</x:v>
      </x:c>
      <x:c r="H53" s="6" t="str">
        <x:v>2026-06-30</x:v>
      </x:c>
      <x:c r="I53" s="13" t="d">
        <x:v>2026-08-29T00:00:00.000Z</x:v>
      </x:c>
      <x:c r="J53" s="6" t="str">
        <x:v>F002</x:v>
      </x:c>
      <x:c r="K53" s="6" t="str">
        <x:v>官方披露已核验</x:v>
      </x:c>
      <x:c r="L53" s="6" t="str"/>
      <x:c r="M53"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54" ht="56" customHeight="1">
      <x:c r="A54" s="6" t="str">
        <x:v>R0382</x:v>
      </x:c>
      <x:c r="B54" s="6" t="str">
        <x:v>惠州比亚迪电子有限公司</x:v>
      </x:c>
      <x:c r="C54" s="6" t="str">
        <x:v>官方披露集团/子公司</x:v>
      </x:c>
      <x:c r="D54" s="6" t="str">
        <x:v>母子实体</x:v>
      </x:c>
      <x:c r="E54" s="6" t="str">
        <x:v>注册资本/股本</x:v>
      </x:c>
      <x:c r="F54" s="15" t="n">
        <x:v>110000000</x:v>
      </x:c>
      <x:c r="G54" s="6" t="str">
        <x:v>美元</x:v>
      </x:c>
      <x:c r="H54" s="6" t="str">
        <x:v>2026-06-30</x:v>
      </x:c>
      <x:c r="I54" s="13" t="d">
        <x:v>2026-08-29T00:00:00.000Z</x:v>
      </x:c>
      <x:c r="J54" s="6" t="str">
        <x:v>F002</x:v>
      </x:c>
      <x:c r="K54" s="6" t="str">
        <x:v>官方披露已核验</x:v>
      </x:c>
      <x:c r="L54" s="6" t="str"/>
      <x:c r="M54"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55" ht="34" customHeight="1">
      <x:c r="A55" s="6" t="str">
        <x:v>R0075</x:v>
      </x:c>
      <x:c r="B55" s="6" t="str">
        <x:v>惠州比亚迪电池有限公司</x:v>
      </x:c>
      <x:c r="C55" s="6" t="str">
        <x:v>公告比亚迪命名主体；股权关系未核</x:v>
      </x:c>
      <x:c r="D55" s="6" t="str">
        <x:v>主体</x:v>
      </x:c>
      <x:c r="E55" s="6" t="str">
        <x:v>实际采购主体</x:v>
      </x:c>
      <x:c r="F55" s="6" t="str">
        <x:v>惠州比亚迪电池有限公司</x:v>
      </x:c>
      <x:c r="G55" s="6" t="str"/>
      <x:c r="H55" s="6" t="str">
        <x:v>2026-07-01</x:v>
      </x:c>
      <x:c r="I55" s="13" t="d">
        <x:v>2026-07-01T00:00:00.000Z</x:v>
      </x:c>
      <x:c r="J55" s="6" t="str">
        <x:v>O001</x:v>
      </x:c>
      <x:c r="K55" s="6" t="str">
        <x:v>原文明确</x:v>
      </x:c>
      <x:c r="L55" s="6" t="str"/>
      <x:c r="M55" s="6" t="str">
        <x:v>不根据名称推断股权关系</x:v>
      </x:c>
    </x:row>
    <x:row r="56" ht="34" customHeight="1">
      <x:c r="A56" s="6" t="str">
        <x:v>R0135</x:v>
      </x:c>
      <x:c r="B56" s="6" t="str">
        <x:v>惠州比亚迪电池有限公司</x:v>
      </x:c>
      <x:c r="C56" s="6" t="str">
        <x:v>公告比亚迪命名主体；股权关系未核</x:v>
      </x:c>
      <x:c r="D56" s="6" t="str">
        <x:v>主体</x:v>
      </x:c>
      <x:c r="E56" s="6" t="str">
        <x:v>实际采购主体</x:v>
      </x:c>
      <x:c r="F56" s="6" t="str">
        <x:v>惠州比亚迪电池有限公司</x:v>
      </x:c>
      <x:c r="G56" s="6" t="str"/>
      <x:c r="H56" s="6" t="str">
        <x:v>2026-07-10</x:v>
      </x:c>
      <x:c r="I56" s="13" t="d">
        <x:v>2026-07-10T00:00:00.000Z</x:v>
      </x:c>
      <x:c r="J56" s="6" t="str">
        <x:v>O005</x:v>
      </x:c>
      <x:c r="K56" s="6" t="str">
        <x:v>原文明确</x:v>
      </x:c>
      <x:c r="L56" s="6" t="str"/>
      <x:c r="M56" s="6" t="str">
        <x:v>不根据名称推断股权关系</x:v>
      </x:c>
    </x:row>
    <x:row r="57" ht="34" customHeight="1">
      <x:c r="A57" s="6" t="str">
        <x:v>R0157</x:v>
      </x:c>
      <x:c r="B57" s="6" t="str">
        <x:v>惠州比亚迪电池有限公司</x:v>
      </x:c>
      <x:c r="C57" s="6" t="str">
        <x:v>公告比亚迪命名主体；股权关系未核</x:v>
      </x:c>
      <x:c r="D57" s="6" t="str">
        <x:v>主体</x:v>
      </x:c>
      <x:c r="E57" s="6" t="str">
        <x:v>实际采购主体</x:v>
      </x:c>
      <x:c r="F57" s="6" t="str">
        <x:v>惠州比亚迪电池有限公司</x:v>
      </x:c>
      <x:c r="G57" s="6" t="str"/>
      <x:c r="H57" s="6" t="str">
        <x:v>2026-07-28</x:v>
      </x:c>
      <x:c r="I57" s="13" t="d">
        <x:v>2026-07-28T00:00:00.000Z</x:v>
      </x:c>
      <x:c r="J57" s="6" t="str">
        <x:v>O007</x:v>
      </x:c>
      <x:c r="K57" s="6" t="str">
        <x:v>原文明确</x:v>
      </x:c>
      <x:c r="L57" s="6" t="str"/>
      <x:c r="M57" s="6" t="str">
        <x:v>不根据名称推断股权关系</x:v>
      </x:c>
    </x:row>
    <x:row r="58" ht="34" customHeight="1">
      <x:c r="A58" s="6" t="str">
        <x:v>R0172</x:v>
      </x:c>
      <x:c r="B58" s="6" t="str">
        <x:v>惠州比亚迪电池有限公司</x:v>
      </x:c>
      <x:c r="C58" s="6" t="str">
        <x:v>公告比亚迪命名主体；股权关系未核</x:v>
      </x:c>
      <x:c r="D58" s="6" t="str">
        <x:v>主体</x:v>
      </x:c>
      <x:c r="E58" s="6" t="str">
        <x:v>实际采购主体</x:v>
      </x:c>
      <x:c r="F58" s="6" t="str">
        <x:v>惠州比亚迪电池有限公司</x:v>
      </x:c>
      <x:c r="G58" s="6" t="str"/>
      <x:c r="H58" s="6" t="str">
        <x:v>2026-08-19</x:v>
      </x:c>
      <x:c r="I58" s="13" t="d">
        <x:v>2026-08-19T00:00:00.000Z</x:v>
      </x:c>
      <x:c r="J58" s="6" t="str">
        <x:v>O008</x:v>
      </x:c>
      <x:c r="K58" s="6" t="str">
        <x:v>原文明确</x:v>
      </x:c>
      <x:c r="L58" s="6" t="str"/>
      <x:c r="M58" s="6" t="str">
        <x:v>不根据名称推断股权关系</x:v>
      </x:c>
    </x:row>
    <x:row r="59" ht="40" customHeight="1">
      <x:c r="A59" s="6" t="str">
        <x:v>R0184</x:v>
      </x:c>
      <x:c r="B59" s="6" t="str">
        <x:v>惠州比亚迪电池有限公司</x:v>
      </x:c>
      <x:c r="C59" s="6" t="str">
        <x:v>公告比亚迪命名主体；股权关系未核</x:v>
      </x:c>
      <x:c r="D59" s="6" t="str">
        <x:v>主体</x:v>
      </x:c>
      <x:c r="E59" s="6" t="str">
        <x:v>实际采购主体</x:v>
      </x:c>
      <x:c r="F59" s="6" t="str">
        <x:v>惠州比亚迪电池有限公司</x:v>
      </x:c>
      <x:c r="G59" s="6" t="str"/>
      <x:c r="H59" s="6" t="str">
        <x:v>2026-09-01</x:v>
      </x:c>
      <x:c r="I59" s="13" t="d">
        <x:v>2026-09-01T00:00:00.000Z</x:v>
      </x:c>
      <x:c r="J59" s="6" t="str">
        <x:v>O011</x:v>
      </x:c>
      <x:c r="K59" s="6" t="str">
        <x:v>原文明确</x:v>
      </x:c>
      <x:c r="L59" s="6" t="str"/>
      <x:c r="M59" s="6" t="str">
        <x:v>不根据名称推断股权关系；原PDF落款2026-09-01；网页发布日期2026-09-02，分列保留</x:v>
      </x:c>
    </x:row>
    <x:row r="60" ht="34" customHeight="1">
      <x:c r="A60" s="6" t="str">
        <x:v>R0083</x:v>
      </x:c>
      <x:c r="B60" s="6" t="str">
        <x:v>惠州比亚迪电池有限公司</x:v>
      </x:c>
      <x:c r="C60" s="6" t="str">
        <x:v>公告比亚迪命名主体；股权关系未核</x:v>
      </x:c>
      <x:c r="D60" s="6" t="str">
        <x:v>交易条款</x:v>
      </x:c>
      <x:c r="E60" s="6" t="str">
        <x:v>交货期限</x:v>
      </x:c>
      <x:c r="F60" s="6" t="str">
        <x:v>2.5交货期限:签订合同后 90天内交货。</x:v>
      </x:c>
      <x:c r="G60" s="6" t="str"/>
      <x:c r="H60" s="6" t="str">
        <x:v>2026-07-01</x:v>
      </x:c>
      <x:c r="I60" s="13" t="d">
        <x:v>2026-07-01T00:00:00.000Z</x:v>
      </x:c>
      <x:c r="J60" s="6" t="str">
        <x:v>O001</x:v>
      </x:c>
      <x:c r="K60" s="6" t="str">
        <x:v>原文明确</x:v>
      </x:c>
      <x:c r="L60" s="6" t="str"/>
      <x:c r="M60" s="6" t="str"/>
    </x:row>
    <x:row r="61" ht="40" customHeight="1">
      <x:c r="A61" s="6" t="str">
        <x:v>R0082</x:v>
      </x:c>
      <x:c r="B61" s="6" t="str">
        <x:v>惠州比亚迪电池有限公司</x:v>
      </x:c>
      <x:c r="C61" s="6" t="str">
        <x:v>公告比亚迪命名主体；股权关系未核</x:v>
      </x:c>
      <x:c r="D61" s="6" t="str">
        <x:v>交易条款</x:v>
      </x:c>
      <x:c r="E61" s="6" t="str">
        <x:v>付款条件</x:v>
      </x:c>
      <x:c r="F61" s="6" t="str">
        <x:v>付款条件:项目不含税预算金额250万元。付款条件:预付30%,到货凭票付30%,验收合格后凭票付30%,质保一年付10%,电汇。</x:v>
      </x:c>
      <x:c r="G61" s="6" t="str"/>
      <x:c r="H61" s="6" t="str">
        <x:v>2026-07-01</x:v>
      </x:c>
      <x:c r="I61" s="13" t="d">
        <x:v>2026-07-01T00:00:00.000Z</x:v>
      </x:c>
      <x:c r="J61" s="6" t="str">
        <x:v>O001</x:v>
      </x:c>
      <x:c r="K61" s="6" t="str">
        <x:v>原文明确</x:v>
      </x:c>
      <x:c r="L61" s="6" t="str"/>
      <x:c r="M61" s="6" t="str"/>
    </x:row>
    <x:row r="62" ht="34" customHeight="1">
      <x:c r="A62" s="6" t="str">
        <x:v>R0165</x:v>
      </x:c>
      <x:c r="B62" s="6" t="str">
        <x:v>惠州比亚迪电池有限公司</x:v>
      </x:c>
      <x:c r="C62" s="6" t="str">
        <x:v>公告比亚迪命名主体；股权关系未核</x:v>
      </x:c>
      <x:c r="D62" s="6" t="str">
        <x:v>交易条款</x:v>
      </x:c>
      <x:c r="E62" s="6" t="str">
        <x:v>交货期限</x:v>
      </x:c>
      <x:c r="F62" s="6" t="str">
        <x:v>2.5 交货期限:签订合同后 90 天内交货。</x:v>
      </x:c>
      <x:c r="G62" s="6" t="str"/>
      <x:c r="H62" s="6" t="str">
        <x:v>2026-07-28</x:v>
      </x:c>
      <x:c r="I62" s="13" t="d">
        <x:v>2026-07-28T00:00:00.000Z</x:v>
      </x:c>
      <x:c r="J62" s="6" t="str">
        <x:v>O007</x:v>
      </x:c>
      <x:c r="K62" s="6" t="str">
        <x:v>原文明确</x:v>
      </x:c>
      <x:c r="L62" s="6" t="str"/>
      <x:c r="M62" s="6" t="str"/>
    </x:row>
    <x:row r="63" ht="56" customHeight="1">
      <x:c r="A63" s="6" t="str">
        <x:v>R0164</x:v>
      </x:c>
      <x:c r="B63" s="6" t="str">
        <x:v>惠州比亚迪电池有限公司</x:v>
      </x:c>
      <x:c r="C63" s="6" t="str">
        <x:v>公告比亚迪命名主体；股权关系未核</x:v>
      </x:c>
      <x:c r="D63" s="6" t="str">
        <x:v>交易条款</x:v>
      </x:c>
      <x:c r="E63" s="6" t="str">
        <x:v>付款条件</x:v>
      </x:c>
      <x:c r="F63" s="6" t="str">
        <x:v>付款条件:项目不含税预算金额200 万元。付款方式: 预付 30%,到货凭票付 30%,验收合格后凭票付 30%,质保一年付10%,电汇。</x:v>
      </x:c>
      <x:c r="G63" s="6" t="str"/>
      <x:c r="H63" s="6" t="str">
        <x:v>2026-07-28</x:v>
      </x:c>
      <x:c r="I63" s="13" t="d">
        <x:v>2026-07-28T00:00:00.000Z</x:v>
      </x:c>
      <x:c r="J63" s="6" t="str">
        <x:v>O007</x:v>
      </x:c>
      <x:c r="K63" s="6" t="str">
        <x:v>原文明确</x:v>
      </x:c>
      <x:c r="L63" s="6" t="str"/>
      <x:c r="M63" s="6" t="str"/>
    </x:row>
    <x:row r="64" ht="34" customHeight="1">
      <x:c r="A64" s="6" t="str">
        <x:v>R0176</x:v>
      </x:c>
      <x:c r="B64" s="6" t="str">
        <x:v>惠州比亚迪电池有限公司</x:v>
      </x:c>
      <x:c r="C64" s="6" t="str">
        <x:v>公告比亚迪命名主体；股权关系未核</x:v>
      </x:c>
      <x:c r="D64" s="6" t="str">
        <x:v>交易条款</x:v>
      </x:c>
      <x:c r="E64" s="6" t="str">
        <x:v>交货期限</x:v>
      </x:c>
      <x:c r="F64" s="6" t="str">
        <x:v>交货期:签订合同后60天内交货。</x:v>
      </x:c>
      <x:c r="G64" s="6" t="str"/>
      <x:c r="H64" s="6" t="str">
        <x:v>2026-08-19</x:v>
      </x:c>
      <x:c r="I64" s="13" t="d">
        <x:v>2026-08-19T00:00:00.000Z</x:v>
      </x:c>
      <x:c r="J64" s="6" t="str">
        <x:v>O008</x:v>
      </x:c>
      <x:c r="K64" s="6" t="str">
        <x:v>原文明确</x:v>
      </x:c>
      <x:c r="L64" s="6" t="str"/>
      <x:c r="M64" s="6" t="str"/>
    </x:row>
    <x:row r="65" ht="40" customHeight="1">
      <x:c r="A65" s="6" t="str">
        <x:v>R0188</x:v>
      </x:c>
      <x:c r="B65" s="6" t="str">
        <x:v>惠州比亚迪电池有限公司</x:v>
      </x:c>
      <x:c r="C65" s="6" t="str">
        <x:v>公告比亚迪命名主体；股权关系未核</x:v>
      </x:c>
      <x:c r="D65" s="6" t="str">
        <x:v>交易条款</x:v>
      </x:c>
      <x:c r="E65" s="6" t="str">
        <x:v>交货期限</x:v>
      </x:c>
      <x:c r="F65" s="6" t="str">
        <x:v>交货期:签订合同后59天内交货。</x:v>
      </x:c>
      <x:c r="G65" s="6" t="str"/>
      <x:c r="H65" s="6" t="str">
        <x:v>2026-09-01</x:v>
      </x:c>
      <x:c r="I65" s="13" t="d">
        <x:v>2026-09-01T00:00:00.000Z</x:v>
      </x:c>
      <x:c r="J65" s="6" t="str">
        <x:v>O011</x:v>
      </x:c>
      <x:c r="K65" s="6" t="str">
        <x:v>原文明确</x:v>
      </x:c>
      <x:c r="L65" s="6" t="str"/>
      <x:c r="M65" s="6" t="str">
        <x:v>原PDF落款2026-09-01；网页发布日期2026-09-02，分列保留</x:v>
      </x:c>
    </x:row>
    <x:row r="66" ht="34" customHeight="1">
      <x:c r="A66" s="6" t="str">
        <x:v>R0175</x:v>
      </x:c>
      <x:c r="B66" s="6" t="str">
        <x:v>惠州比亚迪电池有限公司</x:v>
      </x:c>
      <x:c r="C66" s="6" t="str">
        <x:v>公告比亚迪命名主体；股权关系未核</x:v>
      </x:c>
      <x:c r="D66" s="6" t="str">
        <x:v>候选供应商</x:v>
      </x:c>
      <x:c r="E66" s="6" t="str">
        <x:v>公示候选人</x:v>
      </x:c>
      <x:c r="F66" s="6" t="str">
        <x:v>佛山市赛普飞特科技有限公司</x:v>
      </x:c>
      <x:c r="G66" s="6" t="str"/>
      <x:c r="H66" s="6" t="str">
        <x:v>2026-08-19</x:v>
      </x:c>
      <x:c r="I66" s="13" t="d">
        <x:v>2026-08-19T00:00:00.000Z</x:v>
      </x:c>
      <x:c r="J66" s="6" t="str">
        <x:v>O008</x:v>
      </x:c>
      <x:c r="K66" s="6" t="str">
        <x:v>原文明确</x:v>
      </x:c>
      <x:c r="L66" s="6" t="str"/>
      <x:c r="M66" s="6" t="str">
        <x:v>候选不等于中标/成交</x:v>
      </x:c>
    </x:row>
    <x:row r="67" ht="40" customHeight="1">
      <x:c r="A67" s="6" t="str">
        <x:v>R0187</x:v>
      </x:c>
      <x:c r="B67" s="6" t="str">
        <x:v>惠州比亚迪电池有限公司</x:v>
      </x:c>
      <x:c r="C67" s="6" t="str">
        <x:v>公告比亚迪命名主体；股权关系未核</x:v>
      </x:c>
      <x:c r="D67" s="6" t="str">
        <x:v>候选供应商</x:v>
      </x:c>
      <x:c r="E67" s="6" t="str">
        <x:v>公示候选人</x:v>
      </x:c>
      <x:c r="F67" s="6" t="str">
        <x:v>湖北省德海化工设备有限公司</x:v>
      </x:c>
      <x:c r="G67" s="6" t="str"/>
      <x:c r="H67" s="6" t="str">
        <x:v>2026-09-01</x:v>
      </x:c>
      <x:c r="I67" s="13" t="d">
        <x:v>2026-09-01T00:00:00.000Z</x:v>
      </x:c>
      <x:c r="J67" s="6" t="str">
        <x:v>O011</x:v>
      </x:c>
      <x:c r="K67" s="6" t="str">
        <x:v>原文明确</x:v>
      </x:c>
      <x:c r="L67" s="6" t="str"/>
      <x:c r="M67" s="6" t="str">
        <x:v>候选不等于中标/成交；原PDF落款2026-09-01；网页发布日期2026-09-02，分列保留</x:v>
      </x:c>
    </x:row>
    <x:row r="68" ht="104" customHeight="1">
      <x:c r="A68" s="6" t="str">
        <x:v>R0084</x:v>
      </x:c>
      <x:c r="B68" s="6" t="str">
        <x:v>惠州比亚迪电池有限公司</x:v>
      </x:c>
      <x:c r="C68" s="6" t="str">
        <x:v>公告比亚迪命名主体；股权关系未核</x:v>
      </x:c>
      <x:c r="D68" s="6" t="str">
        <x:v>准入</x:v>
      </x:c>
      <x:c r="E68" s="6" t="str">
        <x:v>供应商资格</x:v>
      </x:c>
      <x:c r="F68" s="6" t="str">
        <x:v>3.2 投标人必须是 100Kg硅沉积流化床的制造商或合法代理商。投标人是制造商的,须出具制造商声明函;投标人为代理商的,须提供代理商资格声明函及制造商(分公司、办事处授权无效)对本次投标项目出具的唯一、合法且有效的授权书。若同一制造商在本项目中授权两家或以上代理商参与投标,代理商均按无效标处理;制造商与其合法代理商同时参加本次投标,代理商按无效标处理。(按要求提供有效证明材料)。</x:v>
      </x:c>
      <x:c r="G68" s="6" t="str"/>
      <x:c r="H68" s="6" t="str">
        <x:v>2026-07-01</x:v>
      </x:c>
      <x:c r="I68" s="13" t="d">
        <x:v>2026-07-01T00:00:00.000Z</x:v>
      </x:c>
      <x:c r="J68" s="6" t="str">
        <x:v>O001</x:v>
      </x:c>
      <x:c r="K68" s="6" t="str">
        <x:v>原文明确</x:v>
      </x:c>
      <x:c r="L68" s="6" t="str"/>
      <x:c r="M68" s="6" t="str"/>
    </x:row>
    <x:row r="69" ht="34" customHeight="1">
      <x:c r="A69" s="6" t="str">
        <x:v>R0086</x:v>
      </x:c>
      <x:c r="B69" s="6" t="str">
        <x:v>惠州比亚迪电池有限公司</x:v>
      </x:c>
      <x:c r="C69" s="6" t="str">
        <x:v>公告比亚迪命名主体；股权关系未核</x:v>
      </x:c>
      <x:c r="D69" s="6" t="str">
        <x:v>准入</x:v>
      </x:c>
      <x:c r="E69" s="6" t="str">
        <x:v>平台服务费</x:v>
      </x:c>
      <x:c r="F69" s="6" t="str">
        <x:v>5.4 平台服务费 500元/标包,平台服务费售后不退。</x:v>
      </x:c>
      <x:c r="G69" s="6" t="str"/>
      <x:c r="H69" s="6" t="str">
        <x:v>2026-07-01</x:v>
      </x:c>
      <x:c r="I69" s="13" t="d">
        <x:v>2026-07-01T00:00:00.000Z</x:v>
      </x:c>
      <x:c r="J69" s="6" t="str">
        <x:v>O001</x:v>
      </x:c>
      <x:c r="K69" s="6" t="str">
        <x:v>原文明确</x:v>
      </x:c>
      <x:c r="L69" s="6" t="str"/>
      <x:c r="M69" s="6" t="str"/>
    </x:row>
    <x:row r="70" ht="34" customHeight="1">
      <x:c r="A70" s="6" t="str">
        <x:v>R0085</x:v>
      </x:c>
      <x:c r="B70" s="6" t="str">
        <x:v>惠州比亚迪电池有限公司</x:v>
      </x:c>
      <x:c r="C70" s="6" t="str">
        <x:v>公告比亚迪命名主体；股权关系未核</x:v>
      </x:c>
      <x:c r="D70" s="6" t="str">
        <x:v>准入</x:v>
      </x:c>
      <x:c r="E70" s="6" t="str">
        <x:v>招标文件费用</x:v>
      </x:c>
      <x:c r="F70" s="6" t="str">
        <x:v>5.3 招标文件每套售价0元,售后不退,投标资格不得转让。</x:v>
      </x:c>
      <x:c r="G70" s="6" t="str"/>
      <x:c r="H70" s="6" t="str">
        <x:v>2026-07-01</x:v>
      </x:c>
      <x:c r="I70" s="13" t="d">
        <x:v>2026-07-01T00:00:00.000Z</x:v>
      </x:c>
      <x:c r="J70" s="6" t="str">
        <x:v>O001</x:v>
      </x:c>
      <x:c r="K70" s="6" t="str">
        <x:v>原文明确</x:v>
      </x:c>
      <x:c r="L70" s="6" t="str"/>
      <x:c r="M70" s="6" t="str"/>
    </x:row>
    <x:row r="71" ht="120" customHeight="1">
      <x:c r="A71" s="6" t="str">
        <x:v>R0166</x:v>
      </x:c>
      <x:c r="B71" s="6" t="str">
        <x:v>惠州比亚迪电池有限公司</x:v>
      </x:c>
      <x:c r="C71" s="6" t="str">
        <x:v>公告比亚迪命名主体；股权关系未核</x:v>
      </x:c>
      <x:c r="D71" s="6" t="str">
        <x:v>准入</x:v>
      </x:c>
      <x:c r="E71" s="6" t="str">
        <x:v>供应商资格</x:v>
      </x:c>
      <x:c r="F71" s="6" t="str">
        <x:v>3.2 投标人必须是 100Kg 硅沉积流化床的制造商或合法代理商。投标人 是制造商的,须出具制造商声明函;投标人为代理商的,须提供代理商资格 声明函及制造商(分公司、办事处授权无效)对本次投标项目出具的唯一、合 法且有效的授权书。若同一制造商在本项目中授权两家或以上代理商参与投 标,代理商均按无效标处理;制造商与其合法代理商同时参加本次投标,代 理商按无效标处理。(按要求提供有效证明材料)。</x:v>
      </x:c>
      <x:c r="G71" s="6" t="str"/>
      <x:c r="H71" s="6" t="str">
        <x:v>2026-07-28</x:v>
      </x:c>
      <x:c r="I71" s="13" t="d">
        <x:v>2026-07-28T00:00:00.000Z</x:v>
      </x:c>
      <x:c r="J71" s="6" t="str">
        <x:v>O007</x:v>
      </x:c>
      <x:c r="K71" s="6" t="str">
        <x:v>原文明确</x:v>
      </x:c>
      <x:c r="L71" s="6" t="str"/>
      <x:c r="M71" s="6" t="str"/>
    </x:row>
    <x:row r="72" ht="34" customHeight="1">
      <x:c r="A72" s="6" t="str">
        <x:v>R0168</x:v>
      </x:c>
      <x:c r="B72" s="6" t="str">
        <x:v>惠州比亚迪电池有限公司</x:v>
      </x:c>
      <x:c r="C72" s="6" t="str">
        <x:v>公告比亚迪命名主体；股权关系未核</x:v>
      </x:c>
      <x:c r="D72" s="6" t="str">
        <x:v>准入</x:v>
      </x:c>
      <x:c r="E72" s="6" t="str">
        <x:v>平台服务费</x:v>
      </x:c>
      <x:c r="F72" s="6" t="str">
        <x:v>5.4 平台服务费 500 元/标包,平台服务费售后不退。</x:v>
      </x:c>
      <x:c r="G72" s="6" t="str"/>
      <x:c r="H72" s="6" t="str">
        <x:v>2026-07-28</x:v>
      </x:c>
      <x:c r="I72" s="13" t="d">
        <x:v>2026-07-28T00:00:00.000Z</x:v>
      </x:c>
      <x:c r="J72" s="6" t="str">
        <x:v>O007</x:v>
      </x:c>
      <x:c r="K72" s="6" t="str">
        <x:v>原文明确</x:v>
      </x:c>
      <x:c r="L72" s="6" t="str"/>
      <x:c r="M72" s="6" t="str"/>
    </x:row>
    <x:row r="73" ht="34" customHeight="1">
      <x:c r="A73" s="6" t="str">
        <x:v>R0167</x:v>
      </x:c>
      <x:c r="B73" s="6" t="str">
        <x:v>惠州比亚迪电池有限公司</x:v>
      </x:c>
      <x:c r="C73" s="6" t="str">
        <x:v>公告比亚迪命名主体；股权关系未核</x:v>
      </x:c>
      <x:c r="D73" s="6" t="str">
        <x:v>准入</x:v>
      </x:c>
      <x:c r="E73" s="6" t="str">
        <x:v>招标文件费用</x:v>
      </x:c>
      <x:c r="F73" s="6" t="str">
        <x:v>5.3 招标文件每套售价 0 元,售后不退,投标资格不得转让。</x:v>
      </x:c>
      <x:c r="G73" s="6" t="str"/>
      <x:c r="H73" s="6" t="str">
        <x:v>2026-07-28</x:v>
      </x:c>
      <x:c r="I73" s="13" t="d">
        <x:v>2026-07-28T00:00:00.000Z</x:v>
      </x:c>
      <x:c r="J73" s="6" t="str">
        <x:v>O007</x:v>
      </x:c>
      <x:c r="K73" s="6" t="str">
        <x:v>原文明确</x:v>
      </x:c>
      <x:c r="L73" s="6" t="str"/>
      <x:c r="M73" s="6" t="str"/>
    </x:row>
    <x:row r="74" ht="34" customHeight="1">
      <x:c r="A74" s="6" t="str">
        <x:v>R0076</x:v>
      </x:c>
      <x:c r="B74" s="6" t="str">
        <x:v>惠州比亚迪电池有限公司</x:v>
      </x:c>
      <x:c r="C74" s="6" t="str">
        <x:v>公告比亚迪命名主体；股权关系未核</x:v>
      </x:c>
      <x:c r="D74" s="6" t="str">
        <x:v>地址</x:v>
      </x:c>
      <x:c r="E74" s="6" t="str">
        <x:v>公告采购方联系地址</x:v>
      </x:c>
      <x:c r="F74" s="6" t="str">
        <x:v>深圳市坪山区坑梓比亚迪一期</x:v>
      </x:c>
      <x:c r="G74" s="6" t="str"/>
      <x:c r="H74" s="6" t="str">
        <x:v>2026-07-01</x:v>
      </x:c>
      <x:c r="I74" s="13" t="d">
        <x:v>2026-07-01T00:00:00.000Z</x:v>
      </x:c>
      <x:c r="J74" s="6" t="str">
        <x:v>O001</x:v>
      </x:c>
      <x:c r="K74" s="6" t="str">
        <x:v>原文明确</x:v>
      </x:c>
      <x:c r="L74" s="6" t="str"/>
      <x:c r="M74" s="6" t="str">
        <x:v>公告项目联络地址，不当作工商注册地址</x:v>
      </x:c>
    </x:row>
    <x:row r="75" ht="34" customHeight="1">
      <x:c r="A75" s="6" t="str">
        <x:v>R0079</x:v>
      </x:c>
      <x:c r="B75" s="6" t="str">
        <x:v>惠州比亚迪电池有限公司</x:v>
      </x:c>
      <x:c r="C75" s="6" t="str">
        <x:v>公告比亚迪命名主体；股权关系未核</x:v>
      </x:c>
      <x:c r="D75" s="6" t="str">
        <x:v>地址</x:v>
      </x:c>
      <x:c r="E75" s="6" t="str">
        <x:v>项目交货地点</x:v>
      </x:c>
      <x:c r="F75" s="6" t="str">
        <x:v>湖北省宜昌市</x:v>
      </x:c>
      <x:c r="G75" s="6" t="str"/>
      <x:c r="H75" s="6" t="str">
        <x:v>2026-07-01</x:v>
      </x:c>
      <x:c r="I75" s="13" t="d">
        <x:v>2026-07-01T00:00:00.000Z</x:v>
      </x:c>
      <x:c r="J75" s="6" t="str">
        <x:v>O001</x:v>
      </x:c>
      <x:c r="K75" s="6" t="str">
        <x:v>原文明确</x:v>
      </x:c>
      <x:c r="L75" s="6" t="str"/>
      <x:c r="M75" s="6" t="str"/>
    </x:row>
    <x:row r="76" ht="34" customHeight="1">
      <x:c r="A76" s="6" t="str">
        <x:v>R0136</x:v>
      </x:c>
      <x:c r="B76" s="6" t="str">
        <x:v>惠州比亚迪电池有限公司</x:v>
      </x:c>
      <x:c r="C76" s="6" t="str">
        <x:v>公告比亚迪命名主体；股权关系未核</x:v>
      </x:c>
      <x:c r="D76" s="6" t="str">
        <x:v>地址</x:v>
      </x:c>
      <x:c r="E76" s="6" t="str">
        <x:v>公告采购方联系地址</x:v>
      </x:c>
      <x:c r="F76" s="6" t="str">
        <x:v>惠州市惠阳区龙山八路惠州比亚迪工业园二期</x:v>
      </x:c>
      <x:c r="G76" s="6" t="str"/>
      <x:c r="H76" s="6" t="str">
        <x:v>2026-07-10</x:v>
      </x:c>
      <x:c r="I76" s="13" t="d">
        <x:v>2026-07-10T00:00:00.000Z</x:v>
      </x:c>
      <x:c r="J76" s="6" t="str">
        <x:v>O005</x:v>
      </x:c>
      <x:c r="K76" s="6" t="str">
        <x:v>原文明确</x:v>
      </x:c>
      <x:c r="L76" s="6" t="str"/>
      <x:c r="M76" s="6" t="str">
        <x:v>公告项目联络地址，不当作工商注册地址</x:v>
      </x:c>
    </x:row>
    <x:row r="77" ht="34" customHeight="1">
      <x:c r="A77" s="6" t="str">
        <x:v>R0158</x:v>
      </x:c>
      <x:c r="B77" s="6" t="str">
        <x:v>惠州比亚迪电池有限公司</x:v>
      </x:c>
      <x:c r="C77" s="6" t="str">
        <x:v>公告比亚迪命名主体；股权关系未核</x:v>
      </x:c>
      <x:c r="D77" s="6" t="str">
        <x:v>地址</x:v>
      </x:c>
      <x:c r="E77" s="6" t="str">
        <x:v>公告采购方联系地址</x:v>
      </x:c>
      <x:c r="F77" s="6" t="str">
        <x:v>广东省惠州市大亚湾区惠州比亚迪二期</x:v>
      </x:c>
      <x:c r="G77" s="6" t="str"/>
      <x:c r="H77" s="6" t="str">
        <x:v>2026-07-28</x:v>
      </x:c>
      <x:c r="I77" s="13" t="d">
        <x:v>2026-07-28T00:00:00.000Z</x:v>
      </x:c>
      <x:c r="J77" s="6" t="str">
        <x:v>O007</x:v>
      </x:c>
      <x:c r="K77" s="6" t="str">
        <x:v>原文明确</x:v>
      </x:c>
      <x:c r="L77" s="6" t="str"/>
      <x:c r="M77" s="6" t="str">
        <x:v>公告项目联络地址，不当作工商注册地址</x:v>
      </x:c>
    </x:row>
    <x:row r="78" ht="34" customHeight="1">
      <x:c r="A78" s="6" t="str">
        <x:v>R0161</x:v>
      </x:c>
      <x:c r="B78" s="6" t="str">
        <x:v>惠州比亚迪电池有限公司</x:v>
      </x:c>
      <x:c r="C78" s="6" t="str">
        <x:v>公告比亚迪命名主体；股权关系未核</x:v>
      </x:c>
      <x:c r="D78" s="6" t="str">
        <x:v>地址</x:v>
      </x:c>
      <x:c r="E78" s="6" t="str">
        <x:v>项目交货地点</x:v>
      </x:c>
      <x:c r="F78" s="6" t="str">
        <x:v>湖北省宜昌市</x:v>
      </x:c>
      <x:c r="G78" s="6" t="str"/>
      <x:c r="H78" s="6" t="str">
        <x:v>2026-07-28</x:v>
      </x:c>
      <x:c r="I78" s="13" t="d">
        <x:v>2026-07-28T00:00:00.000Z</x:v>
      </x:c>
      <x:c r="J78" s="6" t="str">
        <x:v>O007</x:v>
      </x:c>
      <x:c r="K78" s="6" t="str">
        <x:v>原文明确</x:v>
      </x:c>
      <x:c r="L78" s="6" t="str"/>
      <x:c r="M78" s="6" t="str"/>
    </x:row>
    <x:row r="79" ht="34" customHeight="1">
      <x:c r="A79" s="6" t="str">
        <x:v>R0173</x:v>
      </x:c>
      <x:c r="B79" s="6" t="str">
        <x:v>惠州比亚迪电池有限公司</x:v>
      </x:c>
      <x:c r="C79" s="6" t="str">
        <x:v>公告比亚迪命名主体；股权关系未核</x:v>
      </x:c>
      <x:c r="D79" s="6" t="str">
        <x:v>投标报价</x:v>
      </x:c>
      <x:c r="E79" s="6" t="str">
        <x:v>候选人投标总价(不含税)</x:v>
      </x:c>
      <x:c r="F79" s="16" t="n">
        <x:v>1026548.67</x:v>
      </x:c>
      <x:c r="G79" s="6" t="str">
        <x:v>元</x:v>
      </x:c>
      <x:c r="H79" s="6" t="str">
        <x:v>2026-08-19</x:v>
      </x:c>
      <x:c r="I79" s="13" t="d">
        <x:v>2026-08-19T00:00:00.000Z</x:v>
      </x:c>
      <x:c r="J79" s="6" t="str">
        <x:v>O008</x:v>
      </x:c>
      <x:c r="K79" s="6" t="str">
        <x:v>原文明确</x:v>
      </x:c>
      <x:c r="L79" s="6" t="str"/>
      <x:c r="M79" s="6" t="str">
        <x:v>候选不等于成交</x:v>
      </x:c>
    </x:row>
    <x:row r="80" ht="34" customHeight="1">
      <x:c r="A80" s="6" t="str">
        <x:v>R0174</x:v>
      </x:c>
      <x:c r="B80" s="6" t="str">
        <x:v>惠州比亚迪电池有限公司</x:v>
      </x:c>
      <x:c r="C80" s="6" t="str">
        <x:v>公告比亚迪命名主体；股权关系未核</x:v>
      </x:c>
      <x:c r="D80" s="6" t="str">
        <x:v>投标报价</x:v>
      </x:c>
      <x:c r="E80" s="6" t="str">
        <x:v>候选人投标总价(含税)</x:v>
      </x:c>
      <x:c r="F80" s="15" t="n">
        <x:v>1160000</x:v>
      </x:c>
      <x:c r="G80" s="6" t="str">
        <x:v>元</x:v>
      </x:c>
      <x:c r="H80" s="6" t="str">
        <x:v>2026-08-19</x:v>
      </x:c>
      <x:c r="I80" s="13" t="d">
        <x:v>2026-08-19T00:00:00.000Z</x:v>
      </x:c>
      <x:c r="J80" s="6" t="str">
        <x:v>O008</x:v>
      </x:c>
      <x:c r="K80" s="6" t="str">
        <x:v>原文明确</x:v>
      </x:c>
      <x:c r="L80" s="6" t="str"/>
      <x:c r="M80" s="6" t="str">
        <x:v>候选不等于成交</x:v>
      </x:c>
    </x:row>
    <x:row r="81" ht="40" customHeight="1">
      <x:c r="A81" s="6" t="str">
        <x:v>R0185</x:v>
      </x:c>
      <x:c r="B81" s="6" t="str">
        <x:v>惠州比亚迪电池有限公司</x:v>
      </x:c>
      <x:c r="C81" s="6" t="str">
        <x:v>公告比亚迪命名主体；股权关系未核</x:v>
      </x:c>
      <x:c r="D81" s="6" t="str">
        <x:v>投标报价</x:v>
      </x:c>
      <x:c r="E81" s="6" t="str">
        <x:v>候选人投标总价(不含税)</x:v>
      </x:c>
      <x:c r="F81" s="16" t="n">
        <x:v>101772.57</x:v>
      </x:c>
      <x:c r="G81" s="6" t="str">
        <x:v>元</x:v>
      </x:c>
      <x:c r="H81" s="6" t="str">
        <x:v>2026-09-01</x:v>
      </x:c>
      <x:c r="I81" s="13" t="d">
        <x:v>2026-09-01T00:00:00.000Z</x:v>
      </x:c>
      <x:c r="J81" s="6" t="str">
        <x:v>O011</x:v>
      </x:c>
      <x:c r="K81" s="6" t="str">
        <x:v>原文明确</x:v>
      </x:c>
      <x:c r="L81" s="6" t="str"/>
      <x:c r="M81" s="6" t="str">
        <x:v>候选不等于成交；原PDF落款2026-09-01；网页发布日期2026-09-02，分列保留</x:v>
      </x:c>
    </x:row>
    <x:row r="82" ht="40" customHeight="1">
      <x:c r="A82" s="6" t="str">
        <x:v>R0186</x:v>
      </x:c>
      <x:c r="B82" s="6" t="str">
        <x:v>惠州比亚迪电池有限公司</x:v>
      </x:c>
      <x:c r="C82" s="6" t="str">
        <x:v>公告比亚迪命名主体；股权关系未核</x:v>
      </x:c>
      <x:c r="D82" s="6" t="str">
        <x:v>投标报价</x:v>
      </x:c>
      <x:c r="E82" s="6" t="str">
        <x:v>候选人投标总价(含税)</x:v>
      </x:c>
      <x:c r="F82" s="15" t="n">
        <x:v>115003</x:v>
      </x:c>
      <x:c r="G82" s="6" t="str">
        <x:v>元</x:v>
      </x:c>
      <x:c r="H82" s="6" t="str">
        <x:v>2026-09-01</x:v>
      </x:c>
      <x:c r="I82" s="13" t="d">
        <x:v>2026-09-01T00:00:00.000Z</x:v>
      </x:c>
      <x:c r="J82" s="6" t="str">
        <x:v>O011</x:v>
      </x:c>
      <x:c r="K82" s="6" t="str">
        <x:v>原文明确</x:v>
      </x:c>
      <x:c r="L82" s="6" t="str"/>
      <x:c r="M82" s="6" t="str">
        <x:v>候选不等于成交；原PDF落款2026-09-01；网页发布日期2026-09-02，分列保留</x:v>
      </x:c>
    </x:row>
    <x:row r="83" ht="34" customHeight="1">
      <x:c r="A83" s="6" t="str">
        <x:v>R0077</x:v>
      </x:c>
      <x:c r="B83" s="6" t="str">
        <x:v>惠州比亚迪电池有限公司</x:v>
      </x:c>
      <x:c r="C83" s="6" t="str">
        <x:v>公告比亚迪命名主体；股权关系未核</x:v>
      </x:c>
      <x:c r="D83" s="6" t="str">
        <x:v>联系人</x:v>
      </x:c>
      <x:c r="E83" s="6" t="str">
        <x:v>采购方联系人</x:v>
      </x:c>
      <x:c r="F83" s="6" t="str">
        <x:v>刘永进</x:v>
      </x:c>
      <x:c r="G83" s="6" t="str"/>
      <x:c r="H83" s="6" t="str">
        <x:v>2026-07-01</x:v>
      </x:c>
      <x:c r="I83" s="13" t="d">
        <x:v>2026-07-01T00:00:00.000Z</x:v>
      </x:c>
      <x:c r="J83" s="6" t="str">
        <x:v>O001</x:v>
      </x:c>
      <x:c r="K83" s="6" t="str">
        <x:v>原文明确</x:v>
      </x:c>
      <x:c r="L83" s="6" t="str"/>
      <x:c r="M83" s="6" t="str"/>
    </x:row>
    <x:row r="84" ht="34" customHeight="1">
      <x:c r="A84" s="6" t="str">
        <x:v>R0078</x:v>
      </x:c>
      <x:c r="B84" s="6" t="str">
        <x:v>惠州比亚迪电池有限公司</x:v>
      </x:c>
      <x:c r="C84" s="6" t="str">
        <x:v>公告比亚迪命名主体；股权关系未核</x:v>
      </x:c>
      <x:c r="D84" s="6" t="str">
        <x:v>联系人</x:v>
      </x:c>
      <x:c r="E84" s="6" t="str">
        <x:v>采购方联系电话</x:v>
      </x:c>
      <x:c r="F84" s="14" t="str">
        <x:v>19928815278</x:v>
      </x:c>
      <x:c r="G84" s="6" t="str"/>
      <x:c r="H84" s="6" t="str">
        <x:v>2026-07-01</x:v>
      </x:c>
      <x:c r="I84" s="13" t="d">
        <x:v>2026-07-01T00:00:00.000Z</x:v>
      </x:c>
      <x:c r="J84" s="6" t="str">
        <x:v>O001</x:v>
      </x:c>
      <x:c r="K84" s="6" t="str">
        <x:v>原文明确</x:v>
      </x:c>
      <x:c r="L84" s="6" t="str">
        <x:v>原文公开；未验证接通或收信</x:v>
      </x:c>
      <x:c r="M84" s="6" t="str"/>
    </x:row>
    <x:row r="85" ht="34" customHeight="1">
      <x:c r="A85" s="6" t="str">
        <x:v>R0137</x:v>
      </x:c>
      <x:c r="B85" s="6" t="str">
        <x:v>惠州比亚迪电池有限公司</x:v>
      </x:c>
      <x:c r="C85" s="6" t="str">
        <x:v>公告比亚迪命名主体；股权关系未核</x:v>
      </x:c>
      <x:c r="D85" s="6" t="str">
        <x:v>联系人</x:v>
      </x:c>
      <x:c r="E85" s="6" t="str">
        <x:v>采购方联系人</x:v>
      </x:c>
      <x:c r="F85" s="6" t="str">
        <x:v>沈女士</x:v>
      </x:c>
      <x:c r="G85" s="6" t="str"/>
      <x:c r="H85" s="6" t="str">
        <x:v>2026-07-10</x:v>
      </x:c>
      <x:c r="I85" s="13" t="d">
        <x:v>2026-07-10T00:00:00.000Z</x:v>
      </x:c>
      <x:c r="J85" s="6" t="str">
        <x:v>O005</x:v>
      </x:c>
      <x:c r="K85" s="6" t="str">
        <x:v>原文明确</x:v>
      </x:c>
      <x:c r="L85" s="6" t="str"/>
      <x:c r="M85" s="6" t="str"/>
    </x:row>
    <x:row r="86" ht="34" customHeight="1">
      <x:c r="A86" s="6" t="str">
        <x:v>R0138</x:v>
      </x:c>
      <x:c r="B86" s="6" t="str">
        <x:v>惠州比亚迪电池有限公司</x:v>
      </x:c>
      <x:c r="C86" s="6" t="str">
        <x:v>公告比亚迪命名主体；股权关系未核</x:v>
      </x:c>
      <x:c r="D86" s="6" t="str">
        <x:v>联系人</x:v>
      </x:c>
      <x:c r="E86" s="6" t="str">
        <x:v>采购方联系电话</x:v>
      </x:c>
      <x:c r="F86" s="14" t="str">
        <x:v>19928817675</x:v>
      </x:c>
      <x:c r="G86" s="6" t="str"/>
      <x:c r="H86" s="6" t="str">
        <x:v>2026-07-10</x:v>
      </x:c>
      <x:c r="I86" s="13" t="d">
        <x:v>2026-07-10T00:00:00.000Z</x:v>
      </x:c>
      <x:c r="J86" s="6" t="str">
        <x:v>O005</x:v>
      </x:c>
      <x:c r="K86" s="6" t="str">
        <x:v>原文明确</x:v>
      </x:c>
      <x:c r="L86" s="6" t="str">
        <x:v>原文公开；未验证接通或收信</x:v>
      </x:c>
      <x:c r="M86" s="6" t="str"/>
    </x:row>
    <x:row r="87" ht="34" customHeight="1">
      <x:c r="A87" s="6" t="str">
        <x:v>R0159</x:v>
      </x:c>
      <x:c r="B87" s="6" t="str">
        <x:v>惠州比亚迪电池有限公司</x:v>
      </x:c>
      <x:c r="C87" s="6" t="str">
        <x:v>公告比亚迪命名主体；股权关系未核</x:v>
      </x:c>
      <x:c r="D87" s="6" t="str">
        <x:v>联系人</x:v>
      </x:c>
      <x:c r="E87" s="6" t="str">
        <x:v>采购方联系人</x:v>
      </x:c>
      <x:c r="F87" s="6" t="str">
        <x:v>周成云</x:v>
      </x:c>
      <x:c r="G87" s="6" t="str"/>
      <x:c r="H87" s="6" t="str">
        <x:v>2026-07-28</x:v>
      </x:c>
      <x:c r="I87" s="13" t="d">
        <x:v>2026-07-28T00:00:00.000Z</x:v>
      </x:c>
      <x:c r="J87" s="6" t="str">
        <x:v>O007</x:v>
      </x:c>
      <x:c r="K87" s="6" t="str">
        <x:v>原文明确</x:v>
      </x:c>
      <x:c r="L87" s="6" t="str"/>
      <x:c r="M87" s="6" t="str"/>
    </x:row>
    <x:row r="88" ht="34" customHeight="1">
      <x:c r="A88" s="6" t="str">
        <x:v>R0160</x:v>
      </x:c>
      <x:c r="B88" s="6" t="str">
        <x:v>惠州比亚迪电池有限公司</x:v>
      </x:c>
      <x:c r="C88" s="6" t="str">
        <x:v>公告比亚迪命名主体；股权关系未核</x:v>
      </x:c>
      <x:c r="D88" s="6" t="str">
        <x:v>联系人</x:v>
      </x:c>
      <x:c r="E88" s="6" t="str">
        <x:v>采购方联系电话</x:v>
      </x:c>
      <x:c r="F88" s="14" t="str">
        <x:v>18664970951</x:v>
      </x:c>
      <x:c r="G88" s="6" t="str"/>
      <x:c r="H88" s="6" t="str">
        <x:v>2026-07-28</x:v>
      </x:c>
      <x:c r="I88" s="13" t="d">
        <x:v>2026-07-28T00:00:00.000Z</x:v>
      </x:c>
      <x:c r="J88" s="6" t="str">
        <x:v>O007</x:v>
      </x:c>
      <x:c r="K88" s="6" t="str">
        <x:v>原文明确</x:v>
      </x:c>
      <x:c r="L88" s="6" t="str">
        <x:v>原文公开；未验证接通或收信</x:v>
      </x:c>
      <x:c r="M88" s="6" t="str"/>
    </x:row>
    <x:row r="89" ht="34" customHeight="1">
      <x:c r="A89" s="6" t="str">
        <x:v>R0139</x:v>
      </x:c>
      <x:c r="B89" s="6" t="str">
        <x:v>惠州比亚迪电池有限公司</x:v>
      </x:c>
      <x:c r="C89" s="6" t="str">
        <x:v>公告比亚迪命名主体；股权关系未核</x:v>
      </x:c>
      <x:c r="D89" s="6" t="str">
        <x:v>采购状态</x:v>
      </x:c>
      <x:c r="E89" s="6" t="str">
        <x:v>中止原因</x:v>
      </x:c>
      <x:c r="F89" s="6" t="str">
        <x:v>现因招标人项目需求及预算变更,中止本次项目采购</x:v>
      </x:c>
      <x:c r="G89" s="6" t="str"/>
      <x:c r="H89" s="6" t="str">
        <x:v>2026-07-10</x:v>
      </x:c>
      <x:c r="I89" s="13" t="d">
        <x:v>2026-07-10T00:00:00.000Z</x:v>
      </x:c>
      <x:c r="J89" s="6" t="str">
        <x:v>O005</x:v>
      </x:c>
      <x:c r="K89" s="6" t="str">
        <x:v>原文明确</x:v>
      </x:c>
      <x:c r="L89" s="6" t="str"/>
      <x:c r="M89" s="6" t="str"/>
    </x:row>
    <x:row r="90" ht="136" customHeight="1">
      <x:c r="A90" s="6" t="str">
        <x:v>R0081</x:v>
      </x:c>
      <x:c r="B90" s="6" t="str">
        <x:v>惠州比亚迪电池有限公司</x:v>
      </x:c>
      <x:c r="C90" s="6" t="str">
        <x:v>公告比亚迪命名主体；股权关系未核</x:v>
      </x:c>
      <x:c r="D90" s="6" t="str">
        <x:v>采购需求</x:v>
      </x:c>
      <x:c r="E90" s="6" t="str">
        <x:v>采购内容与关键要求</x:v>
      </x:c>
      <x:c r="F90" s="6" t="str">
        <x:v>拟选定一家供应商为招标人提供 100Kg硅沉积流化床1台,流化床整体应需要包括且不限于进料系统、气体调控系统、反应系统、收料系统、尾气系统、气体检测系统、尾气处理系统、泄爆装置以及集成远程中控系统。设备整体尺寸控制在长7m(长,包含操作面)*4m(宽)*9m(高)以内。一次实验加料量为 40-60 Kg,加料罐容积≥400L,内壁抛光,要求通过真空吸料的形式将原料吸入加料罐。反应系统应包括且不限于底部伺服电机、气体分布器、反应器、温控系统、测温系统、测压系…（完整内容见原始记录 R0081）</x:v>
      </x:c>
      <x:c r="G90" s="6" t="str"/>
      <x:c r="H90" s="6" t="str">
        <x:v>2026-07-01</x:v>
      </x:c>
      <x:c r="I90" s="13" t="d">
        <x:v>2026-07-01T00:00:00.000Z</x:v>
      </x:c>
      <x:c r="J90" s="6" t="str">
        <x:v>O001</x:v>
      </x:c>
      <x:c r="K90" s="6" t="str">
        <x:v>原文明确</x:v>
      </x:c>
      <x:c r="L90" s="6" t="str"/>
      <x:c r="M90" s="6" t="str"/>
    </x:row>
    <x:row r="91" ht="136" customHeight="1">
      <x:c r="A91" s="6" t="str">
        <x:v>R0163</x:v>
      </x:c>
      <x:c r="B91" s="6" t="str">
        <x:v>惠州比亚迪电池有限公司</x:v>
      </x:c>
      <x:c r="C91" s="6" t="str">
        <x:v>公告比亚迪命名主体；股权关系未核</x:v>
      </x:c>
      <x:c r="D91" s="6" t="str">
        <x:v>采购需求</x:v>
      </x:c>
      <x:c r="E91" s="6" t="str">
        <x:v>采购内容与关键要求</x:v>
      </x:c>
      <x:c r="F91" s="6" t="str">
        <x:v>拟选定一家供应商为招标人提供100Kg 硅沉积流化床1 台,流化床整体应需要包括且不限于进料系统、气体调控系统、反应系统、 收料系统、尾气系统、气体检测系统、尾气处理系统、泄爆装置以及集成远 程中控系统。设备整体尺寸控制在长 7m(长,包含操作面)*4m(宽)*12m(高) 以内。一次实验加料量为 40-60Kg,加料罐容积≥400L,内壁抛光,要求通 过真空吸料的形式将原料吸入加料罐。反应系统应包括且不限于底部伺服电 机、气体分布器、反应器、温控系统、测…（完整内容见原始记录 R0163）</x:v>
      </x:c>
      <x:c r="G91" s="6" t="str"/>
      <x:c r="H91" s="6" t="str">
        <x:v>2026-07-28</x:v>
      </x:c>
      <x:c r="I91" s="13" t="d">
        <x:v>2026-07-28T00:00:00.000Z</x:v>
      </x:c>
      <x:c r="J91" s="6" t="str">
        <x:v>O007</x:v>
      </x:c>
      <x:c r="K91" s="6" t="str">
        <x:v>原文明确</x:v>
      </x:c>
      <x:c r="L91" s="6" t="str"/>
      <x:c r="M91" s="6" t="str"/>
    </x:row>
    <x:row r="92" ht="34" customHeight="1">
      <x:c r="A92" s="6" t="str">
        <x:v>R0080</x:v>
      </x:c>
      <x:c r="B92" s="6" t="str">
        <x:v>惠州比亚迪电池有限公司</x:v>
      </x:c>
      <x:c r="C92" s="6" t="str">
        <x:v>公告比亚迪命名主体；股权关系未核</x:v>
      </x:c>
      <x:c r="D92" s="6" t="str">
        <x:v>预算</x:v>
      </x:c>
      <x:c r="E92" s="6" t="str">
        <x:v>采购预算(不含税)</x:v>
      </x:c>
      <x:c r="F92" s="15" t="n">
        <x:v>2500000</x:v>
      </x:c>
      <x:c r="G92" s="6" t="str">
        <x:v>元</x:v>
      </x:c>
      <x:c r="H92" s="6" t="str">
        <x:v>2026-07-01</x:v>
      </x:c>
      <x:c r="I92" s="13" t="d">
        <x:v>2026-07-01T00:00:00.000Z</x:v>
      </x:c>
      <x:c r="J92" s="6" t="str">
        <x:v>O001</x:v>
      </x:c>
      <x:c r="K92" s="6" t="str">
        <x:v>原文明确</x:v>
      </x:c>
      <x:c r="L92" s="6" t="str"/>
      <x:c r="M92" s="6" t="str">
        <x:v>预算不等于成交金额</x:v>
      </x:c>
    </x:row>
    <x:row r="93" ht="34" customHeight="1">
      <x:c r="A93" s="6" t="str">
        <x:v>R0162</x:v>
      </x:c>
      <x:c r="B93" s="6" t="str">
        <x:v>惠州比亚迪电池有限公司</x:v>
      </x:c>
      <x:c r="C93" s="6" t="str">
        <x:v>公告比亚迪命名主体；股权关系未核</x:v>
      </x:c>
      <x:c r="D93" s="6" t="str">
        <x:v>预算</x:v>
      </x:c>
      <x:c r="E93" s="6" t="str">
        <x:v>采购预算(不含税)</x:v>
      </x:c>
      <x:c r="F93" s="15" t="n">
        <x:v>2000000</x:v>
      </x:c>
      <x:c r="G93" s="6" t="str">
        <x:v>元</x:v>
      </x:c>
      <x:c r="H93" s="6" t="str">
        <x:v>2026-07-28</x:v>
      </x:c>
      <x:c r="I93" s="13" t="d">
        <x:v>2026-07-28T00:00:00.000Z</x:v>
      </x:c>
      <x:c r="J93" s="6" t="str">
        <x:v>O007</x:v>
      </x:c>
      <x:c r="K93" s="6" t="str">
        <x:v>原文明确</x:v>
      </x:c>
      <x:c r="L93" s="6" t="str"/>
      <x:c r="M93" s="6" t="str">
        <x:v>预算不等于成交金额</x:v>
      </x:c>
    </x:row>
    <x:row r="94" ht="56" customHeight="1">
      <x:c r="A94" s="6" t="str">
        <x:v>R0391</x:v>
      </x:c>
      <x:c r="B94" s="6" t="str">
        <x:v>比亚迪(香港)有限公司</x:v>
      </x:c>
      <x:c r="C94" s="6" t="str">
        <x:v>官方披露集团/子公司</x:v>
      </x:c>
      <x:c r="D94" s="6" t="str">
        <x:v>母子实体</x:v>
      </x:c>
      <x:c r="E94" s="6" t="str">
        <x:v>业务性质</x:v>
      </x:c>
      <x:c r="F94" s="6" t="str">
        <x:v>投资控股</x:v>
      </x:c>
      <x:c r="G94" s="6" t="str"/>
      <x:c r="H94" s="6" t="str">
        <x:v>2026-06-30</x:v>
      </x:c>
      <x:c r="I94" s="13" t="d">
        <x:v>2026-08-29T00:00:00.000Z</x:v>
      </x:c>
      <x:c r="J94" s="6" t="str">
        <x:v>F002</x:v>
      </x:c>
      <x:c r="K94" s="6" t="str">
        <x:v>官方披露已核验</x:v>
      </x:c>
      <x:c r="L94" s="6" t="str"/>
      <x:c r="M94"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95" ht="56" customHeight="1">
      <x:c r="A95" s="6" t="str">
        <x:v>R0390</x:v>
      </x:c>
      <x:c r="B95" s="6" t="str">
        <x:v>比亚迪(香港)有限公司</x:v>
      </x:c>
      <x:c r="C95" s="6" t="str">
        <x:v>官方披露集团/子公司</x:v>
      </x:c>
      <x:c r="D95" s="6" t="str">
        <x:v>母子实体</x:v>
      </x:c>
      <x:c r="E95" s="6" t="str">
        <x:v>主要经营地及注册地</x:v>
      </x:c>
      <x:c r="F95" s="6" t="str">
        <x:v>香港</x:v>
      </x:c>
      <x:c r="G95" s="6" t="str"/>
      <x:c r="H95" s="6" t="str">
        <x:v>2026-06-30</x:v>
      </x:c>
      <x:c r="I95" s="13" t="d">
        <x:v>2026-08-29T00:00:00.000Z</x:v>
      </x:c>
      <x:c r="J95" s="6" t="str">
        <x:v>F002</x:v>
      </x:c>
      <x:c r="K95" s="6" t="str">
        <x:v>官方披露已核验</x:v>
      </x:c>
      <x:c r="L95" s="6" t="str"/>
      <x:c r="M95"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96" ht="56" customHeight="1">
      <x:c r="A96" s="6" t="str">
        <x:v>R0389</x:v>
      </x:c>
      <x:c r="B96" s="6" t="str">
        <x:v>比亚迪(香港)有限公司</x:v>
      </x:c>
      <x:c r="C96" s="6" t="str">
        <x:v>官方披露集团/子公司</x:v>
      </x:c>
      <x:c r="D96" s="6" t="str">
        <x:v>母子实体</x:v>
      </x:c>
      <x:c r="E96" s="6" t="str">
        <x:v>母子关系</x:v>
      </x:c>
      <x:c r="F96" s="6" t="str">
        <x:v>比亚迪股份有限公司重要子公司</x:v>
      </x:c>
      <x:c r="G96" s="6" t="str"/>
      <x:c r="H96" s="6" t="str">
        <x:v>2026-06-30</x:v>
      </x:c>
      <x:c r="I96" s="13" t="d">
        <x:v>2026-08-29T00:00:00.000Z</x:v>
      </x:c>
      <x:c r="J96" s="6" t="str">
        <x:v>F002</x:v>
      </x:c>
      <x:c r="K96" s="6" t="str">
        <x:v>官方披露已核验</x:v>
      </x:c>
      <x:c r="L96" s="6" t="str"/>
      <x:c r="M96"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97" ht="56" customHeight="1">
      <x:c r="A97" s="6" t="str">
        <x:v>R0393</x:v>
      </x:c>
      <x:c r="B97" s="6" t="str">
        <x:v>比亚迪(香港)有限公司</x:v>
      </x:c>
      <x:c r="C97" s="6" t="str">
        <x:v>官方披露集团/子公司</x:v>
      </x:c>
      <x:c r="D97" s="6" t="str">
        <x:v>母子实体</x:v>
      </x:c>
      <x:c r="E97" s="6" t="str">
        <x:v>比亚迪股份直接持股比例</x:v>
      </x:c>
      <x:c r="F97" s="15" t="n">
        <x:v>100</x:v>
      </x:c>
      <x:c r="G97" s="6" t="str">
        <x:v>%</x:v>
      </x:c>
      <x:c r="H97" s="6" t="str">
        <x:v>2026-06-30</x:v>
      </x:c>
      <x:c r="I97" s="13" t="d">
        <x:v>2026-08-29T00:00:00.000Z</x:v>
      </x:c>
      <x:c r="J97" s="6" t="str">
        <x:v>F002</x:v>
      </x:c>
      <x:c r="K97" s="6" t="str">
        <x:v>官方披露已核验</x:v>
      </x:c>
      <x:c r="L97" s="6" t="str"/>
      <x:c r="M97"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98" ht="56" customHeight="1">
      <x:c r="A98" s="6" t="str">
        <x:v>R0392</x:v>
      </x:c>
      <x:c r="B98" s="6" t="str">
        <x:v>比亚迪(香港)有限公司</x:v>
      </x:c>
      <x:c r="C98" s="6" t="str">
        <x:v>官方披露集团/子公司</x:v>
      </x:c>
      <x:c r="D98" s="6" t="str">
        <x:v>母子实体</x:v>
      </x:c>
      <x:c r="E98" s="6" t="str">
        <x:v>注册资本/股本</x:v>
      </x:c>
      <x:c r="F98" s="15" t="n">
        <x:v>17179157085</x:v>
      </x:c>
      <x:c r="G98" s="6" t="str">
        <x:v>港元</x:v>
      </x:c>
      <x:c r="H98" s="6" t="str">
        <x:v>2026-06-30</x:v>
      </x:c>
      <x:c r="I98" s="13" t="d">
        <x:v>2026-08-29T00:00:00.000Z</x:v>
      </x:c>
      <x:c r="J98" s="6" t="str">
        <x:v>F002</x:v>
      </x:c>
      <x:c r="K98" s="6" t="str">
        <x:v>官方披露已核验</x:v>
      </x:c>
      <x:c r="L98" s="6" t="str"/>
      <x:c r="M98"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99" ht="56" customHeight="1">
      <x:c r="A99" s="6" t="str">
        <x:v>R0345</x:v>
      </x:c>
      <x:c r="B99" s="6" t="str">
        <x:v>比亚迪汽车工业有限公司</x:v>
      </x:c>
      <x:c r="C99" s="6" t="str">
        <x:v>官方披露集团/子公司</x:v>
      </x:c>
      <x:c r="D99" s="6" t="str">
        <x:v>母子实体</x:v>
      </x:c>
      <x:c r="E99" s="6" t="str">
        <x:v>业务性质</x:v>
      </x:c>
      <x:c r="F99" s="6" t="str">
        <x:v>制造</x:v>
      </x:c>
      <x:c r="G99" s="6" t="str"/>
      <x:c r="H99" s="6" t="str">
        <x:v>2026-06-30</x:v>
      </x:c>
      <x:c r="I99" s="13" t="d">
        <x:v>2026-08-29T00:00:00.000Z</x:v>
      </x:c>
      <x:c r="J99" s="6" t="str">
        <x:v>F002</x:v>
      </x:c>
      <x:c r="K99" s="6" t="str">
        <x:v>官方披露已核验</x:v>
      </x:c>
      <x:c r="L99" s="6" t="str"/>
      <x:c r="M99"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100" ht="56" customHeight="1">
      <x:c r="A100" s="6" t="str">
        <x:v>R0344</x:v>
      </x:c>
      <x:c r="B100" s="6" t="str">
        <x:v>比亚迪汽车工业有限公司</x:v>
      </x:c>
      <x:c r="C100" s="6" t="str">
        <x:v>官方披露集团/子公司</x:v>
      </x:c>
      <x:c r="D100" s="6" t="str">
        <x:v>母子实体</x:v>
      </x:c>
      <x:c r="E100" s="6" t="str">
        <x:v>主要经营地及注册地</x:v>
      </x:c>
      <x:c r="F100" s="6" t="str">
        <x:v>深圳</x:v>
      </x:c>
      <x:c r="G100" s="6" t="str"/>
      <x:c r="H100" s="6" t="str">
        <x:v>2026-06-30</x:v>
      </x:c>
      <x:c r="I100" s="13" t="d">
        <x:v>2026-08-29T00:00:00.000Z</x:v>
      </x:c>
      <x:c r="J100" s="6" t="str">
        <x:v>F002</x:v>
      </x:c>
      <x:c r="K100" s="6" t="str">
        <x:v>官方披露已核验</x:v>
      </x:c>
      <x:c r="L100" s="6" t="str"/>
      <x:c r="M100"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101" ht="56" customHeight="1">
      <x:c r="A101" s="6" t="str">
        <x:v>R0343</x:v>
      </x:c>
      <x:c r="B101" s="6" t="str">
        <x:v>比亚迪汽车工业有限公司</x:v>
      </x:c>
      <x:c r="C101" s="6" t="str">
        <x:v>官方披露集团/子公司</x:v>
      </x:c>
      <x:c r="D101" s="6" t="str">
        <x:v>母子实体</x:v>
      </x:c>
      <x:c r="E101" s="6" t="str">
        <x:v>母子关系</x:v>
      </x:c>
      <x:c r="F101" s="6" t="str">
        <x:v>比亚迪股份有限公司重要子公司</x:v>
      </x:c>
      <x:c r="G101" s="6" t="str"/>
      <x:c r="H101" s="6" t="str">
        <x:v>2026-06-30</x:v>
      </x:c>
      <x:c r="I101" s="13" t="d">
        <x:v>2026-08-29T00:00:00.000Z</x:v>
      </x:c>
      <x:c r="J101" s="6" t="str">
        <x:v>F002</x:v>
      </x:c>
      <x:c r="K101" s="6" t="str">
        <x:v>官方披露已核验</x:v>
      </x:c>
      <x:c r="L101" s="6" t="str"/>
      <x:c r="M101"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102" ht="56" customHeight="1">
      <x:c r="A102" s="6" t="str">
        <x:v>R0347</x:v>
      </x:c>
      <x:c r="B102" s="6" t="str">
        <x:v>比亚迪汽车工业有限公司</x:v>
      </x:c>
      <x:c r="C102" s="6" t="str">
        <x:v>官方披露集团/子公司</x:v>
      </x:c>
      <x:c r="D102" s="6" t="str">
        <x:v>母子实体</x:v>
      </x:c>
      <x:c r="E102" s="6" t="str">
        <x:v>比亚迪股份直接持股比例</x:v>
      </x:c>
      <x:c r="F102" s="16" t="n">
        <x:v>96.79</x:v>
      </x:c>
      <x:c r="G102" s="6" t="str">
        <x:v>%</x:v>
      </x:c>
      <x:c r="H102" s="6" t="str">
        <x:v>2026-06-30</x:v>
      </x:c>
      <x:c r="I102" s="13" t="d">
        <x:v>2026-08-29T00:00:00.000Z</x:v>
      </x:c>
      <x:c r="J102" s="6" t="str">
        <x:v>F002</x:v>
      </x:c>
      <x:c r="K102" s="6" t="str">
        <x:v>官方披露已核验</x:v>
      </x:c>
      <x:c r="L102" s="6" t="str"/>
      <x:c r="M102"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103" ht="56" customHeight="1">
      <x:c r="A103" s="6" t="str">
        <x:v>R0348</x:v>
      </x:c>
      <x:c r="B103" s="6" t="str">
        <x:v>比亚迪汽车工业有限公司</x:v>
      </x:c>
      <x:c r="C103" s="6" t="str">
        <x:v>官方披露集团/子公司</x:v>
      </x:c>
      <x:c r="D103" s="6" t="str">
        <x:v>母子实体</x:v>
      </x:c>
      <x:c r="E103" s="6" t="str">
        <x:v>比亚迪股份间接持股比例</x:v>
      </x:c>
      <x:c r="F103" s="16" t="n">
        <x:v>3.21</x:v>
      </x:c>
      <x:c r="G103" s="6" t="str">
        <x:v>%</x:v>
      </x:c>
      <x:c r="H103" s="6" t="str">
        <x:v>2026-06-30</x:v>
      </x:c>
      <x:c r="I103" s="13" t="d">
        <x:v>2026-08-29T00:00:00.000Z</x:v>
      </x:c>
      <x:c r="J103" s="6" t="str">
        <x:v>F002</x:v>
      </x:c>
      <x:c r="K103" s="6" t="str">
        <x:v>官方披露已核验</x:v>
      </x:c>
      <x:c r="L103" s="6" t="str"/>
      <x:c r="M103"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104" ht="56" customHeight="1">
      <x:c r="A104" s="6" t="str">
        <x:v>R0346</x:v>
      </x:c>
      <x:c r="B104" s="6" t="str">
        <x:v>比亚迪汽车工业有限公司</x:v>
      </x:c>
      <x:c r="C104" s="6" t="str">
        <x:v>官方披露集团/子公司</x:v>
      </x:c>
      <x:c r="D104" s="6" t="str">
        <x:v>母子实体</x:v>
      </x:c>
      <x:c r="E104" s="6" t="str">
        <x:v>注册资本/股本</x:v>
      </x:c>
      <x:c r="F104" s="15" t="n">
        <x:v>3757654524</x:v>
      </x:c>
      <x:c r="G104" s="6" t="str">
        <x:v>美元</x:v>
      </x:c>
      <x:c r="H104" s="6" t="str">
        <x:v>2026-06-30</x:v>
      </x:c>
      <x:c r="I104" s="13" t="d">
        <x:v>2026-08-29T00:00:00.000Z</x:v>
      </x:c>
      <x:c r="J104" s="6" t="str">
        <x:v>F002</x:v>
      </x:c>
      <x:c r="K104" s="6" t="str">
        <x:v>官方披露已核验</x:v>
      </x:c>
      <x:c r="L104" s="6" t="str"/>
      <x:c r="M104"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105" ht="56" customHeight="1">
      <x:c r="A105" s="6" t="str">
        <x:v>R0067</x:v>
      </x:c>
      <x:c r="B105" s="6" t="str">
        <x:v>比亚迪汽车工业有限公司</x:v>
      </x:c>
      <x:c r="C105" s="6" t="str">
        <x:v>官方披露集团/子公司</x:v>
      </x:c>
      <x:c r="D105" s="6" t="str">
        <x:v>采购与招投标</x:v>
      </x:c>
      <x:c r="E105" s="6" t="str">
        <x:v>框架入围车型单价(非实际采购总额)</x:v>
      </x:c>
      <x:c r="F105" s="15" t="n">
        <x:v>132000</x:v>
      </x:c>
      <x:c r="G105" s="6" t="str">
        <x:v>元</x:v>
      </x:c>
      <x:c r="H105" s="6" t="str">
        <x:v>2026-10-08</x:v>
      </x:c>
      <x:c r="I105" s="13" t="d">
        <x:v>2026-03-31T00:00:00.000Z</x:v>
      </x:c>
      <x:c r="J105" s="6" t="str">
        <x:v>G001</x:v>
      </x:c>
      <x:c r="K105" s="6" t="str">
        <x:v>已核实</x:v>
      </x:c>
      <x:c r="L105" s="6" t="str"/>
      <x:c r="M105" s="6" t="str">
        <x:v>已核实官方正文。分包其他小型客车19，车型BYD6450ALBEV2；不得把框架入围当作132000元实际成交订单。电话原文未注明区号，保留原值。</x:v>
      </x:c>
    </x:row>
    <x:row r="106" ht="56" customHeight="1">
      <x:c r="A106" s="6" t="str">
        <x:v>R0066</x:v>
      </x:c>
      <x:c r="B106" s="6" t="str">
        <x:v>比亚迪汽车工业有限公司</x:v>
      </x:c>
      <x:c r="C106" s="6" t="str">
        <x:v>官方披露集团/子公司</x:v>
      </x:c>
      <x:c r="D106" s="6" t="str">
        <x:v>采购与招投标</x:v>
      </x:c>
      <x:c r="E106" s="6" t="str">
        <x:v>项目角色</x:v>
      </x:c>
      <x:c r="F106" s="6" t="str">
        <x:v>入围供应商</x:v>
      </x:c>
      <x:c r="G106" s="6" t="str"/>
      <x:c r="H106" s="6" t="str">
        <x:v>2026-10-08</x:v>
      </x:c>
      <x:c r="I106" s="13" t="d">
        <x:v>2026-03-31T00:00:00.000Z</x:v>
      </x:c>
      <x:c r="J106" s="6" t="str">
        <x:v>G001</x:v>
      </x:c>
      <x:c r="K106" s="6" t="str">
        <x:v>已核实</x:v>
      </x:c>
      <x:c r="L106" s="6" t="str"/>
      <x:c r="M106" s="6" t="str">
        <x:v>已核实官方正文。分包其他小型客车19，车型BYD6450ALBEV2；不得把框架入围当作132000元实际成交订单。电话原文未注明区号，保留原值。</x:v>
      </x:c>
    </x:row>
    <x:row r="107" ht="56" customHeight="1">
      <x:c r="A107" s="6" t="str">
        <x:v>R0396</x:v>
      </x:c>
      <x:c r="B107" s="6" t="str">
        <x:v>比亚迪汽车有限公司</x:v>
      </x:c>
      <x:c r="C107" s="6" t="str">
        <x:v>官方披露集团/子公司</x:v>
      </x:c>
      <x:c r="D107" s="6" t="str">
        <x:v>母子实体</x:v>
      </x:c>
      <x:c r="E107" s="6" t="str">
        <x:v>业务性质</x:v>
      </x:c>
      <x:c r="F107" s="6" t="str">
        <x:v>制造</x:v>
      </x:c>
      <x:c r="G107" s="6" t="str"/>
      <x:c r="H107" s="6" t="str">
        <x:v>2026-06-30</x:v>
      </x:c>
      <x:c r="I107" s="13" t="d">
        <x:v>2026-08-29T00:00:00.000Z</x:v>
      </x:c>
      <x:c r="J107" s="6" t="str">
        <x:v>F002</x:v>
      </x:c>
      <x:c r="K107" s="6" t="str">
        <x:v>官方披露已核验</x:v>
      </x:c>
      <x:c r="L107" s="6" t="str"/>
      <x:c r="M107"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108" ht="56" customHeight="1">
      <x:c r="A108" s="6" t="str">
        <x:v>R0395</x:v>
      </x:c>
      <x:c r="B108" s="6" t="str">
        <x:v>比亚迪汽车有限公司</x:v>
      </x:c>
      <x:c r="C108" s="6" t="str">
        <x:v>官方披露集团/子公司</x:v>
      </x:c>
      <x:c r="D108" s="6" t="str">
        <x:v>母子实体</x:v>
      </x:c>
      <x:c r="E108" s="6" t="str">
        <x:v>主要经营地及注册地</x:v>
      </x:c>
      <x:c r="F108" s="6" t="str">
        <x:v>西安</x:v>
      </x:c>
      <x:c r="G108" s="6" t="str"/>
      <x:c r="H108" s="6" t="str">
        <x:v>2026-06-30</x:v>
      </x:c>
      <x:c r="I108" s="13" t="d">
        <x:v>2026-08-29T00:00:00.000Z</x:v>
      </x:c>
      <x:c r="J108" s="6" t="str">
        <x:v>F002</x:v>
      </x:c>
      <x:c r="K108" s="6" t="str">
        <x:v>官方披露已核验</x:v>
      </x:c>
      <x:c r="L108" s="6" t="str"/>
      <x:c r="M108"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109" ht="56" customHeight="1">
      <x:c r="A109" s="6" t="str">
        <x:v>R0394</x:v>
      </x:c>
      <x:c r="B109" s="6" t="str">
        <x:v>比亚迪汽车有限公司</x:v>
      </x:c>
      <x:c r="C109" s="6" t="str">
        <x:v>官方披露集团/子公司</x:v>
      </x:c>
      <x:c r="D109" s="6" t="str">
        <x:v>母子实体</x:v>
      </x:c>
      <x:c r="E109" s="6" t="str">
        <x:v>母子关系</x:v>
      </x:c>
      <x:c r="F109" s="6" t="str">
        <x:v>比亚迪股份有限公司重要子公司</x:v>
      </x:c>
      <x:c r="G109" s="6" t="str"/>
      <x:c r="H109" s="6" t="str">
        <x:v>2026-06-30</x:v>
      </x:c>
      <x:c r="I109" s="13" t="d">
        <x:v>2026-08-29T00:00:00.000Z</x:v>
      </x:c>
      <x:c r="J109" s="6" t="str">
        <x:v>F002</x:v>
      </x:c>
      <x:c r="K109" s="6" t="str">
        <x:v>官方披露已核验</x:v>
      </x:c>
      <x:c r="L109" s="6" t="str"/>
      <x:c r="M109"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110" ht="56" customHeight="1">
      <x:c r="A110" s="6" t="str">
        <x:v>R0398</x:v>
      </x:c>
      <x:c r="B110" s="6" t="str">
        <x:v>比亚迪汽车有限公司</x:v>
      </x:c>
      <x:c r="C110" s="6" t="str">
        <x:v>官方披露集团/子公司</x:v>
      </x:c>
      <x:c r="D110" s="6" t="str">
        <x:v>母子实体</x:v>
      </x:c>
      <x:c r="E110" s="6" t="str">
        <x:v>比亚迪股份直接持股比例</x:v>
      </x:c>
      <x:c r="F110" s="15" t="n">
        <x:v>99</x:v>
      </x:c>
      <x:c r="G110" s="6" t="str">
        <x:v>%</x:v>
      </x:c>
      <x:c r="H110" s="6" t="str">
        <x:v>2026-06-30</x:v>
      </x:c>
      <x:c r="I110" s="13" t="d">
        <x:v>2026-08-29T00:00:00.000Z</x:v>
      </x:c>
      <x:c r="J110" s="6" t="str">
        <x:v>F002</x:v>
      </x:c>
      <x:c r="K110" s="6" t="str">
        <x:v>官方披露已核验</x:v>
      </x:c>
      <x:c r="L110" s="6" t="str"/>
      <x:c r="M110"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111" ht="56" customHeight="1">
      <x:c r="A111" s="6" t="str">
        <x:v>R0397</x:v>
      </x:c>
      <x:c r="B111" s="6" t="str">
        <x:v>比亚迪汽车有限公司</x:v>
      </x:c>
      <x:c r="C111" s="6" t="str">
        <x:v>官方披露集团/子公司</x:v>
      </x:c>
      <x:c r="D111" s="6" t="str">
        <x:v>母子实体</x:v>
      </x:c>
      <x:c r="E111" s="6" t="str">
        <x:v>注册资本/股本</x:v>
      </x:c>
      <x:c r="F111" s="15" t="n">
        <x:v>4381313131</x:v>
      </x:c>
      <x:c r="G111" s="6" t="str">
        <x:v>人民币元</x:v>
      </x:c>
      <x:c r="H111" s="6" t="str">
        <x:v>2026-06-30</x:v>
      </x:c>
      <x:c r="I111" s="13" t="d">
        <x:v>2026-08-29T00:00:00.000Z</x:v>
      </x:c>
      <x:c r="J111" s="6" t="str">
        <x:v>F002</x:v>
      </x:c>
      <x:c r="K111" s="6" t="str">
        <x:v>官方披露已核验</x:v>
      </x:c>
      <x:c r="L111" s="6" t="str"/>
      <x:c r="M111"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112" ht="34" customHeight="1">
      <x:c r="A112" s="6" t="str">
        <x:v>R0005</x:v>
      </x:c>
      <x:c r="B112" s="6" t="str">
        <x:v>比亚迪汽车销售有限公司</x:v>
      </x:c>
      <x:c r="C112" s="6" t="str">
        <x:v>公告比亚迪命名主体；股权关系未核</x:v>
      </x:c>
      <x:c r="D112" s="6" t="str">
        <x:v>入围产品</x:v>
      </x:c>
      <x:c r="E112" s="6" t="str">
        <x:v>夏218km超越型商品单价</x:v>
      </x:c>
      <x:c r="F112" s="15" t="n">
        <x:v>246800</x:v>
      </x:c>
      <x:c r="G112" s="6" t="str">
        <x:v>元/车</x:v>
      </x:c>
      <x:c r="H112" s="6" t="str">
        <x:v>2026-10-08</x:v>
      </x:c>
      <x:c r="I112" s="13" t="d">
        <x:v>2026-06-03T00:00:00.000Z</x:v>
      </x:c>
      <x:c r="J112" s="6" t="str">
        <x:v>Q009</x:v>
      </x:c>
      <x:c r="K112" s="6" t="str">
        <x:v>公开可读</x:v>
      </x:c>
      <x:c r="L112" s="6" t="str"/>
      <x:c r="M112" s="6" t="str">
        <x:v>为框架入围商品单价；未以人民币明示，不计交易总额。</x:v>
      </x:c>
    </x:row>
    <x:row r="113" ht="40" customHeight="1">
      <x:c r="A113" s="6" t="str">
        <x:v>R0006</x:v>
      </x:c>
      <x:c r="B113" s="6" t="str">
        <x:v>比亚迪汽车销售有限公司</x:v>
      </x:c>
      <x:c r="C113" s="6" t="str">
        <x:v>公告比亚迪命名主体；股权关系未核</x:v>
      </x:c>
      <x:c r="D113" s="6" t="str">
        <x:v>入围产品</x:v>
      </x:c>
      <x:c r="E113" s="6" t="str">
        <x:v>宋Pro DM-i220km超越型商品单价</x:v>
      </x:c>
      <x:c r="F113" s="15" t="n">
        <x:v>122800</x:v>
      </x:c>
      <x:c r="G113" s="6" t="str">
        <x:v>元/车</x:v>
      </x:c>
      <x:c r="H113" s="6" t="str">
        <x:v>2026-10-08</x:v>
      </x:c>
      <x:c r="I113" s="13" t="d">
        <x:v>2026-06-03T00:00:00.000Z</x:v>
      </x:c>
      <x:c r="J113" s="6" t="str">
        <x:v>Q009</x:v>
      </x:c>
      <x:c r="K113" s="6" t="str">
        <x:v>公开可读</x:v>
      </x:c>
      <x:c r="L113" s="6" t="str"/>
      <x:c r="M113" s="6" t="str">
        <x:v>框架单价而非已成交总额。</x:v>
      </x:c>
    </x:row>
    <x:row r="114" ht="40" customHeight="1">
      <x:c r="A114" s="6" t="str">
        <x:v>R0007</x:v>
      </x:c>
      <x:c r="B114" s="6" t="str">
        <x:v>比亚迪汽车销售有限公司</x:v>
      </x:c>
      <x:c r="C114" s="6" t="str">
        <x:v>公告比亚迪命名主体；股权关系未核</x:v>
      </x:c>
      <x:c r="D114" s="6" t="str">
        <x:v>入围产品</x:v>
      </x:c>
      <x:c r="E114" s="6" t="str">
        <x:v>秦PLUS DM-i210KM超越版商品单价</x:v>
      </x:c>
      <x:c r="F114" s="15" t="n">
        <x:v>99800</x:v>
      </x:c>
      <x:c r="G114" s="6" t="str">
        <x:v>元/车</x:v>
      </x:c>
      <x:c r="H114" s="6" t="str">
        <x:v>2026-10-08</x:v>
      </x:c>
      <x:c r="I114" s="13" t="d">
        <x:v>2026-06-03T00:00:00.000Z</x:v>
      </x:c>
      <x:c r="J114" s="6" t="str">
        <x:v>Q009</x:v>
      </x:c>
      <x:c r="K114" s="6" t="str">
        <x:v>公开可读</x:v>
      </x:c>
      <x:c r="L114" s="6" t="str"/>
      <x:c r="M114" s="6" t="str">
        <x:v>框架单价而非已成交总额。</x:v>
      </x:c>
    </x:row>
    <x:row r="115" ht="34" customHeight="1">
      <x:c r="A115" s="6" t="str">
        <x:v>R0001</x:v>
      </x:c>
      <x:c r="B115" s="6" t="str">
        <x:v>比亚迪汽车销售有限公司</x:v>
      </x:c>
      <x:c r="C115" s="6" t="str">
        <x:v>公告比亚迪命名主体；股权关系未核</x:v>
      </x:c>
      <x:c r="D115" s="6" t="str">
        <x:v>联系方式</x:v>
      </x:c>
      <x:c r="E115" s="6" t="str">
        <x:v>供应商联系人</x:v>
      </x:c>
      <x:c r="F115" s="6" t="str">
        <x:v>周晓州</x:v>
      </x:c>
      <x:c r="G115" s="6" t="str"/>
      <x:c r="H115" s="6" t="str">
        <x:v>2026-10-08</x:v>
      </x:c>
      <x:c r="I115" s="13" t="d">
        <x:v>2026-06-03T00:00:00.000Z</x:v>
      </x:c>
      <x:c r="J115" s="6" t="str">
        <x:v>Q009</x:v>
      </x:c>
      <x:c r="K115" s="6" t="str">
        <x:v>公开可读，时效未验证</x:v>
      </x:c>
      <x:c r="L115" s="6" t="str"/>
      <x:c r="M115" s="6" t="str">
        <x:v>对应上海2026年公务车框架入围，非集团通用联系人。</x:v>
      </x:c>
    </x:row>
    <x:row r="116" ht="40" customHeight="1">
      <x:c r="A116" s="6" t="str">
        <x:v>R0004</x:v>
      </x:c>
      <x:c r="B116" s="6" t="str">
        <x:v>比亚迪汽车销售有限公司</x:v>
      </x:c>
      <x:c r="C116" s="6" t="str">
        <x:v>公告比亚迪命名主体；股权关系未核</x:v>
      </x:c>
      <x:c r="D116" s="6" t="str">
        <x:v>采购入围</x:v>
      </x:c>
      <x:c r="E116" s="6" t="str">
        <x:v>2026上海新能源公务车框架协议入围</x:v>
      </x:c>
      <x:c r="F116" s="6" t="str">
        <x:v>框架入围供应商</x:v>
      </x:c>
      <x:c r="G116" s="6" t="str"/>
      <x:c r="H116" s="6" t="str">
        <x:v>2026-10-08</x:v>
      </x:c>
      <x:c r="I116" s="13" t="d">
        <x:v>2026-06-03T00:00:00.000Z</x:v>
      </x:c>
      <x:c r="J116" s="6" t="str">
        <x:v>Q009</x:v>
      </x:c>
      <x:c r="K116" s="6" t="str">
        <x:v>标题与正文结构一致</x:v>
      </x:c>
      <x:c r="L116" s="6" t="str"/>
      <x:c r="M116" s="6" t="str">
        <x:v>入围非订单成交，正文企业名遮挡。</x:v>
      </x:c>
    </x:row>
    <x:row r="117" ht="56" customHeight="1">
      <x:c r="A117" s="6" t="str">
        <x:v>R0371</x:v>
      </x:c>
      <x:c r="B117" s="6" t="str">
        <x:v>比亚迪电子(国际)有限公司</x:v>
      </x:c>
      <x:c r="C117" s="6" t="str">
        <x:v>官方披露集团/子公司</x:v>
      </x:c>
      <x:c r="D117" s="6" t="str">
        <x:v>母子实体</x:v>
      </x:c>
      <x:c r="E117" s="6" t="str">
        <x:v>业务性质</x:v>
      </x:c>
      <x:c r="F117" s="6" t="str">
        <x:v>投资控股</x:v>
      </x:c>
      <x:c r="G117" s="6" t="str"/>
      <x:c r="H117" s="6" t="str">
        <x:v>2026-06-30</x:v>
      </x:c>
      <x:c r="I117" s="13" t="d">
        <x:v>2026-08-29T00:00:00.000Z</x:v>
      </x:c>
      <x:c r="J117" s="6" t="str">
        <x:v>F002</x:v>
      </x:c>
      <x:c r="K117" s="6" t="str">
        <x:v>官方披露已核验</x:v>
      </x:c>
      <x:c r="L117" s="6" t="str"/>
      <x:c r="M117"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118" ht="56" customHeight="1">
      <x:c r="A118" s="6" t="str">
        <x:v>R0370</x:v>
      </x:c>
      <x:c r="B118" s="6" t="str">
        <x:v>比亚迪电子(国际)有限公司</x:v>
      </x:c>
      <x:c r="C118" s="6" t="str">
        <x:v>官方披露集团/子公司</x:v>
      </x:c>
      <x:c r="D118" s="6" t="str">
        <x:v>母子实体</x:v>
      </x:c>
      <x:c r="E118" s="6" t="str">
        <x:v>主要经营地及注册地</x:v>
      </x:c>
      <x:c r="F118" s="6" t="str">
        <x:v>香港</x:v>
      </x:c>
      <x:c r="G118" s="6" t="str"/>
      <x:c r="H118" s="6" t="str">
        <x:v>2026-06-30</x:v>
      </x:c>
      <x:c r="I118" s="13" t="d">
        <x:v>2026-08-29T00:00:00.000Z</x:v>
      </x:c>
      <x:c r="J118" s="6" t="str">
        <x:v>F002</x:v>
      </x:c>
      <x:c r="K118" s="6" t="str">
        <x:v>官方披露已核验</x:v>
      </x:c>
      <x:c r="L118" s="6" t="str"/>
      <x:c r="M118"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119" ht="56" customHeight="1">
      <x:c r="A119" s="6" t="str">
        <x:v>R0369</x:v>
      </x:c>
      <x:c r="B119" s="6" t="str">
        <x:v>比亚迪电子(国际)有限公司</x:v>
      </x:c>
      <x:c r="C119" s="6" t="str">
        <x:v>官方披露集团/子公司</x:v>
      </x:c>
      <x:c r="D119" s="6" t="str">
        <x:v>母子实体</x:v>
      </x:c>
      <x:c r="E119" s="6" t="str">
        <x:v>母子关系</x:v>
      </x:c>
      <x:c r="F119" s="6" t="str">
        <x:v>比亚迪股份有限公司重要子公司</x:v>
      </x:c>
      <x:c r="G119" s="6" t="str"/>
      <x:c r="H119" s="6" t="str">
        <x:v>2026-06-30</x:v>
      </x:c>
      <x:c r="I119" s="13" t="d">
        <x:v>2026-08-29T00:00:00.000Z</x:v>
      </x:c>
      <x:c r="J119" s="6" t="str">
        <x:v>F002</x:v>
      </x:c>
      <x:c r="K119" s="6" t="str">
        <x:v>官方披露已核验</x:v>
      </x:c>
      <x:c r="L119" s="6" t="str"/>
      <x:c r="M119"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120" ht="56" customHeight="1">
      <x:c r="A120" s="6" t="str">
        <x:v>R0373</x:v>
      </x:c>
      <x:c r="B120" s="6" t="str">
        <x:v>比亚迪电子(国际)有限公司</x:v>
      </x:c>
      <x:c r="C120" s="6" t="str">
        <x:v>官方披露集团/子公司</x:v>
      </x:c>
      <x:c r="D120" s="6" t="str">
        <x:v>母子实体</x:v>
      </x:c>
      <x:c r="E120" s="6" t="str">
        <x:v>比亚迪股份间接持股比例</x:v>
      </x:c>
      <x:c r="F120" s="16" t="n">
        <x:v>65.76</x:v>
      </x:c>
      <x:c r="G120" s="6" t="str">
        <x:v>%</x:v>
      </x:c>
      <x:c r="H120" s="6" t="str">
        <x:v>2026-06-30</x:v>
      </x:c>
      <x:c r="I120" s="13" t="d">
        <x:v>2026-08-29T00:00:00.000Z</x:v>
      </x:c>
      <x:c r="J120" s="6" t="str">
        <x:v>F002</x:v>
      </x:c>
      <x:c r="K120" s="6" t="str">
        <x:v>官方披露已核验</x:v>
      </x:c>
      <x:c r="L120" s="6" t="str"/>
      <x:c r="M120"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121" ht="56" customHeight="1">
      <x:c r="A121" s="6" t="str">
        <x:v>R0372</x:v>
      </x:c>
      <x:c r="B121" s="6" t="str">
        <x:v>比亚迪电子(国际)有限公司</x:v>
      </x:c>
      <x:c r="C121" s="6" t="str">
        <x:v>官方披露集团/子公司</x:v>
      </x:c>
      <x:c r="D121" s="6" t="str">
        <x:v>母子实体</x:v>
      </x:c>
      <x:c r="E121" s="6" t="str">
        <x:v>注册资本/股本</x:v>
      </x:c>
      <x:c r="F121" s="15" t="n">
        <x:v>225320450</x:v>
      </x:c>
      <x:c r="G121" s="6" t="str">
        <x:v>港元</x:v>
      </x:c>
      <x:c r="H121" s="6" t="str">
        <x:v>2026-06-30</x:v>
      </x:c>
      <x:c r="I121" s="13" t="d">
        <x:v>2026-08-29T00:00:00.000Z</x:v>
      </x:c>
      <x:c r="J121" s="6" t="str">
        <x:v>F002</x:v>
      </x:c>
      <x:c r="K121" s="6" t="str">
        <x:v>官方披露已核验</x:v>
      </x:c>
      <x:c r="L121" s="6" t="str"/>
      <x:c r="M121"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122" ht="56" customHeight="1">
      <x:c r="A122" s="6" t="str">
        <x:v>R0376</x:v>
      </x:c>
      <x:c r="B122" s="6" t="str">
        <x:v>比亚迪精密制造有限公司</x:v>
      </x:c>
      <x:c r="C122" s="6" t="str">
        <x:v>官方披露集团/子公司</x:v>
      </x:c>
      <x:c r="D122" s="6" t="str">
        <x:v>母子实体</x:v>
      </x:c>
      <x:c r="E122" s="6" t="str">
        <x:v>业务性质</x:v>
      </x:c>
      <x:c r="F122" s="6" t="str">
        <x:v>制造</x:v>
      </x:c>
      <x:c r="G122" s="6" t="str"/>
      <x:c r="H122" s="6" t="str">
        <x:v>2026-06-30</x:v>
      </x:c>
      <x:c r="I122" s="13" t="d">
        <x:v>2026-08-29T00:00:00.000Z</x:v>
      </x:c>
      <x:c r="J122" s="6" t="str">
        <x:v>F002</x:v>
      </x:c>
      <x:c r="K122" s="6" t="str">
        <x:v>官方披露已核验</x:v>
      </x:c>
      <x:c r="L122" s="6" t="str"/>
      <x:c r="M122"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123" ht="56" customHeight="1">
      <x:c r="A123" s="6" t="str">
        <x:v>R0375</x:v>
      </x:c>
      <x:c r="B123" s="6" t="str">
        <x:v>比亚迪精密制造有限公司</x:v>
      </x:c>
      <x:c r="C123" s="6" t="str">
        <x:v>官方披露集团/子公司</x:v>
      </x:c>
      <x:c r="D123" s="6" t="str">
        <x:v>母子实体</x:v>
      </x:c>
      <x:c r="E123" s="6" t="str">
        <x:v>主要经营地及注册地</x:v>
      </x:c>
      <x:c r="F123" s="6" t="str">
        <x:v>深圳</x:v>
      </x:c>
      <x:c r="G123" s="6" t="str"/>
      <x:c r="H123" s="6" t="str">
        <x:v>2026-06-30</x:v>
      </x:c>
      <x:c r="I123" s="13" t="d">
        <x:v>2026-08-29T00:00:00.000Z</x:v>
      </x:c>
      <x:c r="J123" s="6" t="str">
        <x:v>F002</x:v>
      </x:c>
      <x:c r="K123" s="6" t="str">
        <x:v>官方披露已核验</x:v>
      </x:c>
      <x:c r="L123" s="6" t="str"/>
      <x:c r="M123"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124" ht="56" customHeight="1">
      <x:c r="A124" s="6" t="str">
        <x:v>R0374</x:v>
      </x:c>
      <x:c r="B124" s="6" t="str">
        <x:v>比亚迪精密制造有限公司</x:v>
      </x:c>
      <x:c r="C124" s="6" t="str">
        <x:v>官方披露集团/子公司</x:v>
      </x:c>
      <x:c r="D124" s="6" t="str">
        <x:v>母子实体</x:v>
      </x:c>
      <x:c r="E124" s="6" t="str">
        <x:v>母子关系</x:v>
      </x:c>
      <x:c r="F124" s="6" t="str">
        <x:v>比亚迪股份有限公司重要子公司</x:v>
      </x:c>
      <x:c r="G124" s="6" t="str"/>
      <x:c r="H124" s="6" t="str">
        <x:v>2026-06-30</x:v>
      </x:c>
      <x:c r="I124" s="13" t="d">
        <x:v>2026-08-29T00:00:00.000Z</x:v>
      </x:c>
      <x:c r="J124" s="6" t="str">
        <x:v>F002</x:v>
      </x:c>
      <x:c r="K124" s="6" t="str">
        <x:v>官方披露已核验</x:v>
      </x:c>
      <x:c r="L124" s="6" t="str"/>
      <x:c r="M124"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125" ht="56" customHeight="1">
      <x:c r="A125" s="6" t="str">
        <x:v>R0378</x:v>
      </x:c>
      <x:c r="B125" s="6" t="str">
        <x:v>比亚迪精密制造有限公司</x:v>
      </x:c>
      <x:c r="C125" s="6" t="str">
        <x:v>官方披露集团/子公司</x:v>
      </x:c>
      <x:c r="D125" s="6" t="str">
        <x:v>母子实体</x:v>
      </x:c>
      <x:c r="E125" s="6" t="str">
        <x:v>比亚迪股份间接持股比例</x:v>
      </x:c>
      <x:c r="F125" s="16" t="n">
        <x:v>65.76</x:v>
      </x:c>
      <x:c r="G125" s="6" t="str">
        <x:v>%</x:v>
      </x:c>
      <x:c r="H125" s="6" t="str">
        <x:v>2026-06-30</x:v>
      </x:c>
      <x:c r="I125" s="13" t="d">
        <x:v>2026-08-29T00:00:00.000Z</x:v>
      </x:c>
      <x:c r="J125" s="6" t="str">
        <x:v>F002</x:v>
      </x:c>
      <x:c r="K125" s="6" t="str">
        <x:v>官方披露已核验</x:v>
      </x:c>
      <x:c r="L125" s="6" t="str"/>
      <x:c r="M125"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126" ht="56" customHeight="1">
      <x:c r="A126" s="6" t="str">
        <x:v>R0377</x:v>
      </x:c>
      <x:c r="B126" s="6" t="str">
        <x:v>比亚迪精密制造有限公司</x:v>
      </x:c>
      <x:c r="C126" s="6" t="str">
        <x:v>官方披露集团/子公司</x:v>
      </x:c>
      <x:c r="D126" s="6" t="str">
        <x:v>母子实体</x:v>
      </x:c>
      <x:c r="E126" s="6" t="str">
        <x:v>注册资本/股本</x:v>
      </x:c>
      <x:c r="F126" s="15" t="n">
        <x:v>145000000</x:v>
      </x:c>
      <x:c r="G126" s="6" t="str">
        <x:v>美元</x:v>
      </x:c>
      <x:c r="H126" s="6" t="str">
        <x:v>2026-06-30</x:v>
      </x:c>
      <x:c r="I126" s="13" t="d">
        <x:v>2026-08-29T00:00:00.000Z</x:v>
      </x:c>
      <x:c r="J126" s="6" t="str">
        <x:v>F002</x:v>
      </x:c>
      <x:c r="K126" s="6" t="str">
        <x:v>官方披露已核验</x:v>
      </x:c>
      <x:c r="L126" s="6" t="str"/>
      <x:c r="M126"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127" ht="34" customHeight="1">
      <x:c r="A127" s="6" t="str">
        <x:v>R0196</x:v>
      </x:c>
      <x:c r="B127" s="6" t="str">
        <x:v>深圳市比亚迪锂电池有限公司</x:v>
      </x:c>
      <x:c r="C127" s="6" t="str">
        <x:v>公告比亚迪命名主体；股权关系未核</x:v>
      </x:c>
      <x:c r="D127" s="6" t="str">
        <x:v>主体</x:v>
      </x:c>
      <x:c r="E127" s="6" t="str">
        <x:v>实际采购主体</x:v>
      </x:c>
      <x:c r="F127" s="6" t="str">
        <x:v>深圳市比亚迪锂电池有限公司</x:v>
      </x:c>
      <x:c r="G127" s="6" t="str"/>
      <x:c r="H127" s="6" t="str">
        <x:v>2026-05-13</x:v>
      </x:c>
      <x:c r="I127" s="13" t="d">
        <x:v>2026-05-13T00:00:00.000Z</x:v>
      </x:c>
      <x:c r="J127" s="6" t="str">
        <x:v>O014</x:v>
      </x:c>
      <x:c r="K127" s="6" t="str">
        <x:v>原文明确</x:v>
      </x:c>
      <x:c r="L127" s="6" t="str"/>
      <x:c r="M127" s="6" t="str">
        <x:v>不根据名称推断股权关系</x:v>
      </x:c>
    </x:row>
    <x:row r="128" ht="34" customHeight="1">
      <x:c r="A128" s="6" t="str">
        <x:v>R0190</x:v>
      </x:c>
      <x:c r="B128" s="6" t="str">
        <x:v>深圳市比亚迪锂电池有限公司</x:v>
      </x:c>
      <x:c r="C128" s="6" t="str">
        <x:v>公告比亚迪命名主体；股权关系未核</x:v>
      </x:c>
      <x:c r="D128" s="6" t="str">
        <x:v>主体</x:v>
      </x:c>
      <x:c r="E128" s="6" t="str">
        <x:v>实际采购主体</x:v>
      </x:c>
      <x:c r="F128" s="6" t="str">
        <x:v>深圳市比亚迪锂电池有限公司</x:v>
      </x:c>
      <x:c r="G128" s="6" t="str"/>
      <x:c r="H128" s="6" t="str">
        <x:v>2026-06-03</x:v>
      </x:c>
      <x:c r="I128" s="13" t="d">
        <x:v>2026-06-03T00:00:00.000Z</x:v>
      </x:c>
      <x:c r="J128" s="6" t="str">
        <x:v>O013</x:v>
      </x:c>
      <x:c r="K128" s="6" t="str">
        <x:v>原文明确</x:v>
      </x:c>
      <x:c r="L128" s="6" t="str"/>
      <x:c r="M128" s="6" t="str">
        <x:v>不根据名称推断股权关系</x:v>
      </x:c>
    </x:row>
    <x:row r="129" ht="34" customHeight="1">
      <x:c r="A129" s="6" t="str">
        <x:v>R0105</x:v>
      </x:c>
      <x:c r="B129" s="6" t="str">
        <x:v>深圳市比亚迪锂电池有限公司</x:v>
      </x:c>
      <x:c r="C129" s="6" t="str">
        <x:v>公告比亚迪命名主体；股权关系未核</x:v>
      </x:c>
      <x:c r="D129" s="6" t="str">
        <x:v>主体</x:v>
      </x:c>
      <x:c r="E129" s="6" t="str">
        <x:v>实际采购主体</x:v>
      </x:c>
      <x:c r="F129" s="6" t="str">
        <x:v>深圳市比亚迪锂电池有限公司</x:v>
      </x:c>
      <x:c r="G129" s="6" t="str"/>
      <x:c r="H129" s="6" t="str">
        <x:v>2026-06-17</x:v>
      </x:c>
      <x:c r="I129" s="13" t="d">
        <x:v>2026-06-17T00:00:00.000Z</x:v>
      </x:c>
      <x:c r="J129" s="6" t="str">
        <x:v>O003</x:v>
      </x:c>
      <x:c r="K129" s="6" t="str">
        <x:v>原文明确</x:v>
      </x:c>
      <x:c r="L129" s="6" t="str"/>
      <x:c r="M129" s="6" t="str">
        <x:v>不根据名称推断股权关系</x:v>
      </x:c>
    </x:row>
    <x:row r="130" ht="34" customHeight="1">
      <x:c r="A130" s="6" t="str">
        <x:v>R0142</x:v>
      </x:c>
      <x:c r="B130" s="6" t="str">
        <x:v>深圳市比亚迪锂电池有限公司</x:v>
      </x:c>
      <x:c r="C130" s="6" t="str">
        <x:v>公告比亚迪命名主体；股权关系未核</x:v>
      </x:c>
      <x:c r="D130" s="6" t="str">
        <x:v>主体</x:v>
      </x:c>
      <x:c r="E130" s="6" t="str">
        <x:v>实际采购主体</x:v>
      </x:c>
      <x:c r="F130" s="6" t="str">
        <x:v>深圳市比亚迪锂电池有限公司</x:v>
      </x:c>
      <x:c r="G130" s="6" t="str"/>
      <x:c r="H130" s="6" t="str">
        <x:v>2026-06-25</x:v>
      </x:c>
      <x:c r="I130" s="13" t="d">
        <x:v>2026-06-25T00:00:00.000Z</x:v>
      </x:c>
      <x:c r="J130" s="6" t="str">
        <x:v>O006</x:v>
      </x:c>
      <x:c r="K130" s="6" t="str">
        <x:v>原文明确</x:v>
      </x:c>
      <x:c r="L130" s="6" t="str"/>
      <x:c r="M130" s="6" t="str">
        <x:v>不根据名称推断股权关系</x:v>
      </x:c>
    </x:row>
    <x:row r="131" ht="34" customHeight="1">
      <x:c r="A131" s="6" t="str">
        <x:v>R0178</x:v>
      </x:c>
      <x:c r="B131" s="6" t="str">
        <x:v>深圳市比亚迪锂电池有限公司</x:v>
      </x:c>
      <x:c r="C131" s="6" t="str">
        <x:v>公告比亚迪命名主体；股权关系未核</x:v>
      </x:c>
      <x:c r="D131" s="6" t="str">
        <x:v>主体</x:v>
      </x:c>
      <x:c r="E131" s="6" t="str">
        <x:v>实际采购主体</x:v>
      </x:c>
      <x:c r="F131" s="6" t="str">
        <x:v>深圳市比亚迪锂电池有限公司</x:v>
      </x:c>
      <x:c r="G131" s="6" t="str"/>
      <x:c r="H131" s="6" t="str">
        <x:v>2026-07-07</x:v>
      </x:c>
      <x:c r="I131" s="13" t="d">
        <x:v>2026-07-07T00:00:00.000Z</x:v>
      </x:c>
      <x:c r="J131" s="6" t="str">
        <x:v>O010</x:v>
      </x:c>
      <x:c r="K131" s="6" t="str">
        <x:v>原文明确</x:v>
      </x:c>
      <x:c r="L131" s="6" t="str"/>
      <x:c r="M131" s="6" t="str">
        <x:v>不根据名称推断股权关系</x:v>
      </x:c>
    </x:row>
    <x:row r="132" ht="34" customHeight="1">
      <x:c r="A132" s="6" t="str">
        <x:v>R0090</x:v>
      </x:c>
      <x:c r="B132" s="6" t="str">
        <x:v>深圳市比亚迪锂电池有限公司</x:v>
      </x:c>
      <x:c r="C132" s="6" t="str">
        <x:v>公告比亚迪命名主体；股权关系未核</x:v>
      </x:c>
      <x:c r="D132" s="6" t="str">
        <x:v>主体</x:v>
      </x:c>
      <x:c r="E132" s="6" t="str">
        <x:v>实际采购主体</x:v>
      </x:c>
      <x:c r="F132" s="6" t="str">
        <x:v>深圳市比亚迪锂电池有限公司</x:v>
      </x:c>
      <x:c r="G132" s="6" t="str"/>
      <x:c r="H132" s="6" t="str">
        <x:v>2026-07-14</x:v>
      </x:c>
      <x:c r="I132" s="13" t="d">
        <x:v>2026-07-14T00:00:00.000Z</x:v>
      </x:c>
      <x:c r="J132" s="6" t="str">
        <x:v>O002</x:v>
      </x:c>
      <x:c r="K132" s="6" t="str">
        <x:v>原文明确</x:v>
      </x:c>
      <x:c r="L132" s="6" t="str"/>
      <x:c r="M132" s="6" t="str">
        <x:v>不根据名称推断股权关系</x:v>
      </x:c>
    </x:row>
    <x:row r="133" ht="34" customHeight="1">
      <x:c r="A133" s="6" t="str">
        <x:v>R0120</x:v>
      </x:c>
      <x:c r="B133" s="6" t="str">
        <x:v>深圳市比亚迪锂电池有限公司</x:v>
      </x:c>
      <x:c r="C133" s="6" t="str">
        <x:v>公告比亚迪命名主体；股权关系未核</x:v>
      </x:c>
      <x:c r="D133" s="6" t="str">
        <x:v>主体</x:v>
      </x:c>
      <x:c r="E133" s="6" t="str">
        <x:v>实际采购主体</x:v>
      </x:c>
      <x:c r="F133" s="6" t="str">
        <x:v>深圳市比亚迪锂电池有限公司</x:v>
      </x:c>
      <x:c r="G133" s="6" t="str"/>
      <x:c r="H133" s="6" t="str">
        <x:v>2026-08-28</x:v>
      </x:c>
      <x:c r="I133" s="13" t="d">
        <x:v>2026-08-28T00:00:00.000Z</x:v>
      </x:c>
      <x:c r="J133" s="6" t="str">
        <x:v>O004</x:v>
      </x:c>
      <x:c r="K133" s="6" t="str">
        <x:v>原文明确</x:v>
      </x:c>
      <x:c r="L133" s="6" t="str"/>
      <x:c r="M133" s="6" t="str">
        <x:v>不根据名称推断股权关系</x:v>
      </x:c>
    </x:row>
    <x:row r="134" ht="34" customHeight="1">
      <x:c r="A134" s="6" t="str">
        <x:v>R0204</x:v>
      </x:c>
      <x:c r="B134" s="6" t="str">
        <x:v>深圳市比亚迪锂电池有限公司</x:v>
      </x:c>
      <x:c r="C134" s="6" t="str">
        <x:v>公告比亚迪命名主体；股权关系未核</x:v>
      </x:c>
      <x:c r="D134" s="6" t="str">
        <x:v>交易条款</x:v>
      </x:c>
      <x:c r="E134" s="6" t="str">
        <x:v>交货期限</x:v>
      </x:c>
      <x:c r="F134" s="6" t="str">
        <x:v>2. 5交货期限:签订合同后60天内交货。</x:v>
      </x:c>
      <x:c r="G134" s="6" t="str"/>
      <x:c r="H134" s="6" t="str">
        <x:v>2026-05-13</x:v>
      </x:c>
      <x:c r="I134" s="13" t="d">
        <x:v>2026-05-13T00:00:00.000Z</x:v>
      </x:c>
      <x:c r="J134" s="6" t="str">
        <x:v>O014</x:v>
      </x:c>
      <x:c r="K134" s="6" t="str">
        <x:v>原文明确</x:v>
      </x:c>
      <x:c r="L134" s="6" t="str"/>
      <x:c r="M134" s="6" t="str"/>
    </x:row>
    <x:row r="135" ht="56" customHeight="1">
      <x:c r="A135" s="6" t="str">
        <x:v>R0203</x:v>
      </x:c>
      <x:c r="B135" s="6" t="str">
        <x:v>深圳市比亚迪锂电池有限公司</x:v>
      </x:c>
      <x:c r="C135" s="6" t="str">
        <x:v>公告比亚迪命名主体；股权关系未核</x:v>
      </x:c>
      <x:c r="D135" s="6" t="str">
        <x:v>交易条款</x:v>
      </x:c>
      <x:c r="E135" s="6" t="str">
        <x:v>付款条件</x:v>
      </x:c>
      <x:c r="F135" s="6" t="str">
        <x:v>付款条件:项目不含税预算金额46.5万元,设备单价不含税限价9.3万元/台。付款条件:货到凭票付60%,验收合格凭票付30%,质保1年满付10%,全部电汇。</x:v>
      </x:c>
      <x:c r="G135" s="6" t="str"/>
      <x:c r="H135" s="6" t="str">
        <x:v>2026-05-13</x:v>
      </x:c>
      <x:c r="I135" s="13" t="d">
        <x:v>2026-05-13T00:00:00.000Z</x:v>
      </x:c>
      <x:c r="J135" s="6" t="str">
        <x:v>O014</x:v>
      </x:c>
      <x:c r="K135" s="6" t="str">
        <x:v>原文明确</x:v>
      </x:c>
      <x:c r="L135" s="6" t="str"/>
      <x:c r="M135" s="6" t="str"/>
    </x:row>
    <x:row r="136" ht="34" customHeight="1">
      <x:c r="A136" s="6" t="str">
        <x:v>R0194</x:v>
      </x:c>
      <x:c r="B136" s="6" t="str">
        <x:v>深圳市比亚迪锂电池有限公司</x:v>
      </x:c>
      <x:c r="C136" s="6" t="str">
        <x:v>公告比亚迪命名主体；股权关系未核</x:v>
      </x:c>
      <x:c r="D136" s="6" t="str">
        <x:v>交易条款</x:v>
      </x:c>
      <x:c r="E136" s="6" t="str">
        <x:v>交货期限</x:v>
      </x:c>
      <x:c r="F136" s="6" t="str">
        <x:v>交货期:30天。</x:v>
      </x:c>
      <x:c r="G136" s="6" t="str"/>
      <x:c r="H136" s="6" t="str">
        <x:v>2026-06-03</x:v>
      </x:c>
      <x:c r="I136" s="13" t="d">
        <x:v>2026-06-03T00:00:00.000Z</x:v>
      </x:c>
      <x:c r="J136" s="6" t="str">
        <x:v>O013</x:v>
      </x:c>
      <x:c r="K136" s="6" t="str">
        <x:v>原文明确</x:v>
      </x:c>
      <x:c r="L136" s="6" t="str"/>
      <x:c r="M136" s="6" t="str"/>
    </x:row>
    <x:row r="137" ht="34" customHeight="1">
      <x:c r="A137" s="6" t="str">
        <x:v>R0113</x:v>
      </x:c>
      <x:c r="B137" s="6" t="str">
        <x:v>深圳市比亚迪锂电池有限公司</x:v>
      </x:c>
      <x:c r="C137" s="6" t="str">
        <x:v>公告比亚迪命名主体；股权关系未核</x:v>
      </x:c>
      <x:c r="D137" s="6" t="str">
        <x:v>交易条款</x:v>
      </x:c>
      <x:c r="E137" s="6" t="str">
        <x:v>交货期限</x:v>
      </x:c>
      <x:c r="F137" s="6" t="str">
        <x:v>2.5交货期限:签订合同后 240天内交货。</x:v>
      </x:c>
      <x:c r="G137" s="6" t="str"/>
      <x:c r="H137" s="6" t="str">
        <x:v>2026-06-17</x:v>
      </x:c>
      <x:c r="I137" s="13" t="d">
        <x:v>2026-06-17T00:00:00.000Z</x:v>
      </x:c>
      <x:c r="J137" s="6" t="str">
        <x:v>O003</x:v>
      </x:c>
      <x:c r="K137" s="6" t="str">
        <x:v>原文明确</x:v>
      </x:c>
      <x:c r="L137" s="6" t="str"/>
      <x:c r="M137" s="6" t="str"/>
    </x:row>
    <x:row r="138" ht="40" customHeight="1">
      <x:c r="A138" s="6" t="str">
        <x:v>R0112</x:v>
      </x:c>
      <x:c r="B138" s="6" t="str">
        <x:v>深圳市比亚迪锂电池有限公司</x:v>
      </x:c>
      <x:c r="C138" s="6" t="str">
        <x:v>公告比亚迪命名主体；股权关系未核</x:v>
      </x:c>
      <x:c r="D138" s="6" t="str">
        <x:v>交易条款</x:v>
      </x:c>
      <x:c r="E138" s="6" t="str">
        <x:v>付款条件</x:v>
      </x:c>
      <x:c r="F138" s="6" t="str">
        <x:v>付款条件:项目不含税预算金额700万元。付款条件:货到凭票付60%,验收合格后凭票付40%,全部电汇。</x:v>
      </x:c>
      <x:c r="G138" s="6" t="str"/>
      <x:c r="H138" s="6" t="str">
        <x:v>2026-06-17</x:v>
      </x:c>
      <x:c r="I138" s="13" t="d">
        <x:v>2026-06-17T00:00:00.000Z</x:v>
      </x:c>
      <x:c r="J138" s="6" t="str">
        <x:v>O003</x:v>
      </x:c>
      <x:c r="K138" s="6" t="str">
        <x:v>原文明确</x:v>
      </x:c>
      <x:c r="L138" s="6" t="str"/>
      <x:c r="M138" s="6" t="str"/>
    </x:row>
    <x:row r="139" ht="34" customHeight="1">
      <x:c r="A139" s="6" t="str">
        <x:v>R0150</x:v>
      </x:c>
      <x:c r="B139" s="6" t="str">
        <x:v>深圳市比亚迪锂电池有限公司</x:v>
      </x:c>
      <x:c r="C139" s="6" t="str">
        <x:v>公告比亚迪命名主体；股权关系未核</x:v>
      </x:c>
      <x:c r="D139" s="6" t="str">
        <x:v>交易条款</x:v>
      </x:c>
      <x:c r="E139" s="6" t="str">
        <x:v>交货期限</x:v>
      </x:c>
      <x:c r="F139" s="6" t="str">
        <x:v>2.5 交货期限:签订合同后 180 天内交货。</x:v>
      </x:c>
      <x:c r="G139" s="6" t="str"/>
      <x:c r="H139" s="6" t="str">
        <x:v>2026-06-25</x:v>
      </x:c>
      <x:c r="I139" s="13" t="d">
        <x:v>2026-06-25T00:00:00.000Z</x:v>
      </x:c>
      <x:c r="J139" s="6" t="str">
        <x:v>O006</x:v>
      </x:c>
      <x:c r="K139" s="6" t="str">
        <x:v>原文明确</x:v>
      </x:c>
      <x:c r="L139" s="6" t="str"/>
      <x:c r="M139" s="6" t="str"/>
    </x:row>
    <x:row r="140" ht="40" customHeight="1">
      <x:c r="A140" s="6" t="str">
        <x:v>R0149</x:v>
      </x:c>
      <x:c r="B140" s="6" t="str">
        <x:v>深圳市比亚迪锂电池有限公司</x:v>
      </x:c>
      <x:c r="C140" s="6" t="str">
        <x:v>公告比亚迪命名主体；股权关系未核</x:v>
      </x:c>
      <x:c r="D140" s="6" t="str">
        <x:v>交易条款</x:v>
      </x:c>
      <x:c r="E140" s="6" t="str">
        <x:v>付款条件</x:v>
      </x:c>
      <x:c r="F140" s="6" t="str">
        <x:v>付款条件:项目不含税预算金额390 万元。付款条件: 货到凭票付 60%,验收合格凭票付 40%;全部电汇。</x:v>
      </x:c>
      <x:c r="G140" s="6" t="str"/>
      <x:c r="H140" s="6" t="str">
        <x:v>2026-06-25</x:v>
      </x:c>
      <x:c r="I140" s="13" t="d">
        <x:v>2026-06-25T00:00:00.000Z</x:v>
      </x:c>
      <x:c r="J140" s="6" t="str">
        <x:v>O006</x:v>
      </x:c>
      <x:c r="K140" s="6" t="str">
        <x:v>原文明确</x:v>
      </x:c>
      <x:c r="L140" s="6" t="str"/>
      <x:c r="M140" s="6" t="str"/>
    </x:row>
    <x:row r="141" ht="34" customHeight="1">
      <x:c r="A141" s="6" t="str">
        <x:v>R0182</x:v>
      </x:c>
      <x:c r="B141" s="6" t="str">
        <x:v>深圳市比亚迪锂电池有限公司</x:v>
      </x:c>
      <x:c r="C141" s="6" t="str">
        <x:v>公告比亚迪命名主体；股权关系未核</x:v>
      </x:c>
      <x:c r="D141" s="6" t="str">
        <x:v>交易条款</x:v>
      </x:c>
      <x:c r="E141" s="6" t="str">
        <x:v>交货期限</x:v>
      </x:c>
      <x:c r="F141" s="6" t="str">
        <x:v>交货期:签订合同后300天内交货。</x:v>
      </x:c>
      <x:c r="G141" s="6" t="str"/>
      <x:c r="H141" s="6" t="str">
        <x:v>2026-07-07</x:v>
      </x:c>
      <x:c r="I141" s="13" t="d">
        <x:v>2026-07-07T00:00:00.000Z</x:v>
      </x:c>
      <x:c r="J141" s="6" t="str">
        <x:v>O010</x:v>
      </x:c>
      <x:c r="K141" s="6" t="str">
        <x:v>原文明确</x:v>
      </x:c>
      <x:c r="L141" s="6" t="str"/>
      <x:c r="M141" s="6" t="str"/>
    </x:row>
    <x:row r="142" ht="34" customHeight="1">
      <x:c r="A142" s="6" t="str">
        <x:v>R0098</x:v>
      </x:c>
      <x:c r="B142" s="6" t="str">
        <x:v>深圳市比亚迪锂电池有限公司</x:v>
      </x:c>
      <x:c r="C142" s="6" t="str">
        <x:v>公告比亚迪命名主体；股权关系未核</x:v>
      </x:c>
      <x:c r="D142" s="6" t="str">
        <x:v>交易条款</x:v>
      </x:c>
      <x:c r="E142" s="6" t="str">
        <x:v>交货期限</x:v>
      </x:c>
      <x:c r="F142" s="6" t="str">
        <x:v>2.5 交货期限:签订合同后 180 天内交货。</x:v>
      </x:c>
      <x:c r="G142" s="6" t="str"/>
      <x:c r="H142" s="6" t="str">
        <x:v>2026-07-14</x:v>
      </x:c>
      <x:c r="I142" s="13" t="d">
        <x:v>2026-07-14T00:00:00.000Z</x:v>
      </x:c>
      <x:c r="J142" s="6" t="str">
        <x:v>O002</x:v>
      </x:c>
      <x:c r="K142" s="6" t="str">
        <x:v>原文明确</x:v>
      </x:c>
      <x:c r="L142" s="6" t="str"/>
      <x:c r="M142" s="6" t="str"/>
    </x:row>
    <x:row r="143" ht="40" customHeight="1">
      <x:c r="A143" s="6" t="str">
        <x:v>R0097</x:v>
      </x:c>
      <x:c r="B143" s="6" t="str">
        <x:v>深圳市比亚迪锂电池有限公司</x:v>
      </x:c>
      <x:c r="C143" s="6" t="str">
        <x:v>公告比亚迪命名主体；股权关系未核</x:v>
      </x:c>
      <x:c r="D143" s="6" t="str">
        <x:v>交易条款</x:v>
      </x:c>
      <x:c r="E143" s="6" t="str">
        <x:v>付款条件</x:v>
      </x:c>
      <x:c r="F143" s="6" t="str">
        <x:v>付款条件:项目不含税预算金额500 万元。付款条件: 货到凭票付 60%,验收合格凭票付 40%,全部电汇。</x:v>
      </x:c>
      <x:c r="G143" s="6" t="str"/>
      <x:c r="H143" s="6" t="str">
        <x:v>2026-07-14</x:v>
      </x:c>
      <x:c r="I143" s="13" t="d">
        <x:v>2026-07-14T00:00:00.000Z</x:v>
      </x:c>
      <x:c r="J143" s="6" t="str">
        <x:v>O002</x:v>
      </x:c>
      <x:c r="K143" s="6" t="str">
        <x:v>原文明确</x:v>
      </x:c>
      <x:c r="L143" s="6" t="str"/>
      <x:c r="M143" s="6" t="str"/>
    </x:row>
    <x:row r="144" ht="34" customHeight="1">
      <x:c r="A144" s="6" t="str">
        <x:v>R0128</x:v>
      </x:c>
      <x:c r="B144" s="6" t="str">
        <x:v>深圳市比亚迪锂电池有限公司</x:v>
      </x:c>
      <x:c r="C144" s="6" t="str">
        <x:v>公告比亚迪命名主体；股权关系未核</x:v>
      </x:c>
      <x:c r="D144" s="6" t="str">
        <x:v>交易条款</x:v>
      </x:c>
      <x:c r="E144" s="6" t="str">
        <x:v>交货期限</x:v>
      </x:c>
      <x:c r="F144" s="6" t="str">
        <x:v>2.5交货期限:签订合同后 60天内交货。</x:v>
      </x:c>
      <x:c r="G144" s="6" t="str"/>
      <x:c r="H144" s="6" t="str">
        <x:v>2026-08-28</x:v>
      </x:c>
      <x:c r="I144" s="13" t="d">
        <x:v>2026-08-28T00:00:00.000Z</x:v>
      </x:c>
      <x:c r="J144" s="6" t="str">
        <x:v>O004</x:v>
      </x:c>
      <x:c r="K144" s="6" t="str">
        <x:v>原文明确</x:v>
      </x:c>
      <x:c r="L144" s="6" t="str"/>
      <x:c r="M144" s="6" t="str"/>
    </x:row>
    <x:row r="145" ht="56" customHeight="1">
      <x:c r="A145" s="6" t="str">
        <x:v>R0127</x:v>
      </x:c>
      <x:c r="B145" s="6" t="str">
        <x:v>深圳市比亚迪锂电池有限公司</x:v>
      </x:c>
      <x:c r="C145" s="6" t="str">
        <x:v>公告比亚迪命名主体；股权关系未核</x:v>
      </x:c>
      <x:c r="D145" s="6" t="str">
        <x:v>交易条款</x:v>
      </x:c>
      <x:c r="E145" s="6" t="str">
        <x:v>付款条件</x:v>
      </x:c>
      <x:c r="F145" s="6" t="str">
        <x:v>付款条件:项目不含税预算金额137万元。付款方式:预付30%,到货凭票付30%,验收合格后凭票付30%,质保一年付10%;全部6个月商票。</x:v>
      </x:c>
      <x:c r="G145" s="6" t="str"/>
      <x:c r="H145" s="6" t="str">
        <x:v>2026-08-28</x:v>
      </x:c>
      <x:c r="I145" s="13" t="d">
        <x:v>2026-08-28T00:00:00.000Z</x:v>
      </x:c>
      <x:c r="J145" s="6" t="str">
        <x:v>O004</x:v>
      </x:c>
      <x:c r="K145" s="6" t="str">
        <x:v>原文明确</x:v>
      </x:c>
      <x:c r="L145" s="6" t="str"/>
      <x:c r="M145" s="6" t="str"/>
    </x:row>
    <x:row r="146" ht="40" customHeight="1">
      <x:c r="A146" s="6" t="str">
        <x:v>R0210</x:v>
      </x:c>
      <x:c r="B146" s="6" t="str">
        <x:v>深圳市比亚迪锂电池有限公司</x:v>
      </x:c>
      <x:c r="C146" s="6" t="str">
        <x:v>公告比亚迪命名主体；股权关系未核</x:v>
      </x:c>
      <x:c r="D146" s="6" t="str">
        <x:v>交易条款</x:v>
      </x:c>
      <x:c r="E146" s="6" t="str">
        <x:v>质保与原厂服务</x:v>
      </x:c>
      <x:c r="F146" s="6" t="str">
        <x:v>3年原厂整机质保带硬盘保留,3年原厂免费上门服务(提供原厂项目授权函以及原厂服务承诺函)</x:v>
      </x:c>
      <x:c r="G146" s="6" t="str"/>
      <x:c r="H146" s="6" t="str">
        <x:v>2026-08-28</x:v>
      </x:c>
      <x:c r="I146" s="13" t="d">
        <x:v>2026-08-28T00:00:00.000Z</x:v>
      </x:c>
      <x:c r="J146" s="6" t="str">
        <x:v>O004</x:v>
      </x:c>
      <x:c r="K146" s="6" t="str">
        <x:v>原文明确</x:v>
      </x:c>
      <x:c r="L146" s="6" t="str"/>
      <x:c r="M146" s="6" t="str">
        <x:v>原始采购公告技术要求，不代表供应商已成交履约</x:v>
      </x:c>
    </x:row>
    <x:row r="147" ht="40" customHeight="1">
      <x:c r="A147" s="6" t="str">
        <x:v>R0211</x:v>
      </x:c>
      <x:c r="B147" s="6" t="str">
        <x:v>深圳市比亚迪锂电池有限公司</x:v>
      </x:c>
      <x:c r="C147" s="6" t="str">
        <x:v>公告比亚迪命名主体；股权关系未核</x:v>
      </x:c>
      <x:c r="D147" s="6" t="str">
        <x:v>交易条款</x:v>
      </x:c>
      <x:c r="E147" s="6" t="str">
        <x:v>验收与退货条件</x:v>
      </x:c>
      <x:c r="F147" s="6" t="str">
        <x:v>稳定运行3个月无故障通过验收。有故障供应商无法解决,招标人有权要求退货。</x:v>
      </x:c>
      <x:c r="G147" s="6" t="str"/>
      <x:c r="H147" s="6" t="str">
        <x:v>2026-08-28</x:v>
      </x:c>
      <x:c r="I147" s="13" t="d">
        <x:v>2026-08-28T00:00:00.000Z</x:v>
      </x:c>
      <x:c r="J147" s="6" t="str">
        <x:v>O004</x:v>
      </x:c>
      <x:c r="K147" s="6" t="str">
        <x:v>原文明确</x:v>
      </x:c>
      <x:c r="L147" s="6" t="str"/>
      <x:c r="M147" s="6" t="str">
        <x:v>原始采购公告技术要求，不代表供应商已成交履约</x:v>
      </x:c>
    </x:row>
    <x:row r="148" ht="34" customHeight="1">
      <x:c r="A148" s="6" t="str">
        <x:v>R0193</x:v>
      </x:c>
      <x:c r="B148" s="6" t="str">
        <x:v>深圳市比亚迪锂电池有限公司</x:v>
      </x:c>
      <x:c r="C148" s="6" t="str">
        <x:v>公告比亚迪命名主体；股权关系未核</x:v>
      </x:c>
      <x:c r="D148" s="6" t="str">
        <x:v>候选供应商</x:v>
      </x:c>
      <x:c r="E148" s="6" t="str">
        <x:v>公示候选人</x:v>
      </x:c>
      <x:c r="F148" s="6" t="str">
        <x:v>上海同星智能科技有限公司</x:v>
      </x:c>
      <x:c r="G148" s="6" t="str"/>
      <x:c r="H148" s="6" t="str">
        <x:v>2026-06-03</x:v>
      </x:c>
      <x:c r="I148" s="13" t="d">
        <x:v>2026-06-03T00:00:00.000Z</x:v>
      </x:c>
      <x:c r="J148" s="6" t="str">
        <x:v>O013</x:v>
      </x:c>
      <x:c r="K148" s="6" t="str">
        <x:v>原文明确</x:v>
      </x:c>
      <x:c r="L148" s="6" t="str"/>
      <x:c r="M148" s="6" t="str">
        <x:v>候选不等于中标/成交</x:v>
      </x:c>
    </x:row>
    <x:row r="149" ht="34" customHeight="1">
      <x:c r="A149" s="6" t="str">
        <x:v>R0181</x:v>
      </x:c>
      <x:c r="B149" s="6" t="str">
        <x:v>深圳市比亚迪锂电池有限公司</x:v>
      </x:c>
      <x:c r="C149" s="6" t="str">
        <x:v>公告比亚迪命名主体；股权关系未核</x:v>
      </x:c>
      <x:c r="D149" s="6" t="str">
        <x:v>候选供应商</x:v>
      </x:c>
      <x:c r="E149" s="6" t="str">
        <x:v>公示候选人</x:v>
      </x:c>
      <x:c r="F149" s="6" t="str">
        <x:v>广东省中科进出口有限公司</x:v>
      </x:c>
      <x:c r="G149" s="6" t="str"/>
      <x:c r="H149" s="6" t="str">
        <x:v>2026-07-07</x:v>
      </x:c>
      <x:c r="I149" s="13" t="d">
        <x:v>2026-07-07T00:00:00.000Z</x:v>
      </x:c>
      <x:c r="J149" s="6" t="str">
        <x:v>O010</x:v>
      </x:c>
      <x:c r="K149" s="6" t="str">
        <x:v>原文明确</x:v>
      </x:c>
      <x:c r="L149" s="6" t="str"/>
      <x:c r="M149" s="6" t="str">
        <x:v>候选不等于中标/成交</x:v>
      </x:c>
    </x:row>
    <x:row r="150" ht="104" customHeight="1">
      <x:c r="A150" s="6" t="str">
        <x:v>R0205</x:v>
      </x:c>
      <x:c r="B150" s="6" t="str">
        <x:v>深圳市比亚迪锂电池有限公司</x:v>
      </x:c>
      <x:c r="C150" s="6" t="str">
        <x:v>公告比亚迪命名主体；股权关系未核</x:v>
      </x:c>
      <x:c r="D150" s="6" t="str">
        <x:v>准入</x:v>
      </x:c>
      <x:c r="E150" s="6" t="str">
        <x:v>供应商资格</x:v>
      </x:c>
      <x:c r="F150" s="6" t="str">
        <x:v>3.2 投标人必须是软包三电极电池检测柜设备的制造商或合法代理商。投标人是制造商的,须出具制造商声明函;投标人为代理商的,须提供代理商资格声明函及制造商(分公司、办事处授权无效)对本次投标项目出具的唯一、合法且有效的授权书。若同一制造商在本项目中授权两家或以上代理商参与投标,代理商均按无效标处理;制造商与其合法代理商同时参加本次投标,代理商按无效标处理。(按要求提供有效证明材料)。</x:v>
      </x:c>
      <x:c r="G150" s="6" t="str"/>
      <x:c r="H150" s="6" t="str">
        <x:v>2026-05-13</x:v>
      </x:c>
      <x:c r="I150" s="13" t="d">
        <x:v>2026-05-13T00:00:00.000Z</x:v>
      </x:c>
      <x:c r="J150" s="6" t="str">
        <x:v>O014</x:v>
      </x:c>
      <x:c r="K150" s="6" t="str">
        <x:v>原文明确</x:v>
      </x:c>
      <x:c r="L150" s="6" t="str"/>
      <x:c r="M150" s="6" t="str"/>
    </x:row>
    <x:row r="151" ht="72" customHeight="1">
      <x:c r="A151" s="6" t="str">
        <x:v>R0206</x:v>
      </x:c>
      <x:c r="B151" s="6" t="str">
        <x:v>深圳市比亚迪锂电池有限公司</x:v>
      </x:c>
      <x:c r="C151" s="6" t="str">
        <x:v>公告比亚迪命名主体；股权关系未核</x:v>
      </x:c>
      <x:c r="D151" s="6" t="str">
        <x:v>准入</x:v>
      </x:c>
      <x:c r="E151" s="6" t="str">
        <x:v>招标文件费用</x:v>
      </x:c>
      <x:c r="F151" s="6" t="str">
        <x:v>5.3 招标文件费用:每套售价500.00元人民币,售后不退。如需要获取纸质招标文件,请凭借购买记录前往深圳市福田区新闻路2号英龙商务中心33楼33E现场领取,或电话联系文件售卖人员进行邮寄,邮寄费用由投标人承担。</x:v>
      </x:c>
      <x:c r="G151" s="6" t="str"/>
      <x:c r="H151" s="6" t="str">
        <x:v>2026-05-13</x:v>
      </x:c>
      <x:c r="I151" s="13" t="d">
        <x:v>2026-05-13T00:00:00.000Z</x:v>
      </x:c>
      <x:c r="J151" s="6" t="str">
        <x:v>O014</x:v>
      </x:c>
      <x:c r="K151" s="6" t="str">
        <x:v>原文明确</x:v>
      </x:c>
      <x:c r="L151" s="6" t="str"/>
      <x:c r="M151" s="6" t="str"/>
    </x:row>
    <x:row r="152" ht="104" customHeight="1">
      <x:c r="A152" s="6" t="str">
        <x:v>R0114</x:v>
      </x:c>
      <x:c r="B152" s="6" t="str">
        <x:v>深圳市比亚迪锂电池有限公司</x:v>
      </x:c>
      <x:c r="C152" s="6" t="str">
        <x:v>公告比亚迪命名主体；股权关系未核</x:v>
      </x:c>
      <x:c r="D152" s="6" t="str">
        <x:v>准入</x:v>
      </x:c>
      <x:c r="E152" s="6" t="str">
        <x:v>供应商资格</x:v>
      </x:c>
      <x:c r="F152" s="6" t="str">
        <x:v>3.2投标人必须是硬X射线XPS设备的制造商或合法代理商。投标人是制造商的,须出具制造商声明函;投标人为代理商的,须提供代理商资格声明函及制造商(分公司、办事处授权无效)对本次投标项目出具的唯一、合法且有效的授权书。若同一制造商在本项目中授权两家或以上代理商参与投标,代理商均按无效标处理;制造商与其合法代理商同时参加本次投标,代理商按无效标处理。(按要求提供有效证明材料)。</x:v>
      </x:c>
      <x:c r="G152" s="6" t="str"/>
      <x:c r="H152" s="6" t="str">
        <x:v>2026-06-17</x:v>
      </x:c>
      <x:c r="I152" s="13" t="d">
        <x:v>2026-06-17T00:00:00.000Z</x:v>
      </x:c>
      <x:c r="J152" s="6" t="str">
        <x:v>O003</x:v>
      </x:c>
      <x:c r="K152" s="6" t="str">
        <x:v>原文明确</x:v>
      </x:c>
      <x:c r="L152" s="6" t="str"/>
      <x:c r="M152" s="6" t="str"/>
    </x:row>
    <x:row r="153" ht="34" customHeight="1">
      <x:c r="A153" s="6" t="str">
        <x:v>R0116</x:v>
      </x:c>
      <x:c r="B153" s="6" t="str">
        <x:v>深圳市比亚迪锂电池有限公司</x:v>
      </x:c>
      <x:c r="C153" s="6" t="str">
        <x:v>公告比亚迪命名主体；股权关系未核</x:v>
      </x:c>
      <x:c r="D153" s="6" t="str">
        <x:v>准入</x:v>
      </x:c>
      <x:c r="E153" s="6" t="str">
        <x:v>平台服务费</x:v>
      </x:c>
      <x:c r="F153" s="6" t="str">
        <x:v>5.4 平台服务费 500元/标包,平台服务费售后不退。</x:v>
      </x:c>
      <x:c r="G153" s="6" t="str"/>
      <x:c r="H153" s="6" t="str">
        <x:v>2026-06-17</x:v>
      </x:c>
      <x:c r="I153" s="13" t="d">
        <x:v>2026-06-17T00:00:00.000Z</x:v>
      </x:c>
      <x:c r="J153" s="6" t="str">
        <x:v>O003</x:v>
      </x:c>
      <x:c r="K153" s="6" t="str">
        <x:v>原文明确</x:v>
      </x:c>
      <x:c r="L153" s="6" t="str"/>
      <x:c r="M153" s="6" t="str"/>
    </x:row>
    <x:row r="154" ht="34" customHeight="1">
      <x:c r="A154" s="6" t="str">
        <x:v>R0115</x:v>
      </x:c>
      <x:c r="B154" s="6" t="str">
        <x:v>深圳市比亚迪锂电池有限公司</x:v>
      </x:c>
      <x:c r="C154" s="6" t="str">
        <x:v>公告比亚迪命名主体；股权关系未核</x:v>
      </x:c>
      <x:c r="D154" s="6" t="str">
        <x:v>准入</x:v>
      </x:c>
      <x:c r="E154" s="6" t="str">
        <x:v>招标文件费用</x:v>
      </x:c>
      <x:c r="F154" s="6" t="str">
        <x:v>5.3 招标文件每套售价0元,售后不退,投标资格不得转让。</x:v>
      </x:c>
      <x:c r="G154" s="6" t="str"/>
      <x:c r="H154" s="6" t="str">
        <x:v>2026-06-17</x:v>
      </x:c>
      <x:c r="I154" s="13" t="d">
        <x:v>2026-06-17T00:00:00.000Z</x:v>
      </x:c>
      <x:c r="J154" s="6" t="str">
        <x:v>O003</x:v>
      </x:c>
      <x:c r="K154" s="6" t="str">
        <x:v>原文明确</x:v>
      </x:c>
      <x:c r="L154" s="6" t="str"/>
      <x:c r="M154" s="6" t="str"/>
    </x:row>
    <x:row r="155" ht="104" customHeight="1">
      <x:c r="A155" s="6" t="str">
        <x:v>R0151</x:v>
      </x:c>
      <x:c r="B155" s="6" t="str">
        <x:v>深圳市比亚迪锂电池有限公司</x:v>
      </x:c>
      <x:c r="C155" s="6" t="str">
        <x:v>公告比亚迪命名主体；股权关系未核</x:v>
      </x:c>
      <x:c r="D155" s="6" t="str">
        <x:v>准入</x:v>
      </x:c>
      <x:c r="E155" s="6" t="str">
        <x:v>供应商资格</x:v>
      </x:c>
      <x:c r="F155" s="6" t="str">
        <x:v>3.2 投标人必须是场发射扫描电子显微镜设备的制造商或合法代理商。 投标人是制造商的,须出具制造商声明函;投标人为代理商的,须提供代理 商资格声明函及制造商(分公司、办事处授权无效)对本次投标项目出具的唯 一、合法且有效的授权书。若同一制造商在本项目中授权两家或以上代理商 参与投标,代理商均按无效标处理;制造商与其合法代理商同时参加本次投 标,代理商按无效标处理。(按要求提供有效证明材料)。</x:v>
      </x:c>
      <x:c r="G155" s="6" t="str"/>
      <x:c r="H155" s="6" t="str">
        <x:v>2026-06-25</x:v>
      </x:c>
      <x:c r="I155" s="13" t="d">
        <x:v>2026-06-25T00:00:00.000Z</x:v>
      </x:c>
      <x:c r="J155" s="6" t="str">
        <x:v>O006</x:v>
      </x:c>
      <x:c r="K155" s="6" t="str">
        <x:v>原文明确</x:v>
      </x:c>
      <x:c r="L155" s="6" t="str"/>
      <x:c r="M155" s="6" t="str"/>
    </x:row>
    <x:row r="156" ht="34" customHeight="1">
      <x:c r="A156" s="6" t="str">
        <x:v>R0153</x:v>
      </x:c>
      <x:c r="B156" s="6" t="str">
        <x:v>深圳市比亚迪锂电池有限公司</x:v>
      </x:c>
      <x:c r="C156" s="6" t="str">
        <x:v>公告比亚迪命名主体；股权关系未核</x:v>
      </x:c>
      <x:c r="D156" s="6" t="str">
        <x:v>准入</x:v>
      </x:c>
      <x:c r="E156" s="6" t="str">
        <x:v>平台服务费</x:v>
      </x:c>
      <x:c r="F156" s="6" t="str">
        <x:v>5.4 平台服务费 500 元/标包,平台服务费售后不退。</x:v>
      </x:c>
      <x:c r="G156" s="6" t="str"/>
      <x:c r="H156" s="6" t="str">
        <x:v>2026-06-25</x:v>
      </x:c>
      <x:c r="I156" s="13" t="d">
        <x:v>2026-06-25T00:00:00.000Z</x:v>
      </x:c>
      <x:c r="J156" s="6" t="str">
        <x:v>O006</x:v>
      </x:c>
      <x:c r="K156" s="6" t="str">
        <x:v>原文明确</x:v>
      </x:c>
      <x:c r="L156" s="6" t="str"/>
      <x:c r="M156" s="6" t="str"/>
    </x:row>
    <x:row r="157" ht="34" customHeight="1">
      <x:c r="A157" s="6" t="str">
        <x:v>R0152</x:v>
      </x:c>
      <x:c r="B157" s="6" t="str">
        <x:v>深圳市比亚迪锂电池有限公司</x:v>
      </x:c>
      <x:c r="C157" s="6" t="str">
        <x:v>公告比亚迪命名主体；股权关系未核</x:v>
      </x:c>
      <x:c r="D157" s="6" t="str">
        <x:v>准入</x:v>
      </x:c>
      <x:c r="E157" s="6" t="str">
        <x:v>招标文件费用</x:v>
      </x:c>
      <x:c r="F157" s="6" t="str">
        <x:v>5.3 招标文件每套售价 0 元,售后不退,投标资格不得转让。</x:v>
      </x:c>
      <x:c r="G157" s="6" t="str"/>
      <x:c r="H157" s="6" t="str">
        <x:v>2026-06-25</x:v>
      </x:c>
      <x:c r="I157" s="13" t="d">
        <x:v>2026-06-25T00:00:00.000Z</x:v>
      </x:c>
      <x:c r="J157" s="6" t="str">
        <x:v>O006</x:v>
      </x:c>
      <x:c r="K157" s="6" t="str">
        <x:v>原文明确</x:v>
      </x:c>
      <x:c r="L157" s="6" t="str"/>
      <x:c r="M157" s="6" t="str"/>
    </x:row>
    <x:row r="158" ht="104" customHeight="1">
      <x:c r="A158" s="6" t="str">
        <x:v>R0099</x:v>
      </x:c>
      <x:c r="B158" s="6" t="str">
        <x:v>深圳市比亚迪锂电池有限公司</x:v>
      </x:c>
      <x:c r="C158" s="6" t="str">
        <x:v>公告比亚迪命名主体；股权关系未核</x:v>
      </x:c>
      <x:c r="D158" s="6" t="str">
        <x:v>准入</x:v>
      </x:c>
      <x:c r="E158" s="6" t="str">
        <x:v>供应商资格</x:v>
      </x:c>
      <x:c r="F158" s="6" t="str">
        <x:v>3.2 投标人必须是温等静压机设备的制造商或合法代理商。投标人是制 造商的,须出具制造商声明函;投标人为代理商的,须提供代理商资格声明 函及制造商(分公司、办事处授权无效)对本次投标项目出具的唯一、合法且 有效的授权书。若同一制造商在本项目中授权两家或以上代理商参与投标, 代理商均按无效标处理;制造商与其合法代理商同时参加本次投标,代理商 按无效标处理。(按要求提供有效证明材料)。</x:v>
      </x:c>
      <x:c r="G158" s="6" t="str"/>
      <x:c r="H158" s="6" t="str">
        <x:v>2026-07-14</x:v>
      </x:c>
      <x:c r="I158" s="13" t="d">
        <x:v>2026-07-14T00:00:00.000Z</x:v>
      </x:c>
      <x:c r="J158" s="6" t="str">
        <x:v>O002</x:v>
      </x:c>
      <x:c r="K158" s="6" t="str">
        <x:v>原文明确</x:v>
      </x:c>
      <x:c r="L158" s="6" t="str"/>
      <x:c r="M158" s="6" t="str"/>
    </x:row>
    <x:row r="159" ht="34" customHeight="1">
      <x:c r="A159" s="6" t="str">
        <x:v>R0101</x:v>
      </x:c>
      <x:c r="B159" s="6" t="str">
        <x:v>深圳市比亚迪锂电池有限公司</x:v>
      </x:c>
      <x:c r="C159" s="6" t="str">
        <x:v>公告比亚迪命名主体；股权关系未核</x:v>
      </x:c>
      <x:c r="D159" s="6" t="str">
        <x:v>准入</x:v>
      </x:c>
      <x:c r="E159" s="6" t="str">
        <x:v>平台服务费</x:v>
      </x:c>
      <x:c r="F159" s="6" t="str">
        <x:v>5.4 平台服务费 500 元/标包,平台服务费售后不退。</x:v>
      </x:c>
      <x:c r="G159" s="6" t="str"/>
      <x:c r="H159" s="6" t="str">
        <x:v>2026-07-14</x:v>
      </x:c>
      <x:c r="I159" s="13" t="d">
        <x:v>2026-07-14T00:00:00.000Z</x:v>
      </x:c>
      <x:c r="J159" s="6" t="str">
        <x:v>O002</x:v>
      </x:c>
      <x:c r="K159" s="6" t="str">
        <x:v>原文明确</x:v>
      </x:c>
      <x:c r="L159" s="6" t="str"/>
      <x:c r="M159" s="6" t="str"/>
    </x:row>
    <x:row r="160" ht="34" customHeight="1">
      <x:c r="A160" s="6" t="str">
        <x:v>R0100</x:v>
      </x:c>
      <x:c r="B160" s="6" t="str">
        <x:v>深圳市比亚迪锂电池有限公司</x:v>
      </x:c>
      <x:c r="C160" s="6" t="str">
        <x:v>公告比亚迪命名主体；股权关系未核</x:v>
      </x:c>
      <x:c r="D160" s="6" t="str">
        <x:v>准入</x:v>
      </x:c>
      <x:c r="E160" s="6" t="str">
        <x:v>招标文件费用</x:v>
      </x:c>
      <x:c r="F160" s="6" t="str">
        <x:v>5.3 招标文件每套售价 0 元,售后不退,投标资格不得转让。</x:v>
      </x:c>
      <x:c r="G160" s="6" t="str"/>
      <x:c r="H160" s="6" t="str">
        <x:v>2026-07-14</x:v>
      </x:c>
      <x:c r="I160" s="13" t="d">
        <x:v>2026-07-14T00:00:00.000Z</x:v>
      </x:c>
      <x:c r="J160" s="6" t="str">
        <x:v>O002</x:v>
      </x:c>
      <x:c r="K160" s="6" t="str">
        <x:v>原文明确</x:v>
      </x:c>
      <x:c r="L160" s="6" t="str"/>
      <x:c r="M160" s="6" t="str"/>
    </x:row>
    <x:row r="161" ht="104" customHeight="1">
      <x:c r="A161" s="6" t="str">
        <x:v>R0129</x:v>
      </x:c>
      <x:c r="B161" s="6" t="str">
        <x:v>深圳市比亚迪锂电池有限公司</x:v>
      </x:c>
      <x:c r="C161" s="6" t="str">
        <x:v>公告比亚迪命名主体；股权关系未核</x:v>
      </x:c>
      <x:c r="D161" s="6" t="str">
        <x:v>准入</x:v>
      </x:c>
      <x:c r="E161" s="6" t="str">
        <x:v>供应商资格</x:v>
      </x:c>
      <x:c r="F161" s="6" t="str">
        <x:v>3.2投标人必须是服务器的制造商或合法代理商。投标人是制造商的,须出具制造商声明函;投标人为代理商的,须提供代理商资格声明函及制造商(分公司、办事处授权无效)对本次投标项目出具的唯一、合法且有效的授权书。若同一制造商在本项目中授权两家或以上代理商参与投标,代理商均按无效标处理;制造商与其合法代理商同时参加本次投标,代理商按无效标处理。(按要求提供有效证明材料)。</x:v>
      </x:c>
      <x:c r="G161" s="6" t="str"/>
      <x:c r="H161" s="6" t="str">
        <x:v>2026-08-28</x:v>
      </x:c>
      <x:c r="I161" s="13" t="d">
        <x:v>2026-08-28T00:00:00.000Z</x:v>
      </x:c>
      <x:c r="J161" s="6" t="str">
        <x:v>O004</x:v>
      </x:c>
      <x:c r="K161" s="6" t="str">
        <x:v>原文明确</x:v>
      </x:c>
      <x:c r="L161" s="6" t="str"/>
      <x:c r="M161" s="6" t="str">
        <x:v>正则误把处理器3.2GHz起点当资格条款3.2，混入GPU等技术参数、预算和付款；应定位投标人资格要求章节。</x:v>
      </x:c>
    </x:row>
    <x:row r="162" ht="34" customHeight="1">
      <x:c r="A162" s="6" t="str">
        <x:v>R0131</x:v>
      </x:c>
      <x:c r="B162" s="6" t="str">
        <x:v>深圳市比亚迪锂电池有限公司</x:v>
      </x:c>
      <x:c r="C162" s="6" t="str">
        <x:v>公告比亚迪命名主体；股权关系未核</x:v>
      </x:c>
      <x:c r="D162" s="6" t="str">
        <x:v>准入</x:v>
      </x:c>
      <x:c r="E162" s="6" t="str">
        <x:v>平台服务费</x:v>
      </x:c>
      <x:c r="F162" s="6" t="str">
        <x:v>5.4 平台服务费 500元/标包,平台服务费售后不退。</x:v>
      </x:c>
      <x:c r="G162" s="6" t="str"/>
      <x:c r="H162" s="6" t="str">
        <x:v>2026-08-28</x:v>
      </x:c>
      <x:c r="I162" s="13" t="d">
        <x:v>2026-08-28T00:00:00.000Z</x:v>
      </x:c>
      <x:c r="J162" s="6" t="str">
        <x:v>O004</x:v>
      </x:c>
      <x:c r="K162" s="6" t="str">
        <x:v>原文明确</x:v>
      </x:c>
      <x:c r="L162" s="6" t="str"/>
      <x:c r="M162" s="6" t="str"/>
    </x:row>
    <x:row r="163" ht="34" customHeight="1">
      <x:c r="A163" s="6" t="str">
        <x:v>R0130</x:v>
      </x:c>
      <x:c r="B163" s="6" t="str">
        <x:v>深圳市比亚迪锂电池有限公司</x:v>
      </x:c>
      <x:c r="C163" s="6" t="str">
        <x:v>公告比亚迪命名主体；股权关系未核</x:v>
      </x:c>
      <x:c r="D163" s="6" t="str">
        <x:v>准入</x:v>
      </x:c>
      <x:c r="E163" s="6" t="str">
        <x:v>招标文件费用</x:v>
      </x:c>
      <x:c r="F163" s="6" t="str">
        <x:v>5.3 招标文件每套售价0元,售后不退,投标资格不得转让。</x:v>
      </x:c>
      <x:c r="G163" s="6" t="str"/>
      <x:c r="H163" s="6" t="str">
        <x:v>2026-08-28</x:v>
      </x:c>
      <x:c r="I163" s="13" t="d">
        <x:v>2026-08-28T00:00:00.000Z</x:v>
      </x:c>
      <x:c r="J163" s="6" t="str">
        <x:v>O004</x:v>
      </x:c>
      <x:c r="K163" s="6" t="str">
        <x:v>原文明确</x:v>
      </x:c>
      <x:c r="L163" s="6" t="str"/>
      <x:c r="M163" s="6" t="str"/>
    </x:row>
    <x:row r="164" ht="34" customHeight="1">
      <x:c r="A164" s="6" t="str">
        <x:v>R0197</x:v>
      </x:c>
      <x:c r="B164" s="6" t="str">
        <x:v>深圳市比亚迪锂电池有限公司</x:v>
      </x:c>
      <x:c r="C164" s="6" t="str">
        <x:v>公告比亚迪命名主体；股权关系未核</x:v>
      </x:c>
      <x:c r="D164" s="6" t="str">
        <x:v>地址</x:v>
      </x:c>
      <x:c r="E164" s="6" t="str">
        <x:v>公告采购方联系地址</x:v>
      </x:c>
      <x:c r="F164" s="6" t="str">
        <x:v>深圳市龙岗区宝龙街道宝龙比亚迪三期二栋</x:v>
      </x:c>
      <x:c r="G164" s="6" t="str"/>
      <x:c r="H164" s="6" t="str">
        <x:v>2026-05-13</x:v>
      </x:c>
      <x:c r="I164" s="13" t="d">
        <x:v>2026-05-13T00:00:00.000Z</x:v>
      </x:c>
      <x:c r="J164" s="6" t="str">
        <x:v>O014</x:v>
      </x:c>
      <x:c r="K164" s="6" t="str">
        <x:v>原文明确</x:v>
      </x:c>
      <x:c r="L164" s="6" t="str"/>
      <x:c r="M164" s="6" t="str">
        <x:v>公告项目联络地址，不当作工商注册地址</x:v>
      </x:c>
    </x:row>
    <x:row r="165" ht="34" customHeight="1">
      <x:c r="A165" s="6" t="str">
        <x:v>R0200</x:v>
      </x:c>
      <x:c r="B165" s="6" t="str">
        <x:v>深圳市比亚迪锂电池有限公司</x:v>
      </x:c>
      <x:c r="C165" s="6" t="str">
        <x:v>公告比亚迪命名主体；股权关系未核</x:v>
      </x:c>
      <x:c r="D165" s="6" t="str">
        <x:v>地址</x:v>
      </x:c>
      <x:c r="E165" s="6" t="str">
        <x:v>项目交货地点</x:v>
      </x:c>
      <x:c r="F165" s="6" t="str">
        <x:v>深圳市龙岗区</x:v>
      </x:c>
      <x:c r="G165" s="6" t="str"/>
      <x:c r="H165" s="6" t="str">
        <x:v>2026-05-13</x:v>
      </x:c>
      <x:c r="I165" s="13" t="d">
        <x:v>2026-05-13T00:00:00.000Z</x:v>
      </x:c>
      <x:c r="J165" s="6" t="str">
        <x:v>O014</x:v>
      </x:c>
      <x:c r="K165" s="6" t="str">
        <x:v>原文明确</x:v>
      </x:c>
      <x:c r="L165" s="6" t="str"/>
      <x:c r="M165" s="6" t="str"/>
    </x:row>
    <x:row r="166" ht="34" customHeight="1">
      <x:c r="A166" s="6" t="str">
        <x:v>R0106</x:v>
      </x:c>
      <x:c r="B166" s="6" t="str">
        <x:v>深圳市比亚迪锂电池有限公司</x:v>
      </x:c>
      <x:c r="C166" s="6" t="str">
        <x:v>公告比亚迪命名主体；股权关系未核</x:v>
      </x:c>
      <x:c r="D166" s="6" t="str">
        <x:v>地址</x:v>
      </x:c>
      <x:c r="E166" s="6" t="str">
        <x:v>公告采购方联系地址</x:v>
      </x:c>
      <x:c r="F166" s="6" t="str">
        <x:v>深圳市龙岗区宝龙街道宝龙比亚迪三期四栋</x:v>
      </x:c>
      <x:c r="G166" s="6" t="str"/>
      <x:c r="H166" s="6" t="str">
        <x:v>2026-06-17</x:v>
      </x:c>
      <x:c r="I166" s="13" t="d">
        <x:v>2026-06-17T00:00:00.000Z</x:v>
      </x:c>
      <x:c r="J166" s="6" t="str">
        <x:v>O003</x:v>
      </x:c>
      <x:c r="K166" s="6" t="str">
        <x:v>原文明确</x:v>
      </x:c>
      <x:c r="L166" s="6" t="str"/>
      <x:c r="M166" s="6" t="str">
        <x:v>公告项目联络地址，不当作工商注册地址</x:v>
      </x:c>
    </x:row>
    <x:row r="167" ht="34" customHeight="1">
      <x:c r="A167" s="6" t="str">
        <x:v>R0109</x:v>
      </x:c>
      <x:c r="B167" s="6" t="str">
        <x:v>深圳市比亚迪锂电池有限公司</x:v>
      </x:c>
      <x:c r="C167" s="6" t="str">
        <x:v>公告比亚迪命名主体；股权关系未核</x:v>
      </x:c>
      <x:c r="D167" s="6" t="str">
        <x:v>地址</x:v>
      </x:c>
      <x:c r="E167" s="6" t="str">
        <x:v>项目交货地点</x:v>
      </x:c>
      <x:c r="F167" s="6" t="str">
        <x:v>深圳市龙岗区宝龙比亚迪</x:v>
      </x:c>
      <x:c r="G167" s="6" t="str"/>
      <x:c r="H167" s="6" t="str">
        <x:v>2026-06-17</x:v>
      </x:c>
      <x:c r="I167" s="13" t="d">
        <x:v>2026-06-17T00:00:00.000Z</x:v>
      </x:c>
      <x:c r="J167" s="6" t="str">
        <x:v>O003</x:v>
      </x:c>
      <x:c r="K167" s="6" t="str">
        <x:v>原文明确</x:v>
      </x:c>
      <x:c r="L167" s="6" t="str"/>
      <x:c r="M167" s="6" t="str"/>
    </x:row>
    <x:row r="168" ht="34" customHeight="1">
      <x:c r="A168" s="6" t="str">
        <x:v>R0143</x:v>
      </x:c>
      <x:c r="B168" s="6" t="str">
        <x:v>深圳市比亚迪锂电池有限公司</x:v>
      </x:c>
      <x:c r="C168" s="6" t="str">
        <x:v>公告比亚迪命名主体；股权关系未核</x:v>
      </x:c>
      <x:c r="D168" s="6" t="str">
        <x:v>地址</x:v>
      </x:c>
      <x:c r="E168" s="6" t="str">
        <x:v>公告采购方联系地址</x:v>
      </x:c>
      <x:c r="F168" s="6" t="str">
        <x:v>深圳市坪山区坑梓街道秀沙路 5 号坑梓比亚迪二期</x:v>
      </x:c>
      <x:c r="G168" s="6" t="str"/>
      <x:c r="H168" s="6" t="str">
        <x:v>2026-06-25</x:v>
      </x:c>
      <x:c r="I168" s="13" t="d">
        <x:v>2026-06-25T00:00:00.000Z</x:v>
      </x:c>
      <x:c r="J168" s="6" t="str">
        <x:v>O006</x:v>
      </x:c>
      <x:c r="K168" s="6" t="str">
        <x:v>原文明确</x:v>
      </x:c>
      <x:c r="L168" s="6" t="str"/>
      <x:c r="M168" s="6" t="str">
        <x:v>公告项目联络地址，不当作工商注册地址</x:v>
      </x:c>
    </x:row>
    <x:row r="169" ht="34" customHeight="1">
      <x:c r="A169" s="6" t="str">
        <x:v>R0146</x:v>
      </x:c>
      <x:c r="B169" s="6" t="str">
        <x:v>深圳市比亚迪锂电池有限公司</x:v>
      </x:c>
      <x:c r="C169" s="6" t="str">
        <x:v>公告比亚迪命名主体；股权关系未核</x:v>
      </x:c>
      <x:c r="D169" s="6" t="str">
        <x:v>地址</x:v>
      </x:c>
      <x:c r="E169" s="6" t="str">
        <x:v>项目交货地点</x:v>
      </x:c>
      <x:c r="F169" s="6" t="str">
        <x:v>深圳市</x:v>
      </x:c>
      <x:c r="G169" s="6" t="str"/>
      <x:c r="H169" s="6" t="str">
        <x:v>2026-06-25</x:v>
      </x:c>
      <x:c r="I169" s="13" t="d">
        <x:v>2026-06-25T00:00:00.000Z</x:v>
      </x:c>
      <x:c r="J169" s="6" t="str">
        <x:v>O006</x:v>
      </x:c>
      <x:c r="K169" s="6" t="str">
        <x:v>原文明确</x:v>
      </x:c>
      <x:c r="L169" s="6" t="str"/>
      <x:c r="M169" s="6" t="str"/>
    </x:row>
    <x:row r="170" ht="34" customHeight="1">
      <x:c r="A170" s="6" t="str">
        <x:v>R0094</x:v>
      </x:c>
      <x:c r="B170" s="6" t="str">
        <x:v>深圳市比亚迪锂电池有限公司</x:v>
      </x:c>
      <x:c r="C170" s="6" t="str">
        <x:v>公告比亚迪命名主体；股权关系未核</x:v>
      </x:c>
      <x:c r="D170" s="6" t="str">
        <x:v>地址</x:v>
      </x:c>
      <x:c r="E170" s="6" t="str">
        <x:v>项目交货地点</x:v>
      </x:c>
      <x:c r="F170" s="6" t="str">
        <x:v>深圳市龙岗区</x:v>
      </x:c>
      <x:c r="G170" s="6" t="str"/>
      <x:c r="H170" s="6" t="str">
        <x:v>2026-07-14</x:v>
      </x:c>
      <x:c r="I170" s="13" t="d">
        <x:v>2026-07-14T00:00:00.000Z</x:v>
      </x:c>
      <x:c r="J170" s="6" t="str">
        <x:v>O002</x:v>
      </x:c>
      <x:c r="K170" s="6" t="str">
        <x:v>原文明确</x:v>
      </x:c>
      <x:c r="L170" s="6" t="str"/>
      <x:c r="M170" s="6" t="str"/>
    </x:row>
    <x:row r="171" ht="34" customHeight="1">
      <x:c r="A171" s="6" t="str">
        <x:v>R0121</x:v>
      </x:c>
      <x:c r="B171" s="6" t="str">
        <x:v>深圳市比亚迪锂电池有限公司</x:v>
      </x:c>
      <x:c r="C171" s="6" t="str">
        <x:v>公告比亚迪命名主体；股权关系未核</x:v>
      </x:c>
      <x:c r="D171" s="6" t="str">
        <x:v>地址</x:v>
      </x:c>
      <x:c r="E171" s="6" t="str">
        <x:v>公告采购方联系地址</x:v>
      </x:c>
      <x:c r="F171" s="6" t="str">
        <x:v>深圳市龙岗区龙岗街道宝龙工业城宝荷路 3001 号</x:v>
      </x:c>
      <x:c r="G171" s="6" t="str"/>
      <x:c r="H171" s="6" t="str">
        <x:v>2026-08-28</x:v>
      </x:c>
      <x:c r="I171" s="13" t="d">
        <x:v>2026-08-28T00:00:00.000Z</x:v>
      </x:c>
      <x:c r="J171" s="6" t="str">
        <x:v>O004</x:v>
      </x:c>
      <x:c r="K171" s="6" t="str">
        <x:v>原文明确</x:v>
      </x:c>
      <x:c r="L171" s="6" t="str"/>
      <x:c r="M171" s="6" t="str">
        <x:v>公告项目联络地址，不当作工商注册地址</x:v>
      </x:c>
    </x:row>
    <x:row r="172" ht="34" customHeight="1">
      <x:c r="A172" s="6" t="str">
        <x:v>R0124</x:v>
      </x:c>
      <x:c r="B172" s="6" t="str">
        <x:v>深圳市比亚迪锂电池有限公司</x:v>
      </x:c>
      <x:c r="C172" s="6" t="str">
        <x:v>公告比亚迪命名主体；股权关系未核</x:v>
      </x:c>
      <x:c r="D172" s="6" t="str">
        <x:v>地址</x:v>
      </x:c>
      <x:c r="E172" s="6" t="str">
        <x:v>项目交货地点</x:v>
      </x:c>
      <x:c r="F172" s="6" t="str">
        <x:v>深圳市</x:v>
      </x:c>
      <x:c r="G172" s="6" t="str"/>
      <x:c r="H172" s="6" t="str">
        <x:v>2026-08-28</x:v>
      </x:c>
      <x:c r="I172" s="13" t="d">
        <x:v>2026-08-28T00:00:00.000Z</x:v>
      </x:c>
      <x:c r="J172" s="6" t="str">
        <x:v>O004</x:v>
      </x:c>
      <x:c r="K172" s="6" t="str">
        <x:v>原文明确</x:v>
      </x:c>
      <x:c r="L172" s="6" t="str"/>
      <x:c r="M172" s="6" t="str"/>
    </x:row>
    <x:row r="173" ht="34" customHeight="1">
      <x:c r="A173" s="6" t="str">
        <x:v>R0191</x:v>
      </x:c>
      <x:c r="B173" s="6" t="str">
        <x:v>深圳市比亚迪锂电池有限公司</x:v>
      </x:c>
      <x:c r="C173" s="6" t="str">
        <x:v>公告比亚迪命名主体；股权关系未核</x:v>
      </x:c>
      <x:c r="D173" s="6" t="str">
        <x:v>投标报价</x:v>
      </x:c>
      <x:c r="E173" s="6" t="str">
        <x:v>候选人投标总价(不含税)</x:v>
      </x:c>
      <x:c r="F173" s="15" t="n">
        <x:v>260177</x:v>
      </x:c>
      <x:c r="G173" s="6" t="str">
        <x:v>元</x:v>
      </x:c>
      <x:c r="H173" s="6" t="str">
        <x:v>2026-06-03</x:v>
      </x:c>
      <x:c r="I173" s="13" t="d">
        <x:v>2026-06-03T00:00:00.000Z</x:v>
      </x:c>
      <x:c r="J173" s="6" t="str">
        <x:v>O013</x:v>
      </x:c>
      <x:c r="K173" s="6" t="str">
        <x:v>原文明确</x:v>
      </x:c>
      <x:c r="L173" s="6" t="str"/>
      <x:c r="M173" s="6" t="str">
        <x:v>候选不等于成交</x:v>
      </x:c>
    </x:row>
    <x:row r="174" ht="34" customHeight="1">
      <x:c r="A174" s="6" t="str">
        <x:v>R0192</x:v>
      </x:c>
      <x:c r="B174" s="6" t="str">
        <x:v>深圳市比亚迪锂电池有限公司</x:v>
      </x:c>
      <x:c r="C174" s="6" t="str">
        <x:v>公告比亚迪命名主体；股权关系未核</x:v>
      </x:c>
      <x:c r="D174" s="6" t="str">
        <x:v>投标报价</x:v>
      </x:c>
      <x:c r="E174" s="6" t="str">
        <x:v>候选人投标总价(含税)</x:v>
      </x:c>
      <x:c r="F174" s="15" t="n">
        <x:v>294000</x:v>
      </x:c>
      <x:c r="G174" s="6" t="str">
        <x:v>元</x:v>
      </x:c>
      <x:c r="H174" s="6" t="str">
        <x:v>2026-06-03</x:v>
      </x:c>
      <x:c r="I174" s="13" t="d">
        <x:v>2026-06-03T00:00:00.000Z</x:v>
      </x:c>
      <x:c r="J174" s="6" t="str">
        <x:v>O013</x:v>
      </x:c>
      <x:c r="K174" s="6" t="str">
        <x:v>原文明确</x:v>
      </x:c>
      <x:c r="L174" s="6" t="str"/>
      <x:c r="M174" s="6" t="str">
        <x:v>候选不等于成交</x:v>
      </x:c>
    </x:row>
    <x:row r="175" ht="34" customHeight="1">
      <x:c r="A175" s="6" t="str">
        <x:v>R0179</x:v>
      </x:c>
      <x:c r="B175" s="6" t="str">
        <x:v>深圳市比亚迪锂电池有限公司</x:v>
      </x:c>
      <x:c r="C175" s="6" t="str">
        <x:v>公告比亚迪命名主体；股权关系未核</x:v>
      </x:c>
      <x:c r="D175" s="6" t="str">
        <x:v>投标报价</x:v>
      </x:c>
      <x:c r="E175" s="6" t="str">
        <x:v>候选人投标总价(不含税)</x:v>
      </x:c>
      <x:c r="F175" s="15" t="n">
        <x:v>18870000</x:v>
      </x:c>
      <x:c r="G175" s="6" t="str">
        <x:v>元</x:v>
      </x:c>
      <x:c r="H175" s="6" t="str">
        <x:v>2026-07-07</x:v>
      </x:c>
      <x:c r="I175" s="13" t="d">
        <x:v>2026-07-07T00:00:00.000Z</x:v>
      </x:c>
      <x:c r="J175" s="6" t="str">
        <x:v>O010</x:v>
      </x:c>
      <x:c r="K175" s="6" t="str">
        <x:v>原文明确</x:v>
      </x:c>
      <x:c r="L175" s="6" t="str"/>
      <x:c r="M175" s="6" t="str">
        <x:v>候选不等于成交</x:v>
      </x:c>
    </x:row>
    <x:row r="176" ht="34" customHeight="1">
      <x:c r="A176" s="6" t="str">
        <x:v>R0180</x:v>
      </x:c>
      <x:c r="B176" s="6" t="str">
        <x:v>深圳市比亚迪锂电池有限公司</x:v>
      </x:c>
      <x:c r="C176" s="6" t="str">
        <x:v>公告比亚迪命名主体；股权关系未核</x:v>
      </x:c>
      <x:c r="D176" s="6" t="str">
        <x:v>投标报价</x:v>
      </x:c>
      <x:c r="E176" s="6" t="str">
        <x:v>候选人投标总价(含税)</x:v>
      </x:c>
      <x:c r="F176" s="15" t="n">
        <x:v>21323100</x:v>
      </x:c>
      <x:c r="G176" s="6" t="str">
        <x:v>元</x:v>
      </x:c>
      <x:c r="H176" s="6" t="str">
        <x:v>2026-07-07</x:v>
      </x:c>
      <x:c r="I176" s="13" t="d">
        <x:v>2026-07-07T00:00:00.000Z</x:v>
      </x:c>
      <x:c r="J176" s="6" t="str">
        <x:v>O010</x:v>
      </x:c>
      <x:c r="K176" s="6" t="str">
        <x:v>原文明确</x:v>
      </x:c>
      <x:c r="L176" s="6" t="str"/>
      <x:c r="M176" s="6" t="str">
        <x:v>候选不等于成交</x:v>
      </x:c>
    </x:row>
    <x:row r="177" ht="34" customHeight="1">
      <x:c r="A177" s="6" t="str">
        <x:v>R0198</x:v>
      </x:c>
      <x:c r="B177" s="6" t="str">
        <x:v>深圳市比亚迪锂电池有限公司</x:v>
      </x:c>
      <x:c r="C177" s="6" t="str">
        <x:v>公告比亚迪命名主体；股权关系未核</x:v>
      </x:c>
      <x:c r="D177" s="6" t="str">
        <x:v>联系人</x:v>
      </x:c>
      <x:c r="E177" s="6" t="str">
        <x:v>采购方联系人</x:v>
      </x:c>
      <x:c r="F177" s="6" t="str">
        <x:v>郭工</x:v>
      </x:c>
      <x:c r="G177" s="6" t="str"/>
      <x:c r="H177" s="6" t="str">
        <x:v>2026-05-13</x:v>
      </x:c>
      <x:c r="I177" s="13" t="d">
        <x:v>2026-05-13T00:00:00.000Z</x:v>
      </x:c>
      <x:c r="J177" s="6" t="str">
        <x:v>O014</x:v>
      </x:c>
      <x:c r="K177" s="6" t="str">
        <x:v>原文明确</x:v>
      </x:c>
      <x:c r="L177" s="6" t="str"/>
      <x:c r="M177" s="6" t="str"/>
    </x:row>
    <x:row r="178" ht="34" customHeight="1">
      <x:c r="A178" s="6" t="str">
        <x:v>R0199</x:v>
      </x:c>
      <x:c r="B178" s="6" t="str">
        <x:v>深圳市比亚迪锂电池有限公司</x:v>
      </x:c>
      <x:c r="C178" s="6" t="str">
        <x:v>公告比亚迪命名主体；股权关系未核</x:v>
      </x:c>
      <x:c r="D178" s="6" t="str">
        <x:v>联系人</x:v>
      </x:c>
      <x:c r="E178" s="6" t="str">
        <x:v>采购方联系电话</x:v>
      </x:c>
      <x:c r="F178" s="14" t="str">
        <x:v>18998128178</x:v>
      </x:c>
      <x:c r="G178" s="6" t="str"/>
      <x:c r="H178" s="6" t="str">
        <x:v>2026-05-13</x:v>
      </x:c>
      <x:c r="I178" s="13" t="d">
        <x:v>2026-05-13T00:00:00.000Z</x:v>
      </x:c>
      <x:c r="J178" s="6" t="str">
        <x:v>O014</x:v>
      </x:c>
      <x:c r="K178" s="6" t="str">
        <x:v>原文明确</x:v>
      </x:c>
      <x:c r="L178" s="6" t="str">
        <x:v>原文公开；未验证接通或收信</x:v>
      </x:c>
      <x:c r="M178" s="6" t="str"/>
    </x:row>
    <x:row r="179" ht="34" customHeight="1">
      <x:c r="A179" s="6" t="str">
        <x:v>R0107</x:v>
      </x:c>
      <x:c r="B179" s="6" t="str">
        <x:v>深圳市比亚迪锂电池有限公司</x:v>
      </x:c>
      <x:c r="C179" s="6" t="str">
        <x:v>公告比亚迪命名主体；股权关系未核</x:v>
      </x:c>
      <x:c r="D179" s="6" t="str">
        <x:v>联系人</x:v>
      </x:c>
      <x:c r="E179" s="6" t="str">
        <x:v>采购方联系人</x:v>
      </x:c>
      <x:c r="F179" s="6" t="str">
        <x:v>靳晓霞</x:v>
      </x:c>
      <x:c r="G179" s="6" t="str"/>
      <x:c r="H179" s="6" t="str">
        <x:v>2026-06-17</x:v>
      </x:c>
      <x:c r="I179" s="13" t="d">
        <x:v>2026-06-17T00:00:00.000Z</x:v>
      </x:c>
      <x:c r="J179" s="6" t="str">
        <x:v>O003</x:v>
      </x:c>
      <x:c r="K179" s="6" t="str">
        <x:v>原文明确</x:v>
      </x:c>
      <x:c r="L179" s="6" t="str"/>
      <x:c r="M179" s="6" t="str"/>
    </x:row>
    <x:row r="180" ht="34" customHeight="1">
      <x:c r="A180" s="6" t="str">
        <x:v>R0108</x:v>
      </x:c>
      <x:c r="B180" s="6" t="str">
        <x:v>深圳市比亚迪锂电池有限公司</x:v>
      </x:c>
      <x:c r="C180" s="6" t="str">
        <x:v>公告比亚迪命名主体；股权关系未核</x:v>
      </x:c>
      <x:c r="D180" s="6" t="str">
        <x:v>联系人</x:v>
      </x:c>
      <x:c r="E180" s="6" t="str">
        <x:v>采购方联系电话</x:v>
      </x:c>
      <x:c r="F180" s="14" t="str">
        <x:v>18620338317</x:v>
      </x:c>
      <x:c r="G180" s="6" t="str"/>
      <x:c r="H180" s="6" t="str">
        <x:v>2026-06-17</x:v>
      </x:c>
      <x:c r="I180" s="13" t="d">
        <x:v>2026-06-17T00:00:00.000Z</x:v>
      </x:c>
      <x:c r="J180" s="6" t="str">
        <x:v>O003</x:v>
      </x:c>
      <x:c r="K180" s="6" t="str">
        <x:v>原文明确</x:v>
      </x:c>
      <x:c r="L180" s="6" t="str">
        <x:v>原文公开；未验证接通或收信</x:v>
      </x:c>
      <x:c r="M180" s="6" t="str"/>
    </x:row>
    <x:row r="181" ht="34" customHeight="1">
      <x:c r="A181" s="6" t="str">
        <x:v>R0144</x:v>
      </x:c>
      <x:c r="B181" s="6" t="str">
        <x:v>深圳市比亚迪锂电池有限公司</x:v>
      </x:c>
      <x:c r="C181" s="6" t="str">
        <x:v>公告比亚迪命名主体；股权关系未核</x:v>
      </x:c>
      <x:c r="D181" s="6" t="str">
        <x:v>联系人</x:v>
      </x:c>
      <x:c r="E181" s="6" t="str">
        <x:v>采购方联系人</x:v>
      </x:c>
      <x:c r="F181" s="6" t="str">
        <x:v>胡超</x:v>
      </x:c>
      <x:c r="G181" s="6" t="str"/>
      <x:c r="H181" s="6" t="str">
        <x:v>2026-06-25</x:v>
      </x:c>
      <x:c r="I181" s="13" t="d">
        <x:v>2026-06-25T00:00:00.000Z</x:v>
      </x:c>
      <x:c r="J181" s="6" t="str">
        <x:v>O006</x:v>
      </x:c>
      <x:c r="K181" s="6" t="str">
        <x:v>原文明确</x:v>
      </x:c>
      <x:c r="L181" s="6" t="str"/>
      <x:c r="M181" s="6" t="str"/>
    </x:row>
    <x:row r="182" ht="34" customHeight="1">
      <x:c r="A182" s="6" t="str">
        <x:v>R0145</x:v>
      </x:c>
      <x:c r="B182" s="6" t="str">
        <x:v>深圳市比亚迪锂电池有限公司</x:v>
      </x:c>
      <x:c r="C182" s="6" t="str">
        <x:v>公告比亚迪命名主体；股权关系未核</x:v>
      </x:c>
      <x:c r="D182" s="6" t="str">
        <x:v>联系人</x:v>
      </x:c>
      <x:c r="E182" s="6" t="str">
        <x:v>采购方联系电话</x:v>
      </x:c>
      <x:c r="F182" s="14" t="str">
        <x:v>13751029874</x:v>
      </x:c>
      <x:c r="G182" s="6" t="str"/>
      <x:c r="H182" s="6" t="str">
        <x:v>2026-06-25</x:v>
      </x:c>
      <x:c r="I182" s="13" t="d">
        <x:v>2026-06-25T00:00:00.000Z</x:v>
      </x:c>
      <x:c r="J182" s="6" t="str">
        <x:v>O006</x:v>
      </x:c>
      <x:c r="K182" s="6" t="str">
        <x:v>原文明确</x:v>
      </x:c>
      <x:c r="L182" s="6" t="str">
        <x:v>原文公开；未验证接通或收信</x:v>
      </x:c>
      <x:c r="M182" s="6" t="str"/>
    </x:row>
    <x:row r="183" ht="34" customHeight="1">
      <x:c r="A183" s="6" t="str">
        <x:v>R0092</x:v>
      </x:c>
      <x:c r="B183" s="6" t="str">
        <x:v>深圳市比亚迪锂电池有限公司</x:v>
      </x:c>
      <x:c r="C183" s="6" t="str">
        <x:v>公告比亚迪命名主体；股权关系未核</x:v>
      </x:c>
      <x:c r="D183" s="6" t="str">
        <x:v>联系人</x:v>
      </x:c>
      <x:c r="E183" s="6" t="str">
        <x:v>采购方联系人</x:v>
      </x:c>
      <x:c r="F183" s="6" t="str">
        <x:v>杨海川</x:v>
      </x:c>
      <x:c r="G183" s="6" t="str"/>
      <x:c r="H183" s="6" t="str">
        <x:v>2026-07-14</x:v>
      </x:c>
      <x:c r="I183" s="13" t="d">
        <x:v>2026-07-14T00:00:00.000Z</x:v>
      </x:c>
      <x:c r="J183" s="6" t="str">
        <x:v>O002</x:v>
      </x:c>
      <x:c r="K183" s="6" t="str">
        <x:v>原文明确</x:v>
      </x:c>
      <x:c r="L183" s="6" t="str"/>
      <x:c r="M183" s="6" t="str"/>
    </x:row>
    <x:row r="184" ht="34" customHeight="1">
      <x:c r="A184" s="6" t="str">
        <x:v>R0093</x:v>
      </x:c>
      <x:c r="B184" s="6" t="str">
        <x:v>深圳市比亚迪锂电池有限公司</x:v>
      </x:c>
      <x:c r="C184" s="6" t="str">
        <x:v>公告比亚迪命名主体；股权关系未核</x:v>
      </x:c>
      <x:c r="D184" s="6" t="str">
        <x:v>联系人</x:v>
      </x:c>
      <x:c r="E184" s="6" t="str">
        <x:v>采购方联系电话</x:v>
      </x:c>
      <x:c r="F184" s="14" t="str">
        <x:v>19065009629</x:v>
      </x:c>
      <x:c r="G184" s="6" t="str"/>
      <x:c r="H184" s="6" t="str">
        <x:v>2026-07-14</x:v>
      </x:c>
      <x:c r="I184" s="13" t="d">
        <x:v>2026-07-14T00:00:00.000Z</x:v>
      </x:c>
      <x:c r="J184" s="6" t="str">
        <x:v>O002</x:v>
      </x:c>
      <x:c r="K184" s="6" t="str">
        <x:v>原文明确</x:v>
      </x:c>
      <x:c r="L184" s="6" t="str">
        <x:v>原文公开；未验证接通或收信</x:v>
      </x:c>
      <x:c r="M184" s="6" t="str"/>
    </x:row>
    <x:row r="185" ht="34" customHeight="1">
      <x:c r="A185" s="6" t="str">
        <x:v>R0122</x:v>
      </x:c>
      <x:c r="B185" s="6" t="str">
        <x:v>深圳市比亚迪锂电池有限公司</x:v>
      </x:c>
      <x:c r="C185" s="6" t="str">
        <x:v>公告比亚迪命名主体；股权关系未核</x:v>
      </x:c>
      <x:c r="D185" s="6" t="str">
        <x:v>联系人</x:v>
      </x:c>
      <x:c r="E185" s="6" t="str">
        <x:v>采购方联系人</x:v>
      </x:c>
      <x:c r="F185" s="6" t="str">
        <x:v>王世璐</x:v>
      </x:c>
      <x:c r="G185" s="6" t="str"/>
      <x:c r="H185" s="6" t="str">
        <x:v>2026-08-28</x:v>
      </x:c>
      <x:c r="I185" s="13" t="d">
        <x:v>2026-08-28T00:00:00.000Z</x:v>
      </x:c>
      <x:c r="J185" s="6" t="str">
        <x:v>O004</x:v>
      </x:c>
      <x:c r="K185" s="6" t="str">
        <x:v>原文明确</x:v>
      </x:c>
      <x:c r="L185" s="6" t="str"/>
      <x:c r="M185" s="6" t="str"/>
    </x:row>
    <x:row r="186" ht="34" customHeight="1">
      <x:c r="A186" s="6" t="str">
        <x:v>R0123</x:v>
      </x:c>
      <x:c r="B186" s="6" t="str">
        <x:v>深圳市比亚迪锂电池有限公司</x:v>
      </x:c>
      <x:c r="C186" s="6" t="str">
        <x:v>公告比亚迪命名主体；股权关系未核</x:v>
      </x:c>
      <x:c r="D186" s="6" t="str">
        <x:v>联系人</x:v>
      </x:c>
      <x:c r="E186" s="6" t="str">
        <x:v>采购方联系电话</x:v>
      </x:c>
      <x:c r="F186" s="14" t="str">
        <x:v>15542601362</x:v>
      </x:c>
      <x:c r="G186" s="6" t="str"/>
      <x:c r="H186" s="6" t="str">
        <x:v>2026-08-28</x:v>
      </x:c>
      <x:c r="I186" s="13" t="d">
        <x:v>2026-08-28T00:00:00.000Z</x:v>
      </x:c>
      <x:c r="J186" s="6" t="str">
        <x:v>O004</x:v>
      </x:c>
      <x:c r="K186" s="6" t="str">
        <x:v>原文明确</x:v>
      </x:c>
      <x:c r="L186" s="6" t="str">
        <x:v>原文公开；未验证接通或收信</x:v>
      </x:c>
      <x:c r="M186" s="6" t="str"/>
    </x:row>
    <x:row r="187" ht="136" customHeight="1">
      <x:c r="A187" s="6" t="str">
        <x:v>R0202</x:v>
      </x:c>
      <x:c r="B187" s="6" t="str">
        <x:v>深圳市比亚迪锂电池有限公司</x:v>
      </x:c>
      <x:c r="C187" s="6" t="str">
        <x:v>公告比亚迪命名主体；股权关系未核</x:v>
      </x:c>
      <x:c r="D187" s="6" t="str">
        <x:v>采购需求</x:v>
      </x:c>
      <x:c r="E187" s="6" t="str">
        <x:v>采购内容与关键要求</x:v>
      </x:c>
      <x:c r="F187" s="6" t="str">
        <x:v>拟选定一家供应商为招标人提供软包三电极电池检测柜 5台。设备主要技术参数如下表,具体要求详见第五章 技术规范书。 项目 技术参数需求 通道需求 5V30A,共计16CH/台,5台 主电压 充电范围为0V-5V;电压测量控制精度±0.02%F.S.@25±5°C;分辨率0.1mV; 主电流 充放电电流范围为-30A~30A,电流控制精度±0.02%F.S@25±5°C;最小电流≤1mA;分辨率1mA; 辅助电压 主通道及两个辅助通道电压检测量程:0~5V,主…（完整内容见原始记录 R0202）</x:v>
      </x:c>
      <x:c r="G187" s="6" t="str"/>
      <x:c r="H187" s="6" t="str">
        <x:v>2026-05-13</x:v>
      </x:c>
      <x:c r="I187" s="13" t="d">
        <x:v>2026-05-13T00:00:00.000Z</x:v>
      </x:c>
      <x:c r="J187" s="6" t="str">
        <x:v>O014</x:v>
      </x:c>
      <x:c r="K187" s="6" t="str">
        <x:v>原文明确</x:v>
      </x:c>
      <x:c r="L187" s="6" t="str"/>
      <x:c r="M187" s="6" t="str"/>
    </x:row>
    <x:row r="188" ht="136" customHeight="1">
      <x:c r="A188" s="6" t="str">
        <x:v>R0111</x:v>
      </x:c>
      <x:c r="B188" s="6" t="str">
        <x:v>深圳市比亚迪锂电池有限公司</x:v>
      </x:c>
      <x:c r="C188" s="6" t="str">
        <x:v>公告比亚迪命名主体；股权关系未核</x:v>
      </x:c>
      <x:c r="D188" s="6" t="str">
        <x:v>采购需求</x:v>
      </x:c>
      <x:c r="E188" s="6" t="str">
        <x:v>采购内容与关键要求</x:v>
      </x:c>
      <x:c r="F188" s="6" t="str">
        <x:v>拟选定一家供应商为招标人提供硬X射线XPS设备1台,主要设备参数要求:Al Kα在微区分析(≤10 μm)能量分辨率和灵敏度:对Ag3d5/2峰,能量分辨≤0.6 eV时,计数率强度≥50 Kcps, 分析功率≤1.3W;Cr Kα在大束斑能量分辨率和灵敏度:对Ag3d5/2峰,能量分辨≤1.0 eV时,计数率强度≥6,000 cps;能量分辨≤1.3 eV时,计数率强度≥15,000 cps 。最小获谱束斑:≤5.0 μm @ Al Kα,≤ 14.0 …（完整内容见原始记录 R0111）</x:v>
      </x:c>
      <x:c r="G188" s="6" t="str"/>
      <x:c r="H188" s="6" t="str">
        <x:v>2026-06-17</x:v>
      </x:c>
      <x:c r="I188" s="13" t="d">
        <x:v>2026-06-17T00:00:00.000Z</x:v>
      </x:c>
      <x:c r="J188" s="6" t="str">
        <x:v>O003</x:v>
      </x:c>
      <x:c r="K188" s="6" t="str">
        <x:v>原文明确</x:v>
      </x:c>
      <x:c r="L188" s="6" t="str"/>
      <x:c r="M188" s="6" t="str"/>
    </x:row>
    <x:row r="189" ht="88" customHeight="1">
      <x:c r="A189" s="6" t="str">
        <x:v>R0148</x:v>
      </x:c>
      <x:c r="B189" s="6" t="str">
        <x:v>深圳市比亚迪锂电池有限公司</x:v>
      </x:c>
      <x:c r="C189" s="6" t="str">
        <x:v>公告比亚迪命名主体；股权关系未核</x:v>
      </x:c>
      <x:c r="D189" s="6" t="str">
        <x:v>采购需求</x:v>
      </x:c>
      <x:c r="E189" s="6" t="str">
        <x:v>采购内容与关键要求</x:v>
      </x:c>
      <x:c r="F189" s="6" t="str">
        <x:v>拟选定一家供应商为招标人提供场发射扫描电子显微镜 1 台,扫描电子显微镜采用电子光学系统(低电压分辨率:≤1.0nm@15kV; ≤1.2nm@1kV;≤1.0nm@1kV(电子束样品台减速模式);≤1.2nm@500V;), 设备具体参数要求详见第五章 技术规范书。</x:v>
      </x:c>
      <x:c r="G189" s="6" t="str"/>
      <x:c r="H189" s="6" t="str">
        <x:v>2026-06-25</x:v>
      </x:c>
      <x:c r="I189" s="13" t="d">
        <x:v>2026-06-25T00:00:00.000Z</x:v>
      </x:c>
      <x:c r="J189" s="6" t="str">
        <x:v>O006</x:v>
      </x:c>
      <x:c r="K189" s="6" t="str">
        <x:v>原文明确</x:v>
      </x:c>
      <x:c r="L189" s="6" t="str"/>
      <x:c r="M189" s="6" t="str"/>
    </x:row>
    <x:row r="190" ht="104" customHeight="1">
      <x:c r="A190" s="6" t="str">
        <x:v>R0096</x:v>
      </x:c>
      <x:c r="B190" s="6" t="str">
        <x:v>深圳市比亚迪锂电池有限公司</x:v>
      </x:c>
      <x:c r="C190" s="6" t="str">
        <x:v>公告比亚迪命名主体；股权关系未核</x:v>
      </x:c>
      <x:c r="D190" s="6" t="str">
        <x:v>采购需求</x:v>
      </x:c>
      <x:c r="E190" s="6" t="str">
        <x:v>采购内容与关键要求</x:v>
      </x:c>
      <x:c r="F190" s="6" t="str">
        <x:v>拟选定一家供应商为招标人提供温等静压机 1 台,主要 设备参数要求:工作缸有效规格尺寸:D120mm*L800mm,工作压力:设计压 力≥880MPa,根据工作条件任意设定,调节精度 1MPa。整机结构:立式;成型 方式:工作缸、承压框架均采用预应力钢带缠绕;压力测量精度:800MPa, 150°C,压力测量精度≤±0.5%F.S。具体要求详见第五章 技术规范书。</x:v>
      </x:c>
      <x:c r="G190" s="6" t="str"/>
      <x:c r="H190" s="6" t="str">
        <x:v>2026-07-14</x:v>
      </x:c>
      <x:c r="I190" s="13" t="d">
        <x:v>2026-07-14T00:00:00.000Z</x:v>
      </x:c>
      <x:c r="J190" s="6" t="str">
        <x:v>O002</x:v>
      </x:c>
      <x:c r="K190" s="6" t="str">
        <x:v>原文明确</x:v>
      </x:c>
      <x:c r="L190" s="6" t="str"/>
      <x:c r="M190" s="6" t="str"/>
    </x:row>
    <x:row r="191" ht="136" customHeight="1">
      <x:c r="A191" s="6" t="str">
        <x:v>R0126</x:v>
      </x:c>
      <x:c r="B191" s="6" t="str">
        <x:v>深圳市比亚迪锂电池有限公司</x:v>
      </x:c>
      <x:c r="C191" s="6" t="str">
        <x:v>公告比亚迪命名主体；股权关系未核</x:v>
      </x:c>
      <x:c r="D191" s="6" t="str">
        <x:v>采购需求</x:v>
      </x:c>
      <x:c r="E191" s="6" t="str">
        <x:v>采购内容与关键要求</x:v>
      </x:c>
      <x:c r="F191" s="6" t="str">
        <x:v>拟选定一家供应商为招标人提供智能体平台 1台。设备具体参数如下: 序号 重要性 技术指标 招标参数 比亚迪公司智能体平台 智能体平台硬件参数 ★ 品牌要求 国产服务器品牌 ★ 机箱尺寸 ≤10U机架式服务器 ★ 处理器 配置≥2颗X86架构处理器,单处理器核心数≥96C,基准时钟频率≥3.2GHz,最高加速时钟频率≥4.1GHz,支持内存规格≥6400MT/s ★ GPU卡 配置≥16张GPU卡,每张显卡显存≥32GB,单卡FP32理论算力≥104TFLO…（完整内容见原始记录 R0126）</x:v>
      </x:c>
      <x:c r="G191" s="6" t="str"/>
      <x:c r="H191" s="6" t="str">
        <x:v>2026-08-28</x:v>
      </x:c>
      <x:c r="I191" s="13" t="d">
        <x:v>2026-08-28T00:00:00.000Z</x:v>
      </x:c>
      <x:c r="J191" s="6" t="str">
        <x:v>O004</x:v>
      </x:c>
      <x:c r="K191" s="6" t="str">
        <x:v>原文明确</x:v>
      </x:c>
      <x:c r="L191" s="6" t="str"/>
      <x:c r="M191" s="6" t="str"/>
    </x:row>
    <x:row r="192" ht="34" customHeight="1">
      <x:c r="A192" s="6" t="str">
        <x:v>R0212</x:v>
      </x:c>
      <x:c r="B192" s="6" t="str">
        <x:v>深圳市比亚迪锂电池有限公司</x:v>
      </x:c>
      <x:c r="C192" s="6" t="str">
        <x:v>公告比亚迪命名主体；股权关系未核</x:v>
      </x:c>
      <x:c r="D192" s="6" t="str">
        <x:v>预算</x:v>
      </x:c>
      <x:c r="E192" s="6" t="str">
        <x:v>检测柜单台不含税限价</x:v>
      </x:c>
      <x:c r="F192" s="15" t="n">
        <x:v>93000</x:v>
      </x:c>
      <x:c r="G192" s="6" t="str">
        <x:v>元/台</x:v>
      </x:c>
      <x:c r="H192" s="6" t="str">
        <x:v>2026-05-13</x:v>
      </x:c>
      <x:c r="I192" s="13" t="d">
        <x:v>2026-05-13T00:00:00.000Z</x:v>
      </x:c>
      <x:c r="J192" s="6" t="str">
        <x:v>O014</x:v>
      </x:c>
      <x:c r="K192" s="6" t="str">
        <x:v>原文明确</x:v>
      </x:c>
      <x:c r="L192" s="6" t="str"/>
      <x:c r="M192" s="6" t="str">
        <x:v>5台总预算465000元；单价上限不等于成交单价</x:v>
      </x:c>
    </x:row>
    <x:row r="193" ht="34" customHeight="1">
      <x:c r="A193" s="6" t="str">
        <x:v>R0201</x:v>
      </x:c>
      <x:c r="B193" s="6" t="str">
        <x:v>深圳市比亚迪锂电池有限公司</x:v>
      </x:c>
      <x:c r="C193" s="6" t="str">
        <x:v>公告比亚迪命名主体；股权关系未核</x:v>
      </x:c>
      <x:c r="D193" s="6" t="str">
        <x:v>预算</x:v>
      </x:c>
      <x:c r="E193" s="6" t="str">
        <x:v>采购预算(不含税)</x:v>
      </x:c>
      <x:c r="F193" s="15" t="n">
        <x:v>465000</x:v>
      </x:c>
      <x:c r="G193" s="6" t="str">
        <x:v>元</x:v>
      </x:c>
      <x:c r="H193" s="6" t="str">
        <x:v>2026-05-13</x:v>
      </x:c>
      <x:c r="I193" s="13" t="d">
        <x:v>2026-05-13T00:00:00.000Z</x:v>
      </x:c>
      <x:c r="J193" s="6" t="str">
        <x:v>O014</x:v>
      </x:c>
      <x:c r="K193" s="6" t="str">
        <x:v>原文明确</x:v>
      </x:c>
      <x:c r="L193" s="6" t="str"/>
      <x:c r="M193" s="6" t="str">
        <x:v>预算不等于成交金额</x:v>
      </x:c>
    </x:row>
    <x:row r="194" ht="34" customHeight="1">
      <x:c r="A194" s="6" t="str">
        <x:v>R0110</x:v>
      </x:c>
      <x:c r="B194" s="6" t="str">
        <x:v>深圳市比亚迪锂电池有限公司</x:v>
      </x:c>
      <x:c r="C194" s="6" t="str">
        <x:v>公告比亚迪命名主体；股权关系未核</x:v>
      </x:c>
      <x:c r="D194" s="6" t="str">
        <x:v>预算</x:v>
      </x:c>
      <x:c r="E194" s="6" t="str">
        <x:v>采购预算(不含税)</x:v>
      </x:c>
      <x:c r="F194" s="15" t="n">
        <x:v>7000000</x:v>
      </x:c>
      <x:c r="G194" s="6" t="str">
        <x:v>元</x:v>
      </x:c>
      <x:c r="H194" s="6" t="str">
        <x:v>2026-06-17</x:v>
      </x:c>
      <x:c r="I194" s="13" t="d">
        <x:v>2026-06-17T00:00:00.000Z</x:v>
      </x:c>
      <x:c r="J194" s="6" t="str">
        <x:v>O003</x:v>
      </x:c>
      <x:c r="K194" s="6" t="str">
        <x:v>原文明确</x:v>
      </x:c>
      <x:c r="L194" s="6" t="str"/>
      <x:c r="M194" s="6" t="str">
        <x:v>预算不等于成交金额</x:v>
      </x:c>
    </x:row>
    <x:row r="195" ht="34" customHeight="1">
      <x:c r="A195" s="6" t="str">
        <x:v>R0147</x:v>
      </x:c>
      <x:c r="B195" s="6" t="str">
        <x:v>深圳市比亚迪锂电池有限公司</x:v>
      </x:c>
      <x:c r="C195" s="6" t="str">
        <x:v>公告比亚迪命名主体；股权关系未核</x:v>
      </x:c>
      <x:c r="D195" s="6" t="str">
        <x:v>预算</x:v>
      </x:c>
      <x:c r="E195" s="6" t="str">
        <x:v>采购预算(不含税)</x:v>
      </x:c>
      <x:c r="F195" s="15" t="n">
        <x:v>3900000</x:v>
      </x:c>
      <x:c r="G195" s="6" t="str">
        <x:v>元</x:v>
      </x:c>
      <x:c r="H195" s="6" t="str">
        <x:v>2026-06-25</x:v>
      </x:c>
      <x:c r="I195" s="13" t="d">
        <x:v>2026-06-25T00:00:00.000Z</x:v>
      </x:c>
      <x:c r="J195" s="6" t="str">
        <x:v>O006</x:v>
      </x:c>
      <x:c r="K195" s="6" t="str">
        <x:v>原文明确</x:v>
      </x:c>
      <x:c r="L195" s="6" t="str"/>
      <x:c r="M195" s="6" t="str">
        <x:v>预算不等于成交金额</x:v>
      </x:c>
    </x:row>
    <x:row r="196" ht="34" customHeight="1">
      <x:c r="A196" s="6" t="str">
        <x:v>R0095</x:v>
      </x:c>
      <x:c r="B196" s="6" t="str">
        <x:v>深圳市比亚迪锂电池有限公司</x:v>
      </x:c>
      <x:c r="C196" s="6" t="str">
        <x:v>公告比亚迪命名主体；股权关系未核</x:v>
      </x:c>
      <x:c r="D196" s="6" t="str">
        <x:v>预算</x:v>
      </x:c>
      <x:c r="E196" s="6" t="str">
        <x:v>采购预算(不含税)</x:v>
      </x:c>
      <x:c r="F196" s="15" t="n">
        <x:v>5000000</x:v>
      </x:c>
      <x:c r="G196" s="6" t="str">
        <x:v>元</x:v>
      </x:c>
      <x:c r="H196" s="6" t="str">
        <x:v>2026-07-14</x:v>
      </x:c>
      <x:c r="I196" s="13" t="d">
        <x:v>2026-07-14T00:00:00.000Z</x:v>
      </x:c>
      <x:c r="J196" s="6" t="str">
        <x:v>O002</x:v>
      </x:c>
      <x:c r="K196" s="6" t="str">
        <x:v>原文明确</x:v>
      </x:c>
      <x:c r="L196" s="6" t="str"/>
      <x:c r="M196" s="6" t="str">
        <x:v>预算不等于成交金额</x:v>
      </x:c>
    </x:row>
    <x:row r="197" ht="34" customHeight="1">
      <x:c r="A197" s="6" t="str">
        <x:v>R0125</x:v>
      </x:c>
      <x:c r="B197" s="6" t="str">
        <x:v>深圳市比亚迪锂电池有限公司</x:v>
      </x:c>
      <x:c r="C197" s="6" t="str">
        <x:v>公告比亚迪命名主体；股权关系未核</x:v>
      </x:c>
      <x:c r="D197" s="6" t="str">
        <x:v>预算</x:v>
      </x:c>
      <x:c r="E197" s="6" t="str">
        <x:v>采购预算(不含税)</x:v>
      </x:c>
      <x:c r="F197" s="15" t="n">
        <x:v>1370000</x:v>
      </x:c>
      <x:c r="G197" s="6" t="str">
        <x:v>元</x:v>
      </x:c>
      <x:c r="H197" s="6" t="str">
        <x:v>2026-08-28</x:v>
      </x:c>
      <x:c r="I197" s="13" t="d">
        <x:v>2026-08-28T00:00:00.000Z</x:v>
      </x:c>
      <x:c r="J197" s="6" t="str">
        <x:v>O004</x:v>
      </x:c>
      <x:c r="K197" s="6" t="str">
        <x:v>原文明确</x:v>
      </x:c>
      <x:c r="L197" s="6" t="str"/>
      <x:c r="M197" s="6" t="str">
        <x:v>预算不等于成交金额</x:v>
      </x:c>
    </x:row>
    <x:row r="198" ht="56" customHeight="1">
      <x:c r="A198" s="6" t="str">
        <x:v>R0356</x:v>
      </x:c>
      <x:c r="B198" s="6" t="str">
        <x:v>郑州比亚迪汽车有限公司</x:v>
      </x:c>
      <x:c r="C198" s="6" t="str">
        <x:v>官方披露集团/子公司</x:v>
      </x:c>
      <x:c r="D198" s="6" t="str">
        <x:v>母子实体</x:v>
      </x:c>
      <x:c r="E198" s="6" t="str">
        <x:v>业务性质</x:v>
      </x:c>
      <x:c r="F198" s="6" t="str">
        <x:v>制造</x:v>
      </x:c>
      <x:c r="G198" s="6" t="str"/>
      <x:c r="H198" s="6" t="str">
        <x:v>2026-06-30</x:v>
      </x:c>
      <x:c r="I198" s="13" t="d">
        <x:v>2026-08-29T00:00:00.000Z</x:v>
      </x:c>
      <x:c r="J198" s="6" t="str">
        <x:v>F002</x:v>
      </x:c>
      <x:c r="K198" s="6" t="str">
        <x:v>官方披露已核验</x:v>
      </x:c>
      <x:c r="L198" s="6" t="str"/>
      <x:c r="M198"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199" ht="56" customHeight="1">
      <x:c r="A199" s="6" t="str">
        <x:v>R0355</x:v>
      </x:c>
      <x:c r="B199" s="6" t="str">
        <x:v>郑州比亚迪汽车有限公司</x:v>
      </x:c>
      <x:c r="C199" s="6" t="str">
        <x:v>官方披露集团/子公司</x:v>
      </x:c>
      <x:c r="D199" s="6" t="str">
        <x:v>母子实体</x:v>
      </x:c>
      <x:c r="E199" s="6" t="str">
        <x:v>主要经营地及注册地</x:v>
      </x:c>
      <x:c r="F199" s="6" t="str">
        <x:v>郑州</x:v>
      </x:c>
      <x:c r="G199" s="6" t="str"/>
      <x:c r="H199" s="6" t="str">
        <x:v>2026-06-30</x:v>
      </x:c>
      <x:c r="I199" s="13" t="d">
        <x:v>2026-08-29T00:00:00.000Z</x:v>
      </x:c>
      <x:c r="J199" s="6" t="str">
        <x:v>F002</x:v>
      </x:c>
      <x:c r="K199" s="6" t="str">
        <x:v>官方披露已核验</x:v>
      </x:c>
      <x:c r="L199" s="6" t="str"/>
      <x:c r="M199"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200" ht="56" customHeight="1">
      <x:c r="A200" s="6" t="str">
        <x:v>R0354</x:v>
      </x:c>
      <x:c r="B200" s="6" t="str">
        <x:v>郑州比亚迪汽车有限公司</x:v>
      </x:c>
      <x:c r="C200" s="6" t="str">
        <x:v>官方披露集团/子公司</x:v>
      </x:c>
      <x:c r="D200" s="6" t="str">
        <x:v>母子实体</x:v>
      </x:c>
      <x:c r="E200" s="6" t="str">
        <x:v>母子关系</x:v>
      </x:c>
      <x:c r="F200" s="6" t="str">
        <x:v>比亚迪股份有限公司重要子公司</x:v>
      </x:c>
      <x:c r="G200" s="6" t="str"/>
      <x:c r="H200" s="6" t="str">
        <x:v>2026-06-30</x:v>
      </x:c>
      <x:c r="I200" s="13" t="d">
        <x:v>2026-08-29T00:00:00.000Z</x:v>
      </x:c>
      <x:c r="J200" s="6" t="str">
        <x:v>F002</x:v>
      </x:c>
      <x:c r="K200" s="6" t="str">
        <x:v>官方披露已核验</x:v>
      </x:c>
      <x:c r="L200" s="6" t="str"/>
      <x:c r="M200"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201" ht="56" customHeight="1">
      <x:c r="A201" s="6" t="str">
        <x:v>R0358</x:v>
      </x:c>
      <x:c r="B201" s="6" t="str">
        <x:v>郑州比亚迪汽车有限公司</x:v>
      </x:c>
      <x:c r="C201" s="6" t="str">
        <x:v>官方披露集团/子公司</x:v>
      </x:c>
      <x:c r="D201" s="6" t="str">
        <x:v>母子实体</x:v>
      </x:c>
      <x:c r="E201" s="6" t="str">
        <x:v>比亚迪股份间接持股比例</x:v>
      </x:c>
      <x:c r="F201" s="15" t="n">
        <x:v>100</x:v>
      </x:c>
      <x:c r="G201" s="6" t="str">
        <x:v>%</x:v>
      </x:c>
      <x:c r="H201" s="6" t="str">
        <x:v>2026-06-30</x:v>
      </x:c>
      <x:c r="I201" s="13" t="d">
        <x:v>2026-08-29T00:00:00.000Z</x:v>
      </x:c>
      <x:c r="J201" s="6" t="str">
        <x:v>F002</x:v>
      </x:c>
      <x:c r="K201" s="6" t="str">
        <x:v>官方披露已核验</x:v>
      </x:c>
      <x:c r="L201" s="6" t="str"/>
      <x:c r="M201"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202" ht="56" customHeight="1">
      <x:c r="A202" s="6" t="str">
        <x:v>R0357</x:v>
      </x:c>
      <x:c r="B202" s="6" t="str">
        <x:v>郑州比亚迪汽车有限公司</x:v>
      </x:c>
      <x:c r="C202" s="6" t="str">
        <x:v>官方披露集团/子公司</x:v>
      </x:c>
      <x:c r="D202" s="6" t="str">
        <x:v>母子实体</x:v>
      </x:c>
      <x:c r="E202" s="6" t="str">
        <x:v>注册资本/股本</x:v>
      </x:c>
      <x:c r="F202" s="15" t="n">
        <x:v>50000000</x:v>
      </x:c>
      <x:c r="G202" s="6" t="str">
        <x:v>人民币元</x:v>
      </x:c>
      <x:c r="H202" s="6" t="str">
        <x:v>2026-06-30</x:v>
      </x:c>
      <x:c r="I202" s="13" t="d">
        <x:v>2026-08-29T00:00:00.000Z</x:v>
      </x:c>
      <x:c r="J202" s="6" t="str">
        <x:v>F002</x:v>
      </x:c>
      <x:c r="K202" s="6" t="str">
        <x:v>官方披露已核验</x:v>
      </x:c>
      <x:c r="L202" s="6" t="str"/>
      <x:c r="M202"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203" ht="56" customHeight="1">
      <x:c r="A203" s="6" t="str">
        <x:v>R0351</x:v>
      </x:c>
      <x:c r="B203" s="6" t="str">
        <x:v>长沙市比亚迪汽车有限公司</x:v>
      </x:c>
      <x:c r="C203" s="6" t="str">
        <x:v>官方披露集团/子公司</x:v>
      </x:c>
      <x:c r="D203" s="6" t="str">
        <x:v>母子实体</x:v>
      </x:c>
      <x:c r="E203" s="6" t="str">
        <x:v>业务性质</x:v>
      </x:c>
      <x:c r="F203" s="6" t="str">
        <x:v>制造</x:v>
      </x:c>
      <x:c r="G203" s="6" t="str"/>
      <x:c r="H203" s="6" t="str">
        <x:v>2026-06-30</x:v>
      </x:c>
      <x:c r="I203" s="13" t="d">
        <x:v>2026-08-29T00:00:00.000Z</x:v>
      </x:c>
      <x:c r="J203" s="6" t="str">
        <x:v>F002</x:v>
      </x:c>
      <x:c r="K203" s="6" t="str">
        <x:v>官方披露已核验</x:v>
      </x:c>
      <x:c r="L203" s="6" t="str"/>
      <x:c r="M203"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204" ht="56" customHeight="1">
      <x:c r="A204" s="6" t="str">
        <x:v>R0350</x:v>
      </x:c>
      <x:c r="B204" s="6" t="str">
        <x:v>长沙市比亚迪汽车有限公司</x:v>
      </x:c>
      <x:c r="C204" s="6" t="str">
        <x:v>官方披露集团/子公司</x:v>
      </x:c>
      <x:c r="D204" s="6" t="str">
        <x:v>母子实体</x:v>
      </x:c>
      <x:c r="E204" s="6" t="str">
        <x:v>主要经营地及注册地</x:v>
      </x:c>
      <x:c r="F204" s="6" t="str">
        <x:v>长沙</x:v>
      </x:c>
      <x:c r="G204" s="6" t="str"/>
      <x:c r="H204" s="6" t="str">
        <x:v>2026-06-30</x:v>
      </x:c>
      <x:c r="I204" s="13" t="d">
        <x:v>2026-08-29T00:00:00.000Z</x:v>
      </x:c>
      <x:c r="J204" s="6" t="str">
        <x:v>F002</x:v>
      </x:c>
      <x:c r="K204" s="6" t="str">
        <x:v>官方披露已核验</x:v>
      </x:c>
      <x:c r="L204" s="6" t="str"/>
      <x:c r="M204"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205" ht="56" customHeight="1">
      <x:c r="A205" s="6" t="str">
        <x:v>R0349</x:v>
      </x:c>
      <x:c r="B205" s="6" t="str">
        <x:v>长沙市比亚迪汽车有限公司</x:v>
      </x:c>
      <x:c r="C205" s="6" t="str">
        <x:v>官方披露集团/子公司</x:v>
      </x:c>
      <x:c r="D205" s="6" t="str">
        <x:v>母子实体</x:v>
      </x:c>
      <x:c r="E205" s="6" t="str">
        <x:v>母子关系</x:v>
      </x:c>
      <x:c r="F205" s="6" t="str">
        <x:v>比亚迪股份有限公司重要子公司</x:v>
      </x:c>
      <x:c r="G205" s="6" t="str"/>
      <x:c r="H205" s="6" t="str">
        <x:v>2026-06-30</x:v>
      </x:c>
      <x:c r="I205" s="13" t="d">
        <x:v>2026-08-29T00:00:00.000Z</x:v>
      </x:c>
      <x:c r="J205" s="6" t="str">
        <x:v>F002</x:v>
      </x:c>
      <x:c r="K205" s="6" t="str">
        <x:v>官方披露已核验</x:v>
      </x:c>
      <x:c r="L205" s="6" t="str"/>
      <x:c r="M205"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206" ht="56" customHeight="1">
      <x:c r="A206" s="6" t="str">
        <x:v>R0353</x:v>
      </x:c>
      <x:c r="B206" s="6" t="str">
        <x:v>长沙市比亚迪汽车有限公司</x:v>
      </x:c>
      <x:c r="C206" s="6" t="str">
        <x:v>官方披露集团/子公司</x:v>
      </x:c>
      <x:c r="D206" s="6" t="str">
        <x:v>母子实体</x:v>
      </x:c>
      <x:c r="E206" s="6" t="str">
        <x:v>比亚迪股份间接持股比例</x:v>
      </x:c>
      <x:c r="F206" s="16" t="n">
        <x:v>99.88</x:v>
      </x:c>
      <x:c r="G206" s="6" t="str">
        <x:v>%</x:v>
      </x:c>
      <x:c r="H206" s="6" t="str">
        <x:v>2026-06-30</x:v>
      </x:c>
      <x:c r="I206" s="13" t="d">
        <x:v>2026-08-29T00:00:00.000Z</x:v>
      </x:c>
      <x:c r="J206" s="6" t="str">
        <x:v>F002</x:v>
      </x:c>
      <x:c r="K206" s="6" t="str">
        <x:v>官方披露已核验</x:v>
      </x:c>
      <x:c r="L206" s="6" t="str"/>
      <x:c r="M206"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207" ht="56" customHeight="1">
      <x:c r="A207" s="6" t="str">
        <x:v>R0352</x:v>
      </x:c>
      <x:c r="B207" s="6" t="str">
        <x:v>长沙市比亚迪汽车有限公司</x:v>
      </x:c>
      <x:c r="C207" s="6" t="str">
        <x:v>官方披露集团/子公司</x:v>
      </x:c>
      <x:c r="D207" s="6" t="str">
        <x:v>母子实体</x:v>
      </x:c>
      <x:c r="E207" s="6" t="str">
        <x:v>注册资本/股本</x:v>
      </x:c>
      <x:c r="F207" s="15" t="n">
        <x:v>1000000000</x:v>
      </x:c>
      <x:c r="G207" s="6" t="str">
        <x:v>人民币元</x:v>
      </x:c>
      <x:c r="H207" s="6" t="str">
        <x:v>2026-06-30</x:v>
      </x:c>
      <x:c r="I207" s="13" t="d">
        <x:v>2026-08-29T00:00:00.000Z</x:v>
      </x:c>
      <x:c r="J207" s="6" t="str">
        <x:v>F002</x:v>
      </x:c>
      <x:c r="K207" s="6" t="str">
        <x:v>官方披露已核验</x:v>
      </x:c>
      <x:c r="L207" s="6" t="str"/>
      <x:c r="M207"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sheetData>
  <x:pageMargins left="0.7" right="0.7" top="0.75" bottom="0.75" header="0.3" footer="0.3"/>
  <x:tableParts count="1">
    <x:tablePart xmlns:r="http://schemas.openxmlformats.org/officeDocument/2006/relationships" r:id="Rdc0efe57cb0e477d"/>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31" hidden="0" customWidth="1"/>
    <x:col min="3" max="3" width="18" hidden="0" customWidth="1"/>
    <x:col min="4" max="4" width="44" hidden="0" customWidth="1"/>
    <x:col min="5" max="5" width="31" hidden="0" customWidth="1"/>
    <x:col min="6" max="6" width="21" hidden="0" customWidth="1"/>
    <x:col min="7" max="7" width="23" hidden="0" customWidth="1"/>
    <x:col min="8" max="8" width="24" hidden="0" customWidth="1"/>
    <x:col min="9" max="9" width="23" hidden="0" customWidth="1"/>
    <x:col min="10" max="10" width="18" hidden="0" customWidth="1"/>
    <x:col min="11" max="11" width="15" hidden="0" customWidth="1"/>
    <x:col min="12" max="12" width="28" hidden="0" customWidth="1"/>
    <x:col min="13" max="13" width="70" hidden="0" customWidth="1"/>
  </x:cols>
  <x:sheetData>
    <x:row r="2" ht="26" customHeight="1">
      <x:c r="A2" s="2" t="str">
        <x:v>比亚迪财务、经营与产销指标</x:v>
      </x:c>
      <x:c r="B2" s="2"/>
      <x:c r="C2" s="2"/>
      <x:c r="D2" s="2"/>
      <x:c r="E2" s="2"/>
      <x:c r="F2" s="2"/>
      <x:c r="G2" s="2"/>
      <x:c r="H2" s="2"/>
      <x:c r="I2" s="2"/>
      <x:c r="J2" s="2"/>
      <x:c r="K2" s="2"/>
      <x:c r="L2" s="2"/>
      <x:c r="M2" s="2"/>
    </x:row>
    <x:row r="3" ht="24" customHeight="1">
      <x:c r="A3" s="3" t="str">
        <x:v>按各报告期保留；元/千元转换列示，百分数沿用原值，不跨期相加。</x:v>
      </x:c>
      <x:c r="B3" s="3"/>
      <x:c r="C3" s="3"/>
      <x:c r="D3" s="3"/>
      <x:c r="E3" s="3"/>
      <x:c r="F3" s="3"/>
      <x:c r="G3" s="3"/>
      <x:c r="H3" s="3"/>
      <x:c r="I3" s="3"/>
      <x:c r="J3" s="3"/>
      <x:c r="K3" s="3"/>
      <x:c r="L3" s="3"/>
      <x:c r="M3" s="3"/>
    </x:row>
    <x:row r="5" ht="34" customHeight="1">
      <x:c r="A5" s="10" t="str">
        <x:v>记录ID</x:v>
      </x:c>
      <x:c r="B5" s="11" t="str">
        <x:v>企业主体</x:v>
      </x:c>
      <x:c r="C5" s="11" t="str">
        <x:v>类别</x:v>
      </x:c>
      <x:c r="D5" s="11" t="str">
        <x:v>指标</x:v>
      </x:c>
      <x:c r="E5" s="11" t="str">
        <x:v>报告期或时点</x:v>
      </x:c>
      <x:c r="F5" s="11" t="str">
        <x:v>原数值</x:v>
      </x:c>
      <x:c r="G5" s="11" t="str">
        <x:v>原单位</x:v>
      </x:c>
      <x:c r="H5" s="11" t="str">
        <x:v>标准数值</x:v>
      </x:c>
      <x:c r="I5" s="11" t="str">
        <x:v>标准单位</x:v>
      </x:c>
      <x:c r="J5" s="11" t="str">
        <x:v>披露日</x:v>
      </x:c>
      <x:c r="K5" s="11" t="str">
        <x:v>来源编号</x:v>
      </x:c>
      <x:c r="L5" s="11" t="str">
        <x:v>核验状态</x:v>
      </x:c>
      <x:c r="M5" s="12" t="str">
        <x:v>统计口径</x:v>
      </x:c>
    </x:row>
    <x:row r="6" ht="40" customHeight="1">
      <x:c r="A6" s="6" t="str">
        <x:v>R0424</x:v>
      </x:c>
      <x:c r="B6" s="6" t="str">
        <x:v>比亚迪股份有限公司</x:v>
      </x:c>
      <x:c r="C6" s="6" t="str">
        <x:v>产销</x:v>
      </x:c>
      <x:c r="D6" s="6" t="str">
        <x:v>其他新能源商用车累计产量</x:v>
      </x:c>
      <x:c r="E6" s="6" t="str">
        <x:v>2026-01-01至2026-09-30</x:v>
      </x:c>
      <x:c r="F6" s="18" t="n">
        <x:v>46624</x:v>
      </x:c>
      <x:c r="G6" s="6" t="str">
        <x:v>辆</x:v>
      </x:c>
      <x:c r="H6" s="18" t="n">
        <x:v>46624</x:v>
      </x:c>
      <x:c r="I6" s="6" t="str">
        <x:v>辆</x:v>
      </x:c>
      <x:c r="J6" s="13" t="d">
        <x:v>2026-10-01T00:00:00.000Z</x:v>
      </x:c>
      <x:c r="K6" s="6" t="str">
        <x:v>F005</x:v>
      </x:c>
      <x:c r="L6" s="6" t="str">
        <x:v>官方披露已核验</x:v>
      </x:c>
      <x:c r="M6" s="6" t="str">
        <x:v>数据未经审计及审计师确认，可能调整；各子类含于总量，不能重复相加。 核查日期：2026-10-08。</x:v>
      </x:c>
    </x:row>
    <x:row r="7" ht="40" customHeight="1">
      <x:c r="A7" s="6" t="str">
        <x:v>R0426</x:v>
      </x:c>
      <x:c r="B7" s="6" t="str">
        <x:v>比亚迪股份有限公司</x:v>
      </x:c>
      <x:c r="C7" s="6" t="str">
        <x:v>产销</x:v>
      </x:c>
      <x:c r="D7" s="6" t="str">
        <x:v>其他新能源商用车累计销量</x:v>
      </x:c>
      <x:c r="E7" s="6" t="str">
        <x:v>2026-01-01至2026-09-30</x:v>
      </x:c>
      <x:c r="F7" s="18" t="n">
        <x:v>48492</x:v>
      </x:c>
      <x:c r="G7" s="6" t="str">
        <x:v>辆</x:v>
      </x:c>
      <x:c r="H7" s="18" t="n">
        <x:v>48492</x:v>
      </x:c>
      <x:c r="I7" s="6" t="str">
        <x:v>辆</x:v>
      </x:c>
      <x:c r="J7" s="13" t="d">
        <x:v>2026-10-01T00:00:00.000Z</x:v>
      </x:c>
      <x:c r="K7" s="6" t="str">
        <x:v>F005</x:v>
      </x:c>
      <x:c r="L7" s="6" t="str">
        <x:v>官方披露已核验</x:v>
      </x:c>
      <x:c r="M7" s="6" t="str">
        <x:v>数据未经审计及审计师确认，可能调整；各子类含于总量，不能重复相加。 核查日期：2026-10-08。</x:v>
      </x:c>
    </x:row>
    <x:row r="8" ht="40" customHeight="1">
      <x:c r="A8" s="6" t="str">
        <x:v>R0412</x:v>
      </x:c>
      <x:c r="B8" s="6" t="str">
        <x:v>比亚迪股份有限公司</x:v>
      </x:c>
      <x:c r="C8" s="6" t="str">
        <x:v>产销</x:v>
      </x:c>
      <x:c r="D8" s="6" t="str">
        <x:v>插电混动乘用车累计产量</x:v>
      </x:c>
      <x:c r="E8" s="6" t="str">
        <x:v>2026-01-01至2026-09-30</x:v>
      </x:c>
      <x:c r="F8" s="18" t="n">
        <x:v>1451767</x:v>
      </x:c>
      <x:c r="G8" s="6" t="str">
        <x:v>辆</x:v>
      </x:c>
      <x:c r="H8" s="18" t="n">
        <x:v>1451767</x:v>
      </x:c>
      <x:c r="I8" s="6" t="str">
        <x:v>辆</x:v>
      </x:c>
      <x:c r="J8" s="13" t="d">
        <x:v>2026-10-01T00:00:00.000Z</x:v>
      </x:c>
      <x:c r="K8" s="6" t="str">
        <x:v>F005</x:v>
      </x:c>
      <x:c r="L8" s="6" t="str">
        <x:v>官方披露已核验</x:v>
      </x:c>
      <x:c r="M8" s="6" t="str">
        <x:v>数据未经审计及审计师确认，可能调整；各子类含于总量，不能重复相加。 核查日期：2026-10-08。</x:v>
      </x:c>
    </x:row>
    <x:row r="9" ht="40" customHeight="1">
      <x:c r="A9" s="6" t="str">
        <x:v>R0414</x:v>
      </x:c>
      <x:c r="B9" s="6" t="str">
        <x:v>比亚迪股份有限公司</x:v>
      </x:c>
      <x:c r="C9" s="6" t="str">
        <x:v>产销</x:v>
      </x:c>
      <x:c r="D9" s="6" t="str">
        <x:v>插电混动乘用车累计销量</x:v>
      </x:c>
      <x:c r="E9" s="6" t="str">
        <x:v>2026-01-01至2026-09-30</x:v>
      </x:c>
      <x:c r="F9" s="18" t="n">
        <x:v>1448587</x:v>
      </x:c>
      <x:c r="G9" s="6" t="str">
        <x:v>辆</x:v>
      </x:c>
      <x:c r="H9" s="18" t="n">
        <x:v>1448587</x:v>
      </x:c>
      <x:c r="I9" s="6" t="str">
        <x:v>辆</x:v>
      </x:c>
      <x:c r="J9" s="13" t="d">
        <x:v>2026-10-01T00:00:00.000Z</x:v>
      </x:c>
      <x:c r="K9" s="6" t="str">
        <x:v>F005</x:v>
      </x:c>
      <x:c r="L9" s="6" t="str">
        <x:v>官方披露已核验</x:v>
      </x:c>
      <x:c r="M9" s="6" t="str">
        <x:v>数据未经审计及审计师确认，可能调整；各子类含于总量，不能重复相加。 核查日期：2026-10-08。</x:v>
      </x:c>
    </x:row>
    <x:row r="10" ht="40" customHeight="1">
      <x:c r="A10" s="6" t="str">
        <x:v>R0404</x:v>
      </x:c>
      <x:c r="B10" s="6" t="str">
        <x:v>比亚迪股份有限公司</x:v>
      </x:c>
      <x:c r="C10" s="6" t="str">
        <x:v>产销</x:v>
      </x:c>
      <x:c r="D10" s="6" t="str">
        <x:v>新能源乘用车累计产量</x:v>
      </x:c>
      <x:c r="E10" s="6" t="str">
        <x:v>2026-01-01至2026-09-30</x:v>
      </x:c>
      <x:c r="F10" s="18" t="n">
        <x:v>3087782</x:v>
      </x:c>
      <x:c r="G10" s="6" t="str">
        <x:v>辆</x:v>
      </x:c>
      <x:c r="H10" s="18" t="n">
        <x:v>3087782</x:v>
      </x:c>
      <x:c r="I10" s="6" t="str">
        <x:v>辆</x:v>
      </x:c>
      <x:c r="J10" s="13" t="d">
        <x:v>2026-10-01T00:00:00.000Z</x:v>
      </x:c>
      <x:c r="K10" s="6" t="str">
        <x:v>F005</x:v>
      </x:c>
      <x:c r="L10" s="6" t="str">
        <x:v>官方披露已核验</x:v>
      </x:c>
      <x:c r="M10" s="6" t="str">
        <x:v>数据未经审计及审计师确认，可能调整；各子类含于总量，不能重复相加。 核查日期：2026-10-08。</x:v>
      </x:c>
    </x:row>
    <x:row r="11" ht="40" customHeight="1">
      <x:c r="A11" s="6" t="str">
        <x:v>R0406</x:v>
      </x:c>
      <x:c r="B11" s="6" t="str">
        <x:v>比亚迪股份有限公司</x:v>
      </x:c>
      <x:c r="C11" s="6" t="str">
        <x:v>产销</x:v>
      </x:c>
      <x:c r="D11" s="6" t="str">
        <x:v>新能源乘用车累计销量</x:v>
      </x:c>
      <x:c r="E11" s="6" t="str">
        <x:v>2026-01-01至2026-09-30</x:v>
      </x:c>
      <x:c r="F11" s="18" t="n">
        <x:v>3078544</x:v>
      </x:c>
      <x:c r="G11" s="6" t="str">
        <x:v>辆</x:v>
      </x:c>
      <x:c r="H11" s="18" t="n">
        <x:v>3078544</x:v>
      </x:c>
      <x:c r="I11" s="6" t="str">
        <x:v>辆</x:v>
      </x:c>
      <x:c r="J11" s="13" t="d">
        <x:v>2026-10-01T00:00:00.000Z</x:v>
      </x:c>
      <x:c r="K11" s="6" t="str">
        <x:v>F005</x:v>
      </x:c>
      <x:c r="L11" s="6" t="str">
        <x:v>官方披露已核验</x:v>
      </x:c>
      <x:c r="M11" s="6" t="str">
        <x:v>数据未经审计及审计师确认，可能调整；各子类含于总量，不能重复相加。 核查日期：2026-10-08。</x:v>
      </x:c>
    </x:row>
    <x:row r="12" ht="40" customHeight="1">
      <x:c r="A12" s="6" t="str">
        <x:v>R0416</x:v>
      </x:c>
      <x:c r="B12" s="6" t="str">
        <x:v>比亚迪股份有限公司</x:v>
      </x:c>
      <x:c r="C12" s="6" t="str">
        <x:v>产销</x:v>
      </x:c>
      <x:c r="D12" s="6" t="str">
        <x:v>新能源商用车累计产量</x:v>
      </x:c>
      <x:c r="E12" s="6" t="str">
        <x:v>2026-01-01至2026-09-30</x:v>
      </x:c>
      <x:c r="F12" s="18" t="n">
        <x:v>51164</x:v>
      </x:c>
      <x:c r="G12" s="6" t="str">
        <x:v>辆</x:v>
      </x:c>
      <x:c r="H12" s="18" t="n">
        <x:v>51164</x:v>
      </x:c>
      <x:c r="I12" s="6" t="str">
        <x:v>辆</x:v>
      </x:c>
      <x:c r="J12" s="13" t="d">
        <x:v>2026-10-01T00:00:00.000Z</x:v>
      </x:c>
      <x:c r="K12" s="6" t="str">
        <x:v>F005</x:v>
      </x:c>
      <x:c r="L12" s="6" t="str">
        <x:v>官方披露已核验</x:v>
      </x:c>
      <x:c r="M12" s="6" t="str">
        <x:v>数据未经审计及审计师确认，可能调整；各子类含于总量，不能重复相加。 核查日期：2026-10-08。</x:v>
      </x:c>
    </x:row>
    <x:row r="13" ht="40" customHeight="1">
      <x:c r="A13" s="6" t="str">
        <x:v>R0418</x:v>
      </x:c>
      <x:c r="B13" s="6" t="str">
        <x:v>比亚迪股份有限公司</x:v>
      </x:c>
      <x:c r="C13" s="6" t="str">
        <x:v>产销</x:v>
      </x:c>
      <x:c r="D13" s="6" t="str">
        <x:v>新能源商用车累计销量</x:v>
      </x:c>
      <x:c r="E13" s="6" t="str">
        <x:v>2026-01-01至2026-09-30</x:v>
      </x:c>
      <x:c r="F13" s="18" t="n">
        <x:v>53032</x:v>
      </x:c>
      <x:c r="G13" s="6" t="str">
        <x:v>辆</x:v>
      </x:c>
      <x:c r="H13" s="18" t="n">
        <x:v>53032</x:v>
      </x:c>
      <x:c r="I13" s="6" t="str">
        <x:v>辆</x:v>
      </x:c>
      <x:c r="J13" s="13" t="d">
        <x:v>2026-10-01T00:00:00.000Z</x:v>
      </x:c>
      <x:c r="K13" s="6" t="str">
        <x:v>F005</x:v>
      </x:c>
      <x:c r="L13" s="6" t="str">
        <x:v>官方披露已核验</x:v>
      </x:c>
      <x:c r="M13" s="6" t="str">
        <x:v>数据未经审计及审计师确认，可能调整；各子类含于总量，不能重复相加。 核查日期：2026-10-08。</x:v>
      </x:c>
    </x:row>
    <x:row r="14" ht="40" customHeight="1">
      <x:c r="A14" s="6" t="str">
        <x:v>R0420</x:v>
      </x:c>
      <x:c r="B14" s="6" t="str">
        <x:v>比亚迪股份有限公司</x:v>
      </x:c>
      <x:c r="C14" s="6" t="str">
        <x:v>产销</x:v>
      </x:c>
      <x:c r="D14" s="6" t="str">
        <x:v>新能源客车累计产量</x:v>
      </x:c>
      <x:c r="E14" s="6" t="str">
        <x:v>2026-01-01至2026-09-30</x:v>
      </x:c>
      <x:c r="F14" s="18" t="n">
        <x:v>4540</x:v>
      </x:c>
      <x:c r="G14" s="6" t="str">
        <x:v>辆</x:v>
      </x:c>
      <x:c r="H14" s="18" t="n">
        <x:v>4540</x:v>
      </x:c>
      <x:c r="I14" s="6" t="str">
        <x:v>辆</x:v>
      </x:c>
      <x:c r="J14" s="13" t="d">
        <x:v>2026-10-01T00:00:00.000Z</x:v>
      </x:c>
      <x:c r="K14" s="6" t="str">
        <x:v>F005</x:v>
      </x:c>
      <x:c r="L14" s="6" t="str">
        <x:v>官方披露已核验</x:v>
      </x:c>
      <x:c r="M14" s="6" t="str">
        <x:v>数据未经审计及审计师确认，可能调整；各子类含于总量，不能重复相加。 核查日期：2026-10-08。</x:v>
      </x:c>
    </x:row>
    <x:row r="15" ht="40" customHeight="1">
      <x:c r="A15" s="6" t="str">
        <x:v>R0422</x:v>
      </x:c>
      <x:c r="B15" s="6" t="str">
        <x:v>比亚迪股份有限公司</x:v>
      </x:c>
      <x:c r="C15" s="6" t="str">
        <x:v>产销</x:v>
      </x:c>
      <x:c r="D15" s="6" t="str">
        <x:v>新能源客车累计销量</x:v>
      </x:c>
      <x:c r="E15" s="6" t="str">
        <x:v>2026-01-01至2026-09-30</x:v>
      </x:c>
      <x:c r="F15" s="18" t="n">
        <x:v>4540</x:v>
      </x:c>
      <x:c r="G15" s="6" t="str">
        <x:v>辆</x:v>
      </x:c>
      <x:c r="H15" s="18" t="n">
        <x:v>4540</x:v>
      </x:c>
      <x:c r="I15" s="6" t="str">
        <x:v>辆</x:v>
      </x:c>
      <x:c r="J15" s="13" t="d">
        <x:v>2026-10-01T00:00:00.000Z</x:v>
      </x:c>
      <x:c r="K15" s="6" t="str">
        <x:v>F005</x:v>
      </x:c>
      <x:c r="L15" s="6" t="str">
        <x:v>官方披露已核验</x:v>
      </x:c>
      <x:c r="M15" s="6" t="str">
        <x:v>数据未经审计及审计师确认，可能调整；各子类含于总量，不能重复相加。 核查日期：2026-10-08。</x:v>
      </x:c>
    </x:row>
    <x:row r="16" ht="40" customHeight="1">
      <x:c r="A16" s="6" t="str">
        <x:v>R0400</x:v>
      </x:c>
      <x:c r="B16" s="6" t="str">
        <x:v>比亚迪股份有限公司</x:v>
      </x:c>
      <x:c r="C16" s="6" t="str">
        <x:v>产销</x:v>
      </x:c>
      <x:c r="D16" s="6" t="str">
        <x:v>新能源汽车累计产量</x:v>
      </x:c>
      <x:c r="E16" s="6" t="str">
        <x:v>2026-01-01至2026-09-30</x:v>
      </x:c>
      <x:c r="F16" s="18" t="n">
        <x:v>3138946</x:v>
      </x:c>
      <x:c r="G16" s="6" t="str">
        <x:v>辆</x:v>
      </x:c>
      <x:c r="H16" s="18" t="n">
        <x:v>3138946</x:v>
      </x:c>
      <x:c r="I16" s="6" t="str">
        <x:v>辆</x:v>
      </x:c>
      <x:c r="J16" s="13" t="d">
        <x:v>2026-10-01T00:00:00.000Z</x:v>
      </x:c>
      <x:c r="K16" s="6" t="str">
        <x:v>F005</x:v>
      </x:c>
      <x:c r="L16" s="6" t="str">
        <x:v>官方披露已核验</x:v>
      </x:c>
      <x:c r="M16" s="6" t="str">
        <x:v>数据未经审计及审计师确认，可能调整；各子类含于总量，不能重复相加。 核查日期：2026-10-08。</x:v>
      </x:c>
    </x:row>
    <x:row r="17" ht="40" customHeight="1">
      <x:c r="A17" s="6" t="str">
        <x:v>R0428</x:v>
      </x:c>
      <x:c r="B17" s="6" t="str">
        <x:v>比亚迪股份有限公司</x:v>
      </x:c>
      <x:c r="C17" s="6" t="str">
        <x:v>产销</x:v>
      </x:c>
      <x:c r="D17" s="6" t="str">
        <x:v>新能源汽车累计产量同比</x:v>
      </x:c>
      <x:c r="E17" s="6" t="str">
        <x:v>2026-01-01至2026-09-30</x:v>
      </x:c>
      <x:c r="F17" s="17" t="n">
        <x:v>-2.32</x:v>
      </x:c>
      <x:c r="G17" s="6" t="str">
        <x:v>%</x:v>
      </x:c>
      <x:c r="H17" s="17" t="n">
        <x:v>-2.32</x:v>
      </x:c>
      <x:c r="I17" s="6" t="str">
        <x:v>%</x:v>
      </x:c>
      <x:c r="J17" s="13" t="d">
        <x:v>2026-10-01T00:00:00.000Z</x:v>
      </x:c>
      <x:c r="K17" s="6" t="str">
        <x:v>F005</x:v>
      </x:c>
      <x:c r="L17" s="6" t="str">
        <x:v>官方披露已核验</x:v>
      </x:c>
      <x:c r="M17" s="6" t="str">
        <x:v>未经审计。 核查日期：2026-10-08。</x:v>
      </x:c>
    </x:row>
    <x:row r="18" ht="40" customHeight="1">
      <x:c r="A18" s="6" t="str">
        <x:v>R0402</x:v>
      </x:c>
      <x:c r="B18" s="6" t="str">
        <x:v>比亚迪股份有限公司</x:v>
      </x:c>
      <x:c r="C18" s="6" t="str">
        <x:v>产销</x:v>
      </x:c>
      <x:c r="D18" s="6" t="str">
        <x:v>新能源汽车累计销量</x:v>
      </x:c>
      <x:c r="E18" s="6" t="str">
        <x:v>2026-01-01至2026-09-30</x:v>
      </x:c>
      <x:c r="F18" s="18" t="n">
        <x:v>3131576</x:v>
      </x:c>
      <x:c r="G18" s="6" t="str">
        <x:v>辆</x:v>
      </x:c>
      <x:c r="H18" s="18" t="n">
        <x:v>3131576</x:v>
      </x:c>
      <x:c r="I18" s="6" t="str">
        <x:v>辆</x:v>
      </x:c>
      <x:c r="J18" s="13" t="d">
        <x:v>2026-10-01T00:00:00.000Z</x:v>
      </x:c>
      <x:c r="K18" s="6" t="str">
        <x:v>F005</x:v>
      </x:c>
      <x:c r="L18" s="6" t="str">
        <x:v>官方披露已核验</x:v>
      </x:c>
      <x:c r="M18" s="6" t="str">
        <x:v>数据未经审计及审计师确认，可能调整；各子类含于总量，不能重复相加。 核查日期：2026-10-08。</x:v>
      </x:c>
    </x:row>
    <x:row r="19" ht="40" customHeight="1">
      <x:c r="A19" s="6" t="str">
        <x:v>R0429</x:v>
      </x:c>
      <x:c r="B19" s="6" t="str">
        <x:v>比亚迪股份有限公司</x:v>
      </x:c>
      <x:c r="C19" s="6" t="str">
        <x:v>产销</x:v>
      </x:c>
      <x:c r="D19" s="6" t="str">
        <x:v>新能源汽车累计销量同比</x:v>
      </x:c>
      <x:c r="E19" s="6" t="str">
        <x:v>2026-01-01至2026-09-30</x:v>
      </x:c>
      <x:c r="F19" s="17" t="n">
        <x:v>-3.94</x:v>
      </x:c>
      <x:c r="G19" s="6" t="str">
        <x:v>%</x:v>
      </x:c>
      <x:c r="H19" s="17" t="n">
        <x:v>-3.94</x:v>
      </x:c>
      <x:c r="I19" s="6" t="str">
        <x:v>%</x:v>
      </x:c>
      <x:c r="J19" s="13" t="d">
        <x:v>2026-10-01T00:00:00.000Z</x:v>
      </x:c>
      <x:c r="K19" s="6" t="str">
        <x:v>F005</x:v>
      </x:c>
      <x:c r="L19" s="6" t="str">
        <x:v>官方披露已核验</x:v>
      </x:c>
      <x:c r="M19" s="6" t="str">
        <x:v>未经审计。 核查日期：2026-10-08。</x:v>
      </x:c>
    </x:row>
    <x:row r="20" ht="40" customHeight="1">
      <x:c r="A20" s="6" t="str">
        <x:v>R0408</x:v>
      </x:c>
      <x:c r="B20" s="6" t="str">
        <x:v>比亚迪股份有限公司</x:v>
      </x:c>
      <x:c r="C20" s="6" t="str">
        <x:v>产销</x:v>
      </x:c>
      <x:c r="D20" s="6" t="str">
        <x:v>纯电动乘用车累计产量</x:v>
      </x:c>
      <x:c r="E20" s="6" t="str">
        <x:v>2026-01-01至2026-09-30</x:v>
      </x:c>
      <x:c r="F20" s="18" t="n">
        <x:v>1636015</x:v>
      </x:c>
      <x:c r="G20" s="6" t="str">
        <x:v>辆</x:v>
      </x:c>
      <x:c r="H20" s="18" t="n">
        <x:v>1636015</x:v>
      </x:c>
      <x:c r="I20" s="6" t="str">
        <x:v>辆</x:v>
      </x:c>
      <x:c r="J20" s="13" t="d">
        <x:v>2026-10-01T00:00:00.000Z</x:v>
      </x:c>
      <x:c r="K20" s="6" t="str">
        <x:v>F005</x:v>
      </x:c>
      <x:c r="L20" s="6" t="str">
        <x:v>官方披露已核验</x:v>
      </x:c>
      <x:c r="M20" s="6" t="str">
        <x:v>数据未经审计及审计师确认，可能调整；各子类含于总量，不能重复相加。 核查日期：2026-10-08。</x:v>
      </x:c>
    </x:row>
    <x:row r="21" ht="40" customHeight="1">
      <x:c r="A21" s="6" t="str">
        <x:v>R0410</x:v>
      </x:c>
      <x:c r="B21" s="6" t="str">
        <x:v>比亚迪股份有限公司</x:v>
      </x:c>
      <x:c r="C21" s="6" t="str">
        <x:v>产销</x:v>
      </x:c>
      <x:c r="D21" s="6" t="str">
        <x:v>纯电动乘用车累计销量</x:v>
      </x:c>
      <x:c r="E21" s="6" t="str">
        <x:v>2026-01-01至2026-09-30</x:v>
      </x:c>
      <x:c r="F21" s="18" t="n">
        <x:v>1629957</x:v>
      </x:c>
      <x:c r="G21" s="6" t="str">
        <x:v>辆</x:v>
      </x:c>
      <x:c r="H21" s="18" t="n">
        <x:v>1629957</x:v>
      </x:c>
      <x:c r="I21" s="6" t="str">
        <x:v>辆</x:v>
      </x:c>
      <x:c r="J21" s="13" t="d">
        <x:v>2026-10-01T00:00:00.000Z</x:v>
      </x:c>
      <x:c r="K21" s="6" t="str">
        <x:v>F005</x:v>
      </x:c>
      <x:c r="L21" s="6" t="str">
        <x:v>官方披露已核验</x:v>
      </x:c>
      <x:c r="M21" s="6" t="str">
        <x:v>数据未经审计及审计师确认，可能调整；各子类含于总量，不能重复相加。 核查日期：2026-10-08。</x:v>
      </x:c>
    </x:row>
    <x:row r="22" ht="40" customHeight="1">
      <x:c r="A22" s="6" t="str">
        <x:v>R0423</x:v>
      </x:c>
      <x:c r="B22" s="6" t="str">
        <x:v>比亚迪股份有限公司</x:v>
      </x:c>
      <x:c r="C22" s="6" t="str">
        <x:v>产销</x:v>
      </x:c>
      <x:c r="D22" s="6" t="str">
        <x:v>其他新能源商用车产量</x:v>
      </x:c>
      <x:c r="E22" s="6" t="str">
        <x:v>2026-09-01至2026-09-30</x:v>
      </x:c>
      <x:c r="F22" s="18" t="n">
        <x:v>4957</x:v>
      </x:c>
      <x:c r="G22" s="6" t="str">
        <x:v>辆</x:v>
      </x:c>
      <x:c r="H22" s="18" t="n">
        <x:v>4957</x:v>
      </x:c>
      <x:c r="I22" s="6" t="str">
        <x:v>辆</x:v>
      </x:c>
      <x:c r="J22" s="13" t="d">
        <x:v>2026-10-01T00:00:00.000Z</x:v>
      </x:c>
      <x:c r="K22" s="6" t="str">
        <x:v>F005</x:v>
      </x:c>
      <x:c r="L22" s="6" t="str">
        <x:v>官方披露已核验</x:v>
      </x:c>
      <x:c r="M22" s="6" t="str">
        <x:v>数据未经审计及审计师确认，可能调整；各子类含于总量，不能重复相加。 核查日期：2026-10-08。</x:v>
      </x:c>
    </x:row>
    <x:row r="23" ht="40" customHeight="1">
      <x:c r="A23" s="6" t="str">
        <x:v>R0425</x:v>
      </x:c>
      <x:c r="B23" s="6" t="str">
        <x:v>比亚迪股份有限公司</x:v>
      </x:c>
      <x:c r="C23" s="6" t="str">
        <x:v>产销</x:v>
      </x:c>
      <x:c r="D23" s="6" t="str">
        <x:v>其他新能源商用车销量</x:v>
      </x:c>
      <x:c r="E23" s="6" t="str">
        <x:v>2026-09-01至2026-09-30</x:v>
      </x:c>
      <x:c r="F23" s="18" t="n">
        <x:v>6057</x:v>
      </x:c>
      <x:c r="G23" s="6" t="str">
        <x:v>辆</x:v>
      </x:c>
      <x:c r="H23" s="18" t="n">
        <x:v>6057</x:v>
      </x:c>
      <x:c r="I23" s="6" t="str">
        <x:v>辆</x:v>
      </x:c>
      <x:c r="J23" s="13" t="d">
        <x:v>2026-10-01T00:00:00.000Z</x:v>
      </x:c>
      <x:c r="K23" s="6" t="str">
        <x:v>F005</x:v>
      </x:c>
      <x:c r="L23" s="6" t="str">
        <x:v>官方披露已核验</x:v>
      </x:c>
      <x:c r="M23" s="6" t="str">
        <x:v>数据未经审计及审计师确认，可能调整；各子类含于总量，不能重复相加。 核查日期：2026-10-08。</x:v>
      </x:c>
    </x:row>
    <x:row r="24" ht="40" customHeight="1">
      <x:c r="A24" s="6" t="str">
        <x:v>R0411</x:v>
      </x:c>
      <x:c r="B24" s="6" t="str">
        <x:v>比亚迪股份有限公司</x:v>
      </x:c>
      <x:c r="C24" s="6" t="str">
        <x:v>产销</x:v>
      </x:c>
      <x:c r="D24" s="6" t="str">
        <x:v>插电混动乘用车产量</x:v>
      </x:c>
      <x:c r="E24" s="6" t="str">
        <x:v>2026-09-01至2026-09-30</x:v>
      </x:c>
      <x:c r="F24" s="18" t="n">
        <x:v>183713</x:v>
      </x:c>
      <x:c r="G24" s="6" t="str">
        <x:v>辆</x:v>
      </x:c>
      <x:c r="H24" s="18" t="n">
        <x:v>183713</x:v>
      </x:c>
      <x:c r="I24" s="6" t="str">
        <x:v>辆</x:v>
      </x:c>
      <x:c r="J24" s="13" t="d">
        <x:v>2026-10-01T00:00:00.000Z</x:v>
      </x:c>
      <x:c r="K24" s="6" t="str">
        <x:v>F005</x:v>
      </x:c>
      <x:c r="L24" s="6" t="str">
        <x:v>官方披露已核验</x:v>
      </x:c>
      <x:c r="M24" s="6" t="str">
        <x:v>数据未经审计及审计师确认，可能调整；各子类含于总量，不能重复相加。 核查日期：2026-10-08。</x:v>
      </x:c>
    </x:row>
    <x:row r="25" ht="40" customHeight="1">
      <x:c r="A25" s="6" t="str">
        <x:v>R0413</x:v>
      </x:c>
      <x:c r="B25" s="6" t="str">
        <x:v>比亚迪股份有限公司</x:v>
      </x:c>
      <x:c r="C25" s="6" t="str">
        <x:v>产销</x:v>
      </x:c>
      <x:c r="D25" s="6" t="str">
        <x:v>插电混动乘用车销量</x:v>
      </x:c>
      <x:c r="E25" s="6" t="str">
        <x:v>2026-09-01至2026-09-30</x:v>
      </x:c>
      <x:c r="F25" s="18" t="n">
        <x:v>183570</x:v>
      </x:c>
      <x:c r="G25" s="6" t="str">
        <x:v>辆</x:v>
      </x:c>
      <x:c r="H25" s="18" t="n">
        <x:v>183570</x:v>
      </x:c>
      <x:c r="I25" s="6" t="str">
        <x:v>辆</x:v>
      </x:c>
      <x:c r="J25" s="13" t="d">
        <x:v>2026-10-01T00:00:00.000Z</x:v>
      </x:c>
      <x:c r="K25" s="6" t="str">
        <x:v>F005</x:v>
      </x:c>
      <x:c r="L25" s="6" t="str">
        <x:v>官方披露已核验</x:v>
      </x:c>
      <x:c r="M25" s="6" t="str">
        <x:v>数据未经审计及审计师确认，可能调整；各子类含于总量，不能重复相加。 核查日期：2026-10-08。</x:v>
      </x:c>
    </x:row>
    <x:row r="26" ht="40" customHeight="1">
      <x:c r="A26" s="6" t="str">
        <x:v>R0403</x:v>
      </x:c>
      <x:c r="B26" s="6" t="str">
        <x:v>比亚迪股份有限公司</x:v>
      </x:c>
      <x:c r="C26" s="6" t="str">
        <x:v>产销</x:v>
      </x:c>
      <x:c r="D26" s="6" t="str">
        <x:v>新能源乘用车产量</x:v>
      </x:c>
      <x:c r="E26" s="6" t="str">
        <x:v>2026-09-01至2026-09-30</x:v>
      </x:c>
      <x:c r="F26" s="18" t="n">
        <x:v>458116</x:v>
      </x:c>
      <x:c r="G26" s="6" t="str">
        <x:v>辆</x:v>
      </x:c>
      <x:c r="H26" s="18" t="n">
        <x:v>458116</x:v>
      </x:c>
      <x:c r="I26" s="6" t="str">
        <x:v>辆</x:v>
      </x:c>
      <x:c r="J26" s="13" t="d">
        <x:v>2026-10-01T00:00:00.000Z</x:v>
      </x:c>
      <x:c r="K26" s="6" t="str">
        <x:v>F005</x:v>
      </x:c>
      <x:c r="L26" s="6" t="str">
        <x:v>官方披露已核验</x:v>
      </x:c>
      <x:c r="M26" s="6" t="str">
        <x:v>数据未经审计及审计师确认，可能调整；各子类含于总量，不能重复相加。 核查日期：2026-10-08。</x:v>
      </x:c>
    </x:row>
    <x:row r="27" ht="40" customHeight="1">
      <x:c r="A27" s="6" t="str">
        <x:v>R0405</x:v>
      </x:c>
      <x:c r="B27" s="6" t="str">
        <x:v>比亚迪股份有限公司</x:v>
      </x:c>
      <x:c r="C27" s="6" t="str">
        <x:v>产销</x:v>
      </x:c>
      <x:c r="D27" s="6" t="str">
        <x:v>新能源乘用车销量</x:v>
      </x:c>
      <x:c r="E27" s="6" t="str">
        <x:v>2026-09-01至2026-09-30</x:v>
      </x:c>
      <x:c r="F27" s="18" t="n">
        <x:v>456713</x:v>
      </x:c>
      <x:c r="G27" s="6" t="str">
        <x:v>辆</x:v>
      </x:c>
      <x:c r="H27" s="18" t="n">
        <x:v>456713</x:v>
      </x:c>
      <x:c r="I27" s="6" t="str">
        <x:v>辆</x:v>
      </x:c>
      <x:c r="J27" s="13" t="d">
        <x:v>2026-10-01T00:00:00.000Z</x:v>
      </x:c>
      <x:c r="K27" s="6" t="str">
        <x:v>F005</x:v>
      </x:c>
      <x:c r="L27" s="6" t="str">
        <x:v>官方披露已核验</x:v>
      </x:c>
      <x:c r="M27" s="6" t="str">
        <x:v>数据未经审计及审计师确认，可能调整；各子类含于总量，不能重复相加。 核查日期：2026-10-08。</x:v>
      </x:c>
    </x:row>
    <x:row r="28" ht="40" customHeight="1">
      <x:c r="A28" s="6" t="str">
        <x:v>R0415</x:v>
      </x:c>
      <x:c r="B28" s="6" t="str">
        <x:v>比亚迪股份有限公司</x:v>
      </x:c>
      <x:c r="C28" s="6" t="str">
        <x:v>产销</x:v>
      </x:c>
      <x:c r="D28" s="6" t="str">
        <x:v>新能源商用车产量</x:v>
      </x:c>
      <x:c r="E28" s="6" t="str">
        <x:v>2026-09-01至2026-09-30</x:v>
      </x:c>
      <x:c r="F28" s="18" t="n">
        <x:v>5748</x:v>
      </x:c>
      <x:c r="G28" s="6" t="str">
        <x:v>辆</x:v>
      </x:c>
      <x:c r="H28" s="18" t="n">
        <x:v>5748</x:v>
      </x:c>
      <x:c r="I28" s="6" t="str">
        <x:v>辆</x:v>
      </x:c>
      <x:c r="J28" s="13" t="d">
        <x:v>2026-10-01T00:00:00.000Z</x:v>
      </x:c>
      <x:c r="K28" s="6" t="str">
        <x:v>F005</x:v>
      </x:c>
      <x:c r="L28" s="6" t="str">
        <x:v>官方披露已核验</x:v>
      </x:c>
      <x:c r="M28" s="6" t="str">
        <x:v>数据未经审计及审计师确认，可能调整；各子类含于总量，不能重复相加。 核查日期：2026-10-08。</x:v>
      </x:c>
    </x:row>
    <x:row r="29" ht="40" customHeight="1">
      <x:c r="A29" s="6" t="str">
        <x:v>R0417</x:v>
      </x:c>
      <x:c r="B29" s="6" t="str">
        <x:v>比亚迪股份有限公司</x:v>
      </x:c>
      <x:c r="C29" s="6" t="str">
        <x:v>产销</x:v>
      </x:c>
      <x:c r="D29" s="6" t="str">
        <x:v>新能源商用车销量</x:v>
      </x:c>
      <x:c r="E29" s="6" t="str">
        <x:v>2026-09-01至2026-09-30</x:v>
      </x:c>
      <x:c r="F29" s="18" t="n">
        <x:v>6848</x:v>
      </x:c>
      <x:c r="G29" s="6" t="str">
        <x:v>辆</x:v>
      </x:c>
      <x:c r="H29" s="18" t="n">
        <x:v>6848</x:v>
      </x:c>
      <x:c r="I29" s="6" t="str">
        <x:v>辆</x:v>
      </x:c>
      <x:c r="J29" s="13" t="d">
        <x:v>2026-10-01T00:00:00.000Z</x:v>
      </x:c>
      <x:c r="K29" s="6" t="str">
        <x:v>F005</x:v>
      </x:c>
      <x:c r="L29" s="6" t="str">
        <x:v>官方披露已核验</x:v>
      </x:c>
      <x:c r="M29" s="6" t="str">
        <x:v>数据未经审计及审计师确认，可能调整；各子类含于总量，不能重复相加。 核查日期：2026-10-08。</x:v>
      </x:c>
    </x:row>
    <x:row r="30" ht="40" customHeight="1">
      <x:c r="A30" s="6" t="str">
        <x:v>R0419</x:v>
      </x:c>
      <x:c r="B30" s="6" t="str">
        <x:v>比亚迪股份有限公司</x:v>
      </x:c>
      <x:c r="C30" s="6" t="str">
        <x:v>产销</x:v>
      </x:c>
      <x:c r="D30" s="6" t="str">
        <x:v>新能源客车产量</x:v>
      </x:c>
      <x:c r="E30" s="6" t="str">
        <x:v>2026-09-01至2026-09-30</x:v>
      </x:c>
      <x:c r="F30" s="18" t="n">
        <x:v>791</x:v>
      </x:c>
      <x:c r="G30" s="6" t="str">
        <x:v>辆</x:v>
      </x:c>
      <x:c r="H30" s="18" t="n">
        <x:v>791</x:v>
      </x:c>
      <x:c r="I30" s="6" t="str">
        <x:v>辆</x:v>
      </x:c>
      <x:c r="J30" s="13" t="d">
        <x:v>2026-10-01T00:00:00.000Z</x:v>
      </x:c>
      <x:c r="K30" s="6" t="str">
        <x:v>F005</x:v>
      </x:c>
      <x:c r="L30" s="6" t="str">
        <x:v>官方披露已核验</x:v>
      </x:c>
      <x:c r="M30" s="6" t="str">
        <x:v>数据未经审计及审计师确认，可能调整；各子类含于总量，不能重复相加。 核查日期：2026-10-08。</x:v>
      </x:c>
    </x:row>
    <x:row r="31" ht="40" customHeight="1">
      <x:c r="A31" s="6" t="str">
        <x:v>R0421</x:v>
      </x:c>
      <x:c r="B31" s="6" t="str">
        <x:v>比亚迪股份有限公司</x:v>
      </x:c>
      <x:c r="C31" s="6" t="str">
        <x:v>产销</x:v>
      </x:c>
      <x:c r="D31" s="6" t="str">
        <x:v>新能源客车销量</x:v>
      </x:c>
      <x:c r="E31" s="6" t="str">
        <x:v>2026-09-01至2026-09-30</x:v>
      </x:c>
      <x:c r="F31" s="18" t="n">
        <x:v>791</x:v>
      </x:c>
      <x:c r="G31" s="6" t="str">
        <x:v>辆</x:v>
      </x:c>
      <x:c r="H31" s="18" t="n">
        <x:v>791</x:v>
      </x:c>
      <x:c r="I31" s="6" t="str">
        <x:v>辆</x:v>
      </x:c>
      <x:c r="J31" s="13" t="d">
        <x:v>2026-10-01T00:00:00.000Z</x:v>
      </x:c>
      <x:c r="K31" s="6" t="str">
        <x:v>F005</x:v>
      </x:c>
      <x:c r="L31" s="6" t="str">
        <x:v>官方披露已核验</x:v>
      </x:c>
      <x:c r="M31" s="6" t="str">
        <x:v>数据未经审计及审计师确认，可能调整；各子类含于总量，不能重复相加。 核查日期：2026-10-08。</x:v>
      </x:c>
    </x:row>
    <x:row r="32" ht="40" customHeight="1">
      <x:c r="A32" s="6" t="str">
        <x:v>R0399</x:v>
      </x:c>
      <x:c r="B32" s="6" t="str">
        <x:v>比亚迪股份有限公司</x:v>
      </x:c>
      <x:c r="C32" s="6" t="str">
        <x:v>产销</x:v>
      </x:c>
      <x:c r="D32" s="6" t="str">
        <x:v>新能源汽车产量</x:v>
      </x:c>
      <x:c r="E32" s="6" t="str">
        <x:v>2026-09-01至2026-09-30</x:v>
      </x:c>
      <x:c r="F32" s="18" t="n">
        <x:v>463864</x:v>
      </x:c>
      <x:c r="G32" s="6" t="str">
        <x:v>辆</x:v>
      </x:c>
      <x:c r="H32" s="18" t="n">
        <x:v>463864</x:v>
      </x:c>
      <x:c r="I32" s="6" t="str">
        <x:v>辆</x:v>
      </x:c>
      <x:c r="J32" s="13" t="d">
        <x:v>2026-10-01T00:00:00.000Z</x:v>
      </x:c>
      <x:c r="K32" s="6" t="str">
        <x:v>F005</x:v>
      </x:c>
      <x:c r="L32" s="6" t="str">
        <x:v>官方披露已核验</x:v>
      </x:c>
      <x:c r="M32" s="6" t="str">
        <x:v>数据未经审计及审计师确认，可能调整；各子类含于总量，不能重复相加。 核查日期：2026-10-08。</x:v>
      </x:c>
    </x:row>
    <x:row r="33" ht="40" customHeight="1">
      <x:c r="A33" s="6" t="str">
        <x:v>R0427</x:v>
      </x:c>
      <x:c r="B33" s="6" t="str">
        <x:v>比亚迪股份有限公司</x:v>
      </x:c>
      <x:c r="C33" s="6" t="str">
        <x:v>产销</x:v>
      </x:c>
      <x:c r="D33" s="6" t="str">
        <x:v>新能源汽车出口量</x:v>
      </x:c>
      <x:c r="E33" s="6" t="str">
        <x:v>2026-09-01至2026-09-30</x:v>
      </x:c>
      <x:c r="F33" s="18" t="n">
        <x:v>180700</x:v>
      </x:c>
      <x:c r="G33" s="6" t="str">
        <x:v>辆</x:v>
      </x:c>
      <x:c r="H33" s="18" t="n">
        <x:v>180700</x:v>
      </x:c>
      <x:c r="I33" s="6" t="str">
        <x:v>辆</x:v>
      </x:c>
      <x:c r="J33" s="13" t="d">
        <x:v>2026-10-01T00:00:00.000Z</x:v>
      </x:c>
      <x:c r="K33" s="6" t="str">
        <x:v>F005</x:v>
      </x:c>
      <x:c r="L33" s="6" t="str">
        <x:v>官方披露已核验</x:v>
      </x:c>
      <x:c r="M33" s="6" t="str">
        <x:v>出口口径；不等同于乘用车及皮卡海外销量。数据未经审计。 核查日期：2026-10-08。</x:v>
      </x:c>
    </x:row>
    <x:row r="34" ht="40" customHeight="1">
      <x:c r="A34" s="6" t="str">
        <x:v>R0401</x:v>
      </x:c>
      <x:c r="B34" s="6" t="str">
        <x:v>比亚迪股份有限公司</x:v>
      </x:c>
      <x:c r="C34" s="6" t="str">
        <x:v>产销</x:v>
      </x:c>
      <x:c r="D34" s="6" t="str">
        <x:v>新能源汽车销量</x:v>
      </x:c>
      <x:c r="E34" s="6" t="str">
        <x:v>2026-09-01至2026-09-30</x:v>
      </x:c>
      <x:c r="F34" s="18" t="n">
        <x:v>463561</x:v>
      </x:c>
      <x:c r="G34" s="6" t="str">
        <x:v>辆</x:v>
      </x:c>
      <x:c r="H34" s="18" t="n">
        <x:v>463561</x:v>
      </x:c>
      <x:c r="I34" s="6" t="str">
        <x:v>辆</x:v>
      </x:c>
      <x:c r="J34" s="13" t="d">
        <x:v>2026-10-01T00:00:00.000Z</x:v>
      </x:c>
      <x:c r="K34" s="6" t="str">
        <x:v>F005</x:v>
      </x:c>
      <x:c r="L34" s="6" t="str">
        <x:v>官方披露已核验</x:v>
      </x:c>
      <x:c r="M34" s="6" t="str">
        <x:v>数据未经审计及审计师确认，可能调整；各子类含于总量，不能重复相加。 核查日期：2026-10-08。</x:v>
      </x:c>
    </x:row>
    <x:row r="35" ht="40" customHeight="1">
      <x:c r="A35" s="6" t="str">
        <x:v>R0407</x:v>
      </x:c>
      <x:c r="B35" s="6" t="str">
        <x:v>比亚迪股份有限公司</x:v>
      </x:c>
      <x:c r="C35" s="6" t="str">
        <x:v>产销</x:v>
      </x:c>
      <x:c r="D35" s="6" t="str">
        <x:v>纯电动乘用车产量</x:v>
      </x:c>
      <x:c r="E35" s="6" t="str">
        <x:v>2026-09-01至2026-09-30</x:v>
      </x:c>
      <x:c r="F35" s="18" t="n">
        <x:v>274403</x:v>
      </x:c>
      <x:c r="G35" s="6" t="str">
        <x:v>辆</x:v>
      </x:c>
      <x:c r="H35" s="18" t="n">
        <x:v>274403</x:v>
      </x:c>
      <x:c r="I35" s="6" t="str">
        <x:v>辆</x:v>
      </x:c>
      <x:c r="J35" s="13" t="d">
        <x:v>2026-10-01T00:00:00.000Z</x:v>
      </x:c>
      <x:c r="K35" s="6" t="str">
        <x:v>F005</x:v>
      </x:c>
      <x:c r="L35" s="6" t="str">
        <x:v>官方披露已核验</x:v>
      </x:c>
      <x:c r="M35" s="6" t="str">
        <x:v>数据未经审计及审计师确认，可能调整；各子类含于总量，不能重复相加。 核查日期：2026-10-08。</x:v>
      </x:c>
    </x:row>
    <x:row r="36" ht="40" customHeight="1">
      <x:c r="A36" s="6" t="str">
        <x:v>R0409</x:v>
      </x:c>
      <x:c r="B36" s="6" t="str">
        <x:v>比亚迪股份有限公司</x:v>
      </x:c>
      <x:c r="C36" s="6" t="str">
        <x:v>产销</x:v>
      </x:c>
      <x:c r="D36" s="6" t="str">
        <x:v>纯电动乘用车销量</x:v>
      </x:c>
      <x:c r="E36" s="6" t="str">
        <x:v>2026-09-01至2026-09-30</x:v>
      </x:c>
      <x:c r="F36" s="18" t="n">
        <x:v>273143</x:v>
      </x:c>
      <x:c r="G36" s="6" t="str">
        <x:v>辆</x:v>
      </x:c>
      <x:c r="H36" s="18" t="n">
        <x:v>273143</x:v>
      </x:c>
      <x:c r="I36" s="6" t="str">
        <x:v>辆</x:v>
      </x:c>
      <x:c r="J36" s="13" t="d">
        <x:v>2026-10-01T00:00:00.000Z</x:v>
      </x:c>
      <x:c r="K36" s="6" t="str">
        <x:v>F005</x:v>
      </x:c>
      <x:c r="L36" s="6" t="str">
        <x:v>官方披露已核验</x:v>
      </x:c>
      <x:c r="M36" s="6" t="str">
        <x:v>数据未经审计及审计师确认，可能调整；各子类含于总量，不能重复相加。 核查日期：2026-10-08。</x:v>
      </x:c>
    </x:row>
    <x:row r="37" ht="40" customHeight="1">
      <x:c r="A37" s="6" t="str">
        <x:v>R0310</x:v>
      </x:c>
      <x:c r="B37" s="6" t="str">
        <x:v>比亚迪股份有限公司</x:v>
      </x:c>
      <x:c r="C37" s="6" t="str">
        <x:v>员工</x:v>
      </x:c>
      <x:c r="D37" s="6" t="str">
        <x:v>主要子公司在职员工数量</x:v>
      </x:c>
      <x:c r="E37" s="6" t="str">
        <x:v>2025-12-31</x:v>
      </x:c>
      <x:c r="F37" s="18" t="n">
        <x:v>867547</x:v>
      </x:c>
      <x:c r="G37" s="6" t="str">
        <x:v>人</x:v>
      </x:c>
      <x:c r="H37" s="18" t="n">
        <x:v>867547</x:v>
      </x:c>
      <x:c r="I37" s="6" t="str">
        <x:v>人</x:v>
      </x:c>
      <x:c r="J37" s="13" t="d">
        <x:v>2026-03-28T00:00:00.000Z</x:v>
      </x:c>
      <x:c r="K37" s="6" t="str">
        <x:v>F001</x:v>
      </x:c>
      <x:c r="L37" s="6" t="str">
        <x:v>官方披露已核验</x:v>
      </x:c>
      <x:c r="M37" s="6" t="str">
        <x:v>报告表为母公司及主要子公司口径,不把母公司人数当集团人数。 核查日期:2026-10-08。；披露日期依据巨潮发布目录；报告批准日另列，不混同</x:v>
      </x:c>
    </x:row>
    <x:row r="38" ht="40" customHeight="1">
      <x:c r="A38" s="6" t="str">
        <x:v>R0311</x:v>
      </x:c>
      <x:c r="B38" s="6" t="str">
        <x:v>比亚迪股份有限公司</x:v>
      </x:c>
      <x:c r="C38" s="6" t="str">
        <x:v>员工</x:v>
      </x:c>
      <x:c r="D38" s="6" t="str">
        <x:v>在职员工数量合计</x:v>
      </x:c>
      <x:c r="E38" s="6" t="str">
        <x:v>2025-12-31</x:v>
      </x:c>
      <x:c r="F38" s="18" t="n">
        <x:v>869622</x:v>
      </x:c>
      <x:c r="G38" s="6" t="str">
        <x:v>人</x:v>
      </x:c>
      <x:c r="H38" s="18" t="n">
        <x:v>869622</x:v>
      </x:c>
      <x:c r="I38" s="6" t="str">
        <x:v>人</x:v>
      </x:c>
      <x:c r="J38" s="13" t="d">
        <x:v>2026-03-28T00:00:00.000Z</x:v>
      </x:c>
      <x:c r="K38" s="6" t="str">
        <x:v>F001</x:v>
      </x:c>
      <x:c r="L38" s="6" t="str">
        <x:v>官方披露已核验</x:v>
      </x:c>
      <x:c r="M38" s="6" t="str">
        <x:v>报告表为母公司及主要子公司口径,不把母公司人数当集团人数。 核查日期:2026-10-08。；披露日期依据巨潮发布目录；报告批准日另列，不混同</x:v>
      </x:c>
    </x:row>
    <x:row r="39" ht="40" customHeight="1">
      <x:c r="A39" s="6" t="str">
        <x:v>R0319</x:v>
      </x:c>
      <x:c r="B39" s="6" t="str">
        <x:v>比亚迪股份有限公司</x:v>
      </x:c>
      <x:c r="C39" s="6" t="str">
        <x:v>员工</x:v>
      </x:c>
      <x:c r="D39" s="6" t="str">
        <x:v>大专及以下员工人数</x:v>
      </x:c>
      <x:c r="E39" s="6" t="str">
        <x:v>2025-12-31</x:v>
      </x:c>
      <x:c r="F39" s="18" t="n">
        <x:v>723834</x:v>
      </x:c>
      <x:c r="G39" s="6" t="str">
        <x:v>人</x:v>
      </x:c>
      <x:c r="H39" s="18" t="n">
        <x:v>723834</x:v>
      </x:c>
      <x:c r="I39" s="6" t="str">
        <x:v>人</x:v>
      </x:c>
      <x:c r="J39" s="13" t="d">
        <x:v>2026-03-28T00:00:00.000Z</x:v>
      </x:c>
      <x:c r="K39" s="6" t="str">
        <x:v>F001</x:v>
      </x:c>
      <x:c r="L39" s="6" t="str">
        <x:v>官方披露已核验</x:v>
      </x:c>
      <x:c r="M39" s="6" t="str">
        <x:v>报告表为母公司及主要子公司口径,不把母公司人数当集团人数。 核查日期:2026-10-08。；披露日期依据巨潮发布目录；报告批准日另列，不混同</x:v>
      </x:c>
    </x:row>
    <x:row r="40" ht="40" customHeight="1">
      <x:c r="A40" s="6" t="str">
        <x:v>R0314</x:v>
      </x:c>
      <x:c r="B40" s="6" t="str">
        <x:v>比亚迪股份有限公司</x:v>
      </x:c>
      <x:c r="C40" s="6" t="str">
        <x:v>员工</x:v>
      </x:c>
      <x:c r="D40" s="6" t="str">
        <x:v>技术人员数量</x:v>
      </x:c>
      <x:c r="E40" s="6" t="str">
        <x:v>2025-12-31</x:v>
      </x:c>
      <x:c r="F40" s="18" t="n">
        <x:v>127665</x:v>
      </x:c>
      <x:c r="G40" s="6" t="str">
        <x:v>人</x:v>
      </x:c>
      <x:c r="H40" s="18" t="n">
        <x:v>127665</x:v>
      </x:c>
      <x:c r="I40" s="6" t="str">
        <x:v>人</x:v>
      </x:c>
      <x:c r="J40" s="13" t="d">
        <x:v>2026-03-28T00:00:00.000Z</x:v>
      </x:c>
      <x:c r="K40" s="6" t="str">
        <x:v>F001</x:v>
      </x:c>
      <x:c r="L40" s="6" t="str">
        <x:v>官方披露已核验</x:v>
      </x:c>
      <x:c r="M40" s="6" t="str">
        <x:v>报告表为母公司及主要子公司口径,不把母公司人数当集团人数。 核查日期:2026-10-08。；披露日期依据巨潮发布目录；报告批准日另列，不混同</x:v>
      </x:c>
    </x:row>
    <x:row r="41" ht="40" customHeight="1">
      <x:c r="A41" s="6" t="str">
        <x:v>R0318</x:v>
      </x:c>
      <x:c r="B41" s="6" t="str">
        <x:v>比亚迪股份有限公司</x:v>
      </x:c>
      <x:c r="C41" s="6" t="str">
        <x:v>员工</x:v>
      </x:c>
      <x:c r="D41" s="6" t="str">
        <x:v>本科员工人数</x:v>
      </x:c>
      <x:c r="E41" s="6" t="str">
        <x:v>2025-12-31</x:v>
      </x:c>
      <x:c r="F41" s="18" t="n">
        <x:v>102307</x:v>
      </x:c>
      <x:c r="G41" s="6" t="str">
        <x:v>人</x:v>
      </x:c>
      <x:c r="H41" s="18" t="n">
        <x:v>102307</x:v>
      </x:c>
      <x:c r="I41" s="6" t="str">
        <x:v>人</x:v>
      </x:c>
      <x:c r="J41" s="13" t="d">
        <x:v>2026-03-28T00:00:00.000Z</x:v>
      </x:c>
      <x:c r="K41" s="6" t="str">
        <x:v>F001</x:v>
      </x:c>
      <x:c r="L41" s="6" t="str">
        <x:v>官方披露已核验</x:v>
      </x:c>
      <x:c r="M41" s="6" t="str">
        <x:v>报告表为母公司及主要子公司口径,不把母公司人数当集团人数。 核查日期:2026-10-08。；披露日期依据巨潮发布目录；报告批准日另列，不混同</x:v>
      </x:c>
    </x:row>
    <x:row r="42" ht="40" customHeight="1">
      <x:c r="A42" s="6" t="str">
        <x:v>R0309</x:v>
      </x:c>
      <x:c r="B42" s="6" t="str">
        <x:v>比亚迪股份有限公司</x:v>
      </x:c>
      <x:c r="C42" s="6" t="str">
        <x:v>员工</x:v>
      </x:c>
      <x:c r="D42" s="6" t="str">
        <x:v>母公司在职员工数量</x:v>
      </x:c>
      <x:c r="E42" s="6" t="str">
        <x:v>2025-12-31</x:v>
      </x:c>
      <x:c r="F42" s="18" t="n">
        <x:v>2075</x:v>
      </x:c>
      <x:c r="G42" s="6" t="str">
        <x:v>人</x:v>
      </x:c>
      <x:c r="H42" s="18" t="n">
        <x:v>2075</x:v>
      </x:c>
      <x:c r="I42" s="6" t="str">
        <x:v>人</x:v>
      </x:c>
      <x:c r="J42" s="13" t="d">
        <x:v>2026-03-28T00:00:00.000Z</x:v>
      </x:c>
      <x:c r="K42" s="6" t="str">
        <x:v>F001</x:v>
      </x:c>
      <x:c r="L42" s="6" t="str">
        <x:v>官方披露已核验</x:v>
      </x:c>
      <x:c r="M42" s="6" t="str">
        <x:v>报告表为母公司及主要子公司口径,不把母公司人数当集团人数。 核查日期:2026-10-08。；披露日期依据巨潮发布目录；报告批准日另列，不混同</x:v>
      </x:c>
    </x:row>
    <x:row r="43" ht="40" customHeight="1">
      <x:c r="A43" s="6" t="str">
        <x:v>R0312</x:v>
      </x:c>
      <x:c r="B43" s="6" t="str">
        <x:v>比亚迪股份有限公司</x:v>
      </x:c>
      <x:c r="C43" s="6" t="str">
        <x:v>员工</x:v>
      </x:c>
      <x:c r="D43" s="6" t="str">
        <x:v>生产人员数量</x:v>
      </x:c>
      <x:c r="E43" s="6" t="str">
        <x:v>2025-12-31</x:v>
      </x:c>
      <x:c r="F43" s="18" t="n">
        <x:v>665812</x:v>
      </x:c>
      <x:c r="G43" s="6" t="str">
        <x:v>人</x:v>
      </x:c>
      <x:c r="H43" s="18" t="n">
        <x:v>665812</x:v>
      </x:c>
      <x:c r="I43" s="6" t="str">
        <x:v>人</x:v>
      </x:c>
      <x:c r="J43" s="13" t="d">
        <x:v>2026-03-28T00:00:00.000Z</x:v>
      </x:c>
      <x:c r="K43" s="6" t="str">
        <x:v>F001</x:v>
      </x:c>
      <x:c r="L43" s="6" t="str">
        <x:v>官方披露已核验</x:v>
      </x:c>
      <x:c r="M43" s="6" t="str">
        <x:v>报告表为母公司及主要子公司口径,不把母公司人数当集团人数。 核查日期:2026-10-08。；披露日期依据巨潮发布目录；报告批准日另列，不混同</x:v>
      </x:c>
    </x:row>
    <x:row r="44" ht="40" customHeight="1">
      <x:c r="A44" s="6" t="str">
        <x:v>R0317</x:v>
      </x:c>
      <x:c r="B44" s="6" t="str">
        <x:v>比亚迪股份有限公司</x:v>
      </x:c>
      <x:c r="C44" s="6" t="str">
        <x:v>员工</x:v>
      </x:c>
      <x:c r="D44" s="6" t="str">
        <x:v>硕士及以上员工人数</x:v>
      </x:c>
      <x:c r="E44" s="6" t="str">
        <x:v>2025-12-31</x:v>
      </x:c>
      <x:c r="F44" s="18" t="n">
        <x:v>43481</x:v>
      </x:c>
      <x:c r="G44" s="6" t="str">
        <x:v>人</x:v>
      </x:c>
      <x:c r="H44" s="18" t="n">
        <x:v>43481</x:v>
      </x:c>
      <x:c r="I44" s="6" t="str">
        <x:v>人</x:v>
      </x:c>
      <x:c r="J44" s="13" t="d">
        <x:v>2026-03-28T00:00:00.000Z</x:v>
      </x:c>
      <x:c r="K44" s="6" t="str">
        <x:v>F001</x:v>
      </x:c>
      <x:c r="L44" s="6" t="str">
        <x:v>官方披露已核验</x:v>
      </x:c>
      <x:c r="M44" s="6" t="str">
        <x:v>报告表为母公司及主要子公司口径,不把母公司人数当集团人数。 核查日期:2026-10-08。；披露日期依据巨潮发布目录；报告批准日另列，不混同</x:v>
      </x:c>
    </x:row>
    <x:row r="45" ht="40" customHeight="1">
      <x:c r="A45" s="6" t="str">
        <x:v>R0316</x:v>
      </x:c>
      <x:c r="B45" s="6" t="str">
        <x:v>比亚迪股份有限公司</x:v>
      </x:c>
      <x:c r="C45" s="6" t="str">
        <x:v>员工</x:v>
      </x:c>
      <x:c r="D45" s="6" t="str">
        <x:v>行政人员数量</x:v>
      </x:c>
      <x:c r="E45" s="6" t="str">
        <x:v>2025-12-31</x:v>
      </x:c>
      <x:c r="F45" s="18" t="n">
        <x:v>33722</x:v>
      </x:c>
      <x:c r="G45" s="6" t="str">
        <x:v>人</x:v>
      </x:c>
      <x:c r="H45" s="18" t="n">
        <x:v>33722</x:v>
      </x:c>
      <x:c r="I45" s="6" t="str">
        <x:v>人</x:v>
      </x:c>
      <x:c r="J45" s="13" t="d">
        <x:v>2026-03-28T00:00:00.000Z</x:v>
      </x:c>
      <x:c r="K45" s="6" t="str">
        <x:v>F001</x:v>
      </x:c>
      <x:c r="L45" s="6" t="str">
        <x:v>官方披露已核验</x:v>
      </x:c>
      <x:c r="M45" s="6" t="str">
        <x:v>报告表为母公司及主要子公司口径,不把母公司人数当集团人数。 核查日期:2026-10-08。；披露日期依据巨潮发布目录；报告批准日另列，不混同</x:v>
      </x:c>
    </x:row>
    <x:row r="46" ht="40" customHeight="1">
      <x:c r="A46" s="6" t="str">
        <x:v>R0315</x:v>
      </x:c>
      <x:c r="B46" s="6" t="str">
        <x:v>比亚迪股份有限公司</x:v>
      </x:c>
      <x:c r="C46" s="6" t="str">
        <x:v>员工</x:v>
      </x:c>
      <x:c r="D46" s="6" t="str">
        <x:v>财务人员数量</x:v>
      </x:c>
      <x:c r="E46" s="6" t="str">
        <x:v>2025-12-31</x:v>
      </x:c>
      <x:c r="F46" s="18" t="n">
        <x:v>2075</x:v>
      </x:c>
      <x:c r="G46" s="6" t="str">
        <x:v>人</x:v>
      </x:c>
      <x:c r="H46" s="18" t="n">
        <x:v>2075</x:v>
      </x:c>
      <x:c r="I46" s="6" t="str">
        <x:v>人</x:v>
      </x:c>
      <x:c r="J46" s="13" t="d">
        <x:v>2026-03-28T00:00:00.000Z</x:v>
      </x:c>
      <x:c r="K46" s="6" t="str">
        <x:v>F001</x:v>
      </x:c>
      <x:c r="L46" s="6" t="str">
        <x:v>官方披露已核验</x:v>
      </x:c>
      <x:c r="M46" s="6" t="str">
        <x:v>报告表为母公司及主要子公司口径,不把母公司人数当集团人数。 核查日期:2026-10-08。；披露日期依据巨潮发布目录；报告批准日另列，不混同</x:v>
      </x:c>
    </x:row>
    <x:row r="47" ht="40" customHeight="1">
      <x:c r="A47" s="6" t="str">
        <x:v>R0313</x:v>
      </x:c>
      <x:c r="B47" s="6" t="str">
        <x:v>比亚迪股份有限公司</x:v>
      </x:c>
      <x:c r="C47" s="6" t="str">
        <x:v>员工</x:v>
      </x:c>
      <x:c r="D47" s="6" t="str">
        <x:v>销售人员数量</x:v>
      </x:c>
      <x:c r="E47" s="6" t="str">
        <x:v>2025-12-31</x:v>
      </x:c>
      <x:c r="F47" s="18" t="n">
        <x:v>40348</x:v>
      </x:c>
      <x:c r="G47" s="6" t="str">
        <x:v>人</x:v>
      </x:c>
      <x:c r="H47" s="18" t="n">
        <x:v>40348</x:v>
      </x:c>
      <x:c r="I47" s="6" t="str">
        <x:v>人</x:v>
      </x:c>
      <x:c r="J47" s="13" t="d">
        <x:v>2026-03-28T00:00:00.000Z</x:v>
      </x:c>
      <x:c r="K47" s="6" t="str">
        <x:v>F001</x:v>
      </x:c>
      <x:c r="L47" s="6" t="str">
        <x:v>官方披露已核验</x:v>
      </x:c>
      <x:c r="M47" s="6" t="str">
        <x:v>报告表为母公司及主要子公司口径,不把母公司人数当集团人数。 核查日期:2026-10-08。；披露日期依据巨潮发布目录；报告批准日另列，不混同</x:v>
      </x:c>
    </x:row>
    <x:row r="48" ht="40" customHeight="1">
      <x:c r="A48" s="6" t="str">
        <x:v>R0306</x:v>
      </x:c>
      <x:c r="B48" s="6" t="str">
        <x:v>比亚迪股份有限公司</x:v>
      </x:c>
      <x:c r="C48" s="6" t="str">
        <x:v>研发</x:v>
      </x:c>
      <x:c r="D48" s="6" t="str">
        <x:v>研发投入占营业收入比例</x:v>
      </x:c>
      <x:c r="E48" s="6" t="str">
        <x:v>2025-01-01至2025-12-31</x:v>
      </x:c>
      <x:c r="F48" s="17" t="n">
        <x:v>7.89</x:v>
      </x:c>
      <x:c r="G48" s="6" t="str">
        <x:v>%</x:v>
      </x:c>
      <x:c r="H48" s="17" t="n">
        <x:v>7.89</x:v>
      </x:c>
      <x:c r="I48" s="6" t="str">
        <x:v>%</x:v>
      </x:c>
      <x:c r="J48" s="13" t="d">
        <x:v>2026-03-28T00:00:00.000Z</x:v>
      </x:c>
      <x:c r="K48" s="6" t="str">
        <x:v>F001</x:v>
      </x:c>
      <x:c r="L48" s="6" t="str">
        <x:v>官方披露已核验</x:v>
      </x:c>
      <x:c r="M48" s="6" t="str">
        <x:v>研发投入与利润表研发费用不同,不能互相替代。 核查日期:2026-10-08。；披露日期依据巨潮发布目录；报告批准日另列，不混同</x:v>
      </x:c>
    </x:row>
    <x:row r="49" ht="40" customHeight="1">
      <x:c r="A49" s="6" t="str">
        <x:v>R0305</x:v>
      </x:c>
      <x:c r="B49" s="6" t="str">
        <x:v>比亚迪股份有限公司</x:v>
      </x:c>
      <x:c r="C49" s="6" t="str">
        <x:v>研发</x:v>
      </x:c>
      <x:c r="D49" s="6" t="str">
        <x:v>研发投入金额</x:v>
      </x:c>
      <x:c r="E49" s="6" t="str">
        <x:v>2025-01-01至2025-12-31</x:v>
      </x:c>
      <x:c r="F49" s="18" t="n">
        <x:v>63441379000</x:v>
      </x:c>
      <x:c r="G49" s="6" t="str">
        <x:v>人民币元</x:v>
      </x:c>
      <x:c r="H49" s="18" t="n">
        <x:v>63441379000</x:v>
      </x:c>
      <x:c r="I49" s="6" t="str">
        <x:v>人民币元</x:v>
      </x:c>
      <x:c r="J49" s="13" t="d">
        <x:v>2026-03-28T00:00:00.000Z</x:v>
      </x:c>
      <x:c r="K49" s="6" t="str">
        <x:v>F001</x:v>
      </x:c>
      <x:c r="L49" s="6" t="str">
        <x:v>官方披露已核验</x:v>
      </x:c>
      <x:c r="M49" s="6" t="str">
        <x:v>研发投入与利润表研发费用不同,不能互相替代。 核查日期:2026-10-08。；披露日期依据巨潮发布目录；报告批准日另列，不混同</x:v>
      </x:c>
    </x:row>
    <x:row r="50" ht="40" customHeight="1">
      <x:c r="A50" s="6" t="str">
        <x:v>R0308</x:v>
      </x:c>
      <x:c r="B50" s="6" t="str">
        <x:v>比亚迪股份有限公司</x:v>
      </x:c>
      <x:c r="C50" s="6" t="str">
        <x:v>研发</x:v>
      </x:c>
      <x:c r="D50" s="6" t="str">
        <x:v>资本化研发投入占研发投入比例</x:v>
      </x:c>
      <x:c r="E50" s="6" t="str">
        <x:v>2025-01-01至2025-12-31</x:v>
      </x:c>
      <x:c r="F50" s="17" t="n">
        <x:v>8.61</x:v>
      </x:c>
      <x:c r="G50" s="6" t="str">
        <x:v>%</x:v>
      </x:c>
      <x:c r="H50" s="17" t="n">
        <x:v>8.61</x:v>
      </x:c>
      <x:c r="I50" s="6" t="str">
        <x:v>%</x:v>
      </x:c>
      <x:c r="J50" s="13" t="d">
        <x:v>2026-03-28T00:00:00.000Z</x:v>
      </x:c>
      <x:c r="K50" s="6" t="str">
        <x:v>F001</x:v>
      </x:c>
      <x:c r="L50" s="6" t="str">
        <x:v>官方披露已核验</x:v>
      </x:c>
      <x:c r="M50" s="6" t="str">
        <x:v>研发投入与利润表研发费用不同,不能互相替代。 核查日期:2026-10-08。；披露日期依据巨潮发布目录；报告批准日另列，不混同</x:v>
      </x:c>
    </x:row>
    <x:row r="51" ht="40" customHeight="1">
      <x:c r="A51" s="6" t="str">
        <x:v>R0307</x:v>
      </x:c>
      <x:c r="B51" s="6" t="str">
        <x:v>比亚迪股份有限公司</x:v>
      </x:c>
      <x:c r="C51" s="6" t="str">
        <x:v>研发</x:v>
      </x:c>
      <x:c r="D51" s="6" t="str">
        <x:v>资本化研发投入金额</x:v>
      </x:c>
      <x:c r="E51" s="6" t="str">
        <x:v>2025-01-01至2025-12-31</x:v>
      </x:c>
      <x:c r="F51" s="18" t="n">
        <x:v>5463274000</x:v>
      </x:c>
      <x:c r="G51" s="6" t="str">
        <x:v>人民币元</x:v>
      </x:c>
      <x:c r="H51" s="18" t="n">
        <x:v>5463274000</x:v>
      </x:c>
      <x:c r="I51" s="6" t="str">
        <x:v>人民币元</x:v>
      </x:c>
      <x:c r="J51" s="13" t="d">
        <x:v>2026-03-28T00:00:00.000Z</x:v>
      </x:c>
      <x:c r="K51" s="6" t="str">
        <x:v>F001</x:v>
      </x:c>
      <x:c r="L51" s="6" t="str">
        <x:v>官方披露已核验</x:v>
      </x:c>
      <x:c r="M51" s="6" t="str">
        <x:v>研发投入与利润表研发费用不同,不能互相替代。 核查日期:2026-10-08。；披露日期依据巨潮发布目录；报告批准日另列，不混同</x:v>
      </x:c>
    </x:row>
    <x:row r="52" ht="40" customHeight="1">
      <x:c r="A52" s="6" t="str">
        <x:v>R0303</x:v>
      </x:c>
      <x:c r="B52" s="6" t="str">
        <x:v>比亚迪股份有限公司</x:v>
      </x:c>
      <x:c r="C52" s="6" t="str">
        <x:v>研发</x:v>
      </x:c>
      <x:c r="D52" s="6" t="str">
        <x:v>研发人员数量</x:v>
      </x:c>
      <x:c r="E52" s="6" t="str">
        <x:v>2025-12-31</x:v>
      </x:c>
      <x:c r="F52" s="18" t="n">
        <x:v>127665</x:v>
      </x:c>
      <x:c r="G52" s="6" t="str">
        <x:v>人</x:v>
      </x:c>
      <x:c r="H52" s="18" t="n">
        <x:v>127665</x:v>
      </x:c>
      <x:c r="I52" s="6" t="str">
        <x:v>人</x:v>
      </x:c>
      <x:c r="J52" s="13" t="d">
        <x:v>2026-03-28T00:00:00.000Z</x:v>
      </x:c>
      <x:c r="K52" s="6" t="str">
        <x:v>F001</x:v>
      </x:c>
      <x:c r="L52" s="6" t="str">
        <x:v>官方披露已核验</x:v>
      </x:c>
      <x:c r="M52" s="6" t="str">
        <x:v>研发投入与利润表研发费用不同,不能互相替代。 核查日期:2026-10-08。；披露日期依据巨潮发布目录；报告批准日另列，不混同</x:v>
      </x:c>
    </x:row>
    <x:row r="53" ht="40" customHeight="1">
      <x:c r="A53" s="6" t="str">
        <x:v>R0304</x:v>
      </x:c>
      <x:c r="B53" s="6" t="str">
        <x:v>比亚迪股份有限公司</x:v>
      </x:c>
      <x:c r="C53" s="6" t="str">
        <x:v>研发</x:v>
      </x:c>
      <x:c r="D53" s="6" t="str">
        <x:v>研发人员数量占比</x:v>
      </x:c>
      <x:c r="E53" s="6" t="str">
        <x:v>2025-12-31</x:v>
      </x:c>
      <x:c r="F53" s="17" t="n">
        <x:v>14.68</x:v>
      </x:c>
      <x:c r="G53" s="6" t="str">
        <x:v>%</x:v>
      </x:c>
      <x:c r="H53" s="17" t="n">
        <x:v>14.68</x:v>
      </x:c>
      <x:c r="I53" s="6" t="str">
        <x:v>%</x:v>
      </x:c>
      <x:c r="J53" s="13" t="d">
        <x:v>2026-03-28T00:00:00.000Z</x:v>
      </x:c>
      <x:c r="K53" s="6" t="str">
        <x:v>F001</x:v>
      </x:c>
      <x:c r="L53" s="6" t="str">
        <x:v>官方披露已核验</x:v>
      </x:c>
      <x:c r="M53" s="6" t="str">
        <x:v>研发投入与利润表研发费用不同,不能互相替代。 核查日期:2026-10-08。；披露日期依据巨潮发布目录；报告批准日另列，不混同</x:v>
      </x:c>
    </x:row>
    <x:row r="54" ht="40" customHeight="1">
      <x:c r="A54" s="6" t="str">
        <x:v>R0322</x:v>
      </x:c>
      <x:c r="B54" s="6" t="str">
        <x:v>比亚迪股份有限公司</x:v>
      </x:c>
      <x:c r="C54" s="6" t="str">
        <x:v>集团经营</x:v>
      </x:c>
      <x:c r="D54" s="6" t="str">
        <x:v>中国(包括港澳台)收入</x:v>
      </x:c>
      <x:c r="E54" s="6" t="str">
        <x:v>2025-01-01至2025-12-31</x:v>
      </x:c>
      <x:c r="F54" s="18" t="n">
        <x:v>493223970000</x:v>
      </x:c>
      <x:c r="G54" s="6" t="str">
        <x:v>人民币元</x:v>
      </x:c>
      <x:c r="H54" s="18" t="n">
        <x:v>493223970000</x:v>
      </x:c>
      <x:c r="I54" s="6" t="str">
        <x:v>人民币元</x:v>
      </x:c>
      <x:c r="J54" s="13" t="d">
        <x:v>2026-03-28T00:00:00.000Z</x:v>
      </x:c>
      <x:c r="K54" s="6" t="str">
        <x:v>F001</x:v>
      </x:c>
      <x:c r="L54" s="6" t="str">
        <x:v>官方披露已核验</x:v>
      </x:c>
      <x:c r="M54" s="6" t="str">
        <x:v>集团合并口径;境外收入不等同于汽车出口收入。 核查日期:2026-10-08。；披露日期依据巨潮发布目录；报告批准日另列，不混同</x:v>
      </x:c>
    </x:row>
    <x:row r="55" ht="40" customHeight="1">
      <x:c r="A55" s="6" t="str">
        <x:v>R0323</x:v>
      </x:c>
      <x:c r="B55" s="6" t="str">
        <x:v>比亚迪股份有限公司</x:v>
      </x:c>
      <x:c r="C55" s="6" t="str">
        <x:v>集团经营</x:v>
      </x:c>
      <x:c r="D55" s="6" t="str">
        <x:v>境外收入</x:v>
      </x:c>
      <x:c r="E55" s="6" t="str">
        <x:v>2025-01-01至2025-12-31</x:v>
      </x:c>
      <x:c r="F55" s="18" t="n">
        <x:v>310740988000</x:v>
      </x:c>
      <x:c r="G55" s="6" t="str">
        <x:v>人民币元</x:v>
      </x:c>
      <x:c r="H55" s="18" t="n">
        <x:v>310740988000</x:v>
      </x:c>
      <x:c r="I55" s="6" t="str">
        <x:v>人民币元</x:v>
      </x:c>
      <x:c r="J55" s="13" t="d">
        <x:v>2026-03-28T00:00:00.000Z</x:v>
      </x:c>
      <x:c r="K55" s="6" t="str">
        <x:v>F001</x:v>
      </x:c>
      <x:c r="L55" s="6" t="str">
        <x:v>官方披露已核验</x:v>
      </x:c>
      <x:c r="M55" s="6" t="str">
        <x:v>集团合并口径;境外收入不等同于汽车出口收入。 核查日期:2026-10-08。；披露日期依据巨潮发布目录；报告批准日另列，不混同</x:v>
      </x:c>
    </x:row>
    <x:row r="56" ht="40" customHeight="1">
      <x:c r="A56" s="6" t="str">
        <x:v>R0324</x:v>
      </x:c>
      <x:c r="B56" s="6" t="str">
        <x:v>比亚迪股份有限公司</x:v>
      </x:c>
      <x:c r="C56" s="6" t="str">
        <x:v>集团经营</x:v>
      </x:c>
      <x:c r="D56" s="6" t="str">
        <x:v>境外收入占比</x:v>
      </x:c>
      <x:c r="E56" s="6" t="str">
        <x:v>2025-01-01至2025-12-31</x:v>
      </x:c>
      <x:c r="F56" s="17" t="n">
        <x:v>38.65</x:v>
      </x:c>
      <x:c r="G56" s="6" t="str">
        <x:v>%</x:v>
      </x:c>
      <x:c r="H56" s="17" t="n">
        <x:v>38.65</x:v>
      </x:c>
      <x:c r="I56" s="6" t="str">
        <x:v>%</x:v>
      </x:c>
      <x:c r="J56" s="13" t="d">
        <x:v>2026-03-28T00:00:00.000Z</x:v>
      </x:c>
      <x:c r="K56" s="6" t="str">
        <x:v>F001</x:v>
      </x:c>
      <x:c r="L56" s="6" t="str">
        <x:v>官方披露已核验</x:v>
      </x:c>
      <x:c r="M56" s="6" t="str">
        <x:v>集团合并口径;境外收入不等同于汽车出口收入。 核查日期:2026-10-08。；披露日期依据巨潮发布目录；报告批准日另列，不混同</x:v>
      </x:c>
    </x:row>
    <x:row r="57" ht="40" customHeight="1">
      <x:c r="A57" s="6" t="str">
        <x:v>R0325</x:v>
      </x:c>
      <x:c r="B57" s="6" t="str">
        <x:v>比亚迪股份有限公司</x:v>
      </x:c>
      <x:c r="C57" s="6" t="str">
        <x:v>集团经营</x:v>
      </x:c>
      <x:c r="D57" s="6" t="str">
        <x:v>境外收入同比</x:v>
      </x:c>
      <x:c r="E57" s="6" t="str">
        <x:v>2025-01-01至2025-12-31</x:v>
      </x:c>
      <x:c r="F57" s="17" t="n">
        <x:v>40.05</x:v>
      </x:c>
      <x:c r="G57" s="6" t="str">
        <x:v>%</x:v>
      </x:c>
      <x:c r="H57" s="17" t="n">
        <x:v>40.05</x:v>
      </x:c>
      <x:c r="I57" s="6" t="str">
        <x:v>%</x:v>
      </x:c>
      <x:c r="J57" s="13" t="d">
        <x:v>2026-03-28T00:00:00.000Z</x:v>
      </x:c>
      <x:c r="K57" s="6" t="str">
        <x:v>F001</x:v>
      </x:c>
      <x:c r="L57" s="6" t="str">
        <x:v>官方披露已核验</x:v>
      </x:c>
      <x:c r="M57" s="6" t="str">
        <x:v>集团合并口径;境外收入不等同于汽车出口收入。 核查日期:2026-10-08。；披露日期依据巨潮发布目录；报告批准日另列，不混同</x:v>
      </x:c>
    </x:row>
    <x:row r="58" ht="40" customHeight="1">
      <x:c r="A58" s="6" t="str">
        <x:v>R0320</x:v>
      </x:c>
      <x:c r="B58" s="6" t="str">
        <x:v>比亚迪股份有限公司</x:v>
      </x:c>
      <x:c r="C58" s="6" t="str">
        <x:v>集团经营</x:v>
      </x:c>
      <x:c r="D58" s="6" t="str">
        <x:v>手机部件、组装及其他产品收入</x:v>
      </x:c>
      <x:c r="E58" s="6" t="str">
        <x:v>2025-01-01至2025-12-31</x:v>
      </x:c>
      <x:c r="F58" s="18" t="n">
        <x:v>155236528000</x:v>
      </x:c>
      <x:c r="G58" s="6" t="str">
        <x:v>人民币元</x:v>
      </x:c>
      <x:c r="H58" s="18" t="n">
        <x:v>155236528000</x:v>
      </x:c>
      <x:c r="I58" s="6" t="str">
        <x:v>人民币元</x:v>
      </x:c>
      <x:c r="J58" s="13" t="d">
        <x:v>2026-03-28T00:00:00.000Z</x:v>
      </x:c>
      <x:c r="K58" s="6" t="str">
        <x:v>F001</x:v>
      </x:c>
      <x:c r="L58" s="6" t="str">
        <x:v>官方披露已核验</x:v>
      </x:c>
      <x:c r="M58" s="6" t="str">
        <x:v>集团合并口径;境外收入不等同于汽车出口收入。 核查日期:2026-10-08。；披露日期依据巨潮发布目录；报告批准日另列，不混同</x:v>
      </x:c>
    </x:row>
    <x:row r="59" ht="40" customHeight="1">
      <x:c r="A59" s="6" t="str">
        <x:v>R0321</x:v>
      </x:c>
      <x:c r="B59" s="6" t="str">
        <x:v>比亚迪股份有限公司</x:v>
      </x:c>
      <x:c r="C59" s="6" t="str">
        <x:v>集团经营</x:v>
      </x:c>
      <x:c r="D59" s="6" t="str">
        <x:v>汽车、汽车相关产品及其他产品收入</x:v>
      </x:c>
      <x:c r="E59" s="6" t="str">
        <x:v>2025-01-01至2025-12-31</x:v>
      </x:c>
      <x:c r="F59" s="18" t="n">
        <x:v>648645636000</x:v>
      </x:c>
      <x:c r="G59" s="6" t="str">
        <x:v>人民币元</x:v>
      </x:c>
      <x:c r="H59" s="18" t="n">
        <x:v>648645636000</x:v>
      </x:c>
      <x:c r="I59" s="6" t="str">
        <x:v>人民币元</x:v>
      </x:c>
      <x:c r="J59" s="13" t="d">
        <x:v>2026-03-28T00:00:00.000Z</x:v>
      </x:c>
      <x:c r="K59" s="6" t="str">
        <x:v>F001</x:v>
      </x:c>
      <x:c r="L59" s="6" t="str">
        <x:v>官方披露已核验</x:v>
      </x:c>
      <x:c r="M59" s="6" t="str">
        <x:v>集团合并口径;境外收入不等同于汽车出口收入。 核查日期:2026-10-08。；披露日期依据巨潮发布目录；报告批准日另列，不混同</x:v>
      </x:c>
    </x:row>
    <x:row r="60" ht="40" customHeight="1">
      <x:c r="A60" s="6" t="str">
        <x:v>R0326</x:v>
      </x:c>
      <x:c r="B60" s="6" t="str">
        <x:v>比亚迪股份有限公司</x:v>
      </x:c>
      <x:c r="C60" s="6" t="str">
        <x:v>集团经营</x:v>
      </x:c>
      <x:c r="D60" s="6" t="str">
        <x:v>直销收入</x:v>
      </x:c>
      <x:c r="E60" s="6" t="str">
        <x:v>2025-01-01至2025-12-31</x:v>
      </x:c>
      <x:c r="F60" s="18" t="n">
        <x:v>367210862000</x:v>
      </x:c>
      <x:c r="G60" s="6" t="str">
        <x:v>人民币元</x:v>
      </x:c>
      <x:c r="H60" s="18" t="n">
        <x:v>367210862000</x:v>
      </x:c>
      <x:c r="I60" s="6" t="str">
        <x:v>人民币元</x:v>
      </x:c>
      <x:c r="J60" s="13" t="d">
        <x:v>2026-03-28T00:00:00.000Z</x:v>
      </x:c>
      <x:c r="K60" s="6" t="str">
        <x:v>F001</x:v>
      </x:c>
      <x:c r="L60" s="6" t="str">
        <x:v>官方披露已核验</x:v>
      </x:c>
      <x:c r="M60" s="6" t="str">
        <x:v>集团合并口径;境外收入不等同于汽车出口收入。 核查日期:2026-10-08。；披露日期依据巨潮发布目录；报告批准日另列，不混同</x:v>
      </x:c>
    </x:row>
    <x:row r="61" ht="40" customHeight="1">
      <x:c r="A61" s="6" t="str">
        <x:v>R0327</x:v>
      </x:c>
      <x:c r="B61" s="6" t="str">
        <x:v>比亚迪股份有限公司</x:v>
      </x:c>
      <x:c r="C61" s="6" t="str">
        <x:v>集团经营</x:v>
      </x:c>
      <x:c r="D61" s="6" t="str">
        <x:v>经销收入</x:v>
      </x:c>
      <x:c r="E61" s="6" t="str">
        <x:v>2025-01-01至2025-12-31</x:v>
      </x:c>
      <x:c r="F61" s="18" t="n">
        <x:v>436754096000</x:v>
      </x:c>
      <x:c r="G61" s="6" t="str">
        <x:v>人民币元</x:v>
      </x:c>
      <x:c r="H61" s="18" t="n">
        <x:v>436754096000</x:v>
      </x:c>
      <x:c r="I61" s="6" t="str">
        <x:v>人民币元</x:v>
      </x:c>
      <x:c r="J61" s="13" t="d">
        <x:v>2026-03-28T00:00:00.000Z</x:v>
      </x:c>
      <x:c r="K61" s="6" t="str">
        <x:v>F001</x:v>
      </x:c>
      <x:c r="L61" s="6" t="str">
        <x:v>官方披露已核验</x:v>
      </x:c>
      <x:c r="M61" s="6" t="str">
        <x:v>集团合并口径;境外收入不等同于汽车出口收入。 核查日期:2026-10-08。；披露日期依据巨潮发布目录；报告批准日另列，不混同</x:v>
      </x:c>
    </x:row>
    <x:row r="62" ht="40" customHeight="1">
      <x:c r="A62" s="6" t="str">
        <x:v>R0330</x:v>
      </x:c>
      <x:c r="B62" s="6" t="str">
        <x:v>比亚迪股份有限公司</x:v>
      </x:c>
      <x:c r="C62" s="6" t="str">
        <x:v>集团经营</x:v>
      </x:c>
      <x:c r="D62" s="6" t="str">
        <x:v>中国(包括港澳台)收入</x:v>
      </x:c>
      <x:c r="E62" s="6" t="str">
        <x:v>2026-01-01至2026-06-30</x:v>
      </x:c>
      <x:c r="F62" s="18" t="n">
        <x:v>163547247000</x:v>
      </x:c>
      <x:c r="G62" s="6" t="str">
        <x:v>人民币元</x:v>
      </x:c>
      <x:c r="H62" s="18" t="n">
        <x:v>163547247000</x:v>
      </x:c>
      <x:c r="I62" s="6" t="str">
        <x:v>人民币元</x:v>
      </x:c>
      <x:c r="J62" s="13" t="d">
        <x:v>2026-08-29T00:00:00.000Z</x:v>
      </x:c>
      <x:c r="K62" s="6" t="str">
        <x:v>F002</x:v>
      </x:c>
      <x:c r="L62" s="6" t="str">
        <x:v>官方披露已核验</x:v>
      </x:c>
      <x:c r="M62" s="6" t="str">
        <x:v>集团合并口径;境外收入不等同于汽车出口收入。 核查日期:2026-10-08。；披露日期依据巨潮发布目录；报告批准日另列，不混同</x:v>
      </x:c>
    </x:row>
    <x:row r="63" ht="40" customHeight="1">
      <x:c r="A63" s="6" t="str">
        <x:v>R0331</x:v>
      </x:c>
      <x:c r="B63" s="6" t="str">
        <x:v>比亚迪股份有限公司</x:v>
      </x:c>
      <x:c r="C63" s="6" t="str">
        <x:v>集团经营</x:v>
      </x:c>
      <x:c r="D63" s="6" t="str">
        <x:v>境外收入</x:v>
      </x:c>
      <x:c r="E63" s="6" t="str">
        <x:v>2026-01-01至2026-06-30</x:v>
      </x:c>
      <x:c r="F63" s="18" t="n">
        <x:v>181268174000</x:v>
      </x:c>
      <x:c r="G63" s="6" t="str">
        <x:v>人民币元</x:v>
      </x:c>
      <x:c r="H63" s="18" t="n">
        <x:v>181268174000</x:v>
      </x:c>
      <x:c r="I63" s="6" t="str">
        <x:v>人民币元</x:v>
      </x:c>
      <x:c r="J63" s="13" t="d">
        <x:v>2026-08-29T00:00:00.000Z</x:v>
      </x:c>
      <x:c r="K63" s="6" t="str">
        <x:v>F002</x:v>
      </x:c>
      <x:c r="L63" s="6" t="str">
        <x:v>官方披露已核验</x:v>
      </x:c>
      <x:c r="M63" s="6" t="str">
        <x:v>集团合并口径;境外收入不等同于汽车出口收入。 核查日期:2026-10-08。；披露日期依据巨潮发布目录；报告批准日另列，不混同</x:v>
      </x:c>
    </x:row>
    <x:row r="64" ht="40" customHeight="1">
      <x:c r="A64" s="6" t="str">
        <x:v>R0332</x:v>
      </x:c>
      <x:c r="B64" s="6" t="str">
        <x:v>比亚迪股份有限公司</x:v>
      </x:c>
      <x:c r="C64" s="6" t="str">
        <x:v>集团经营</x:v>
      </x:c>
      <x:c r="D64" s="6" t="str">
        <x:v>境外收入占比</x:v>
      </x:c>
      <x:c r="E64" s="6" t="str">
        <x:v>2026-01-01至2026-06-30</x:v>
      </x:c>
      <x:c r="F64" s="17" t="n">
        <x:v>52.57</x:v>
      </x:c>
      <x:c r="G64" s="6" t="str">
        <x:v>%</x:v>
      </x:c>
      <x:c r="H64" s="17" t="n">
        <x:v>52.57</x:v>
      </x:c>
      <x:c r="I64" s="6" t="str">
        <x:v>%</x:v>
      </x:c>
      <x:c r="J64" s="13" t="d">
        <x:v>2026-08-29T00:00:00.000Z</x:v>
      </x:c>
      <x:c r="K64" s="6" t="str">
        <x:v>F002</x:v>
      </x:c>
      <x:c r="L64" s="6" t="str">
        <x:v>官方披露已核验</x:v>
      </x:c>
      <x:c r="M64" s="6" t="str">
        <x:v>集团合并口径;境外收入不等同于汽车出口收入。 核查日期:2026-10-08。；披露日期依据巨潮发布目录；报告批准日另列，不混同</x:v>
      </x:c>
    </x:row>
    <x:row r="65" ht="40" customHeight="1">
      <x:c r="A65" s="6" t="str">
        <x:v>R0333</x:v>
      </x:c>
      <x:c r="B65" s="6" t="str">
        <x:v>比亚迪股份有限公司</x:v>
      </x:c>
      <x:c r="C65" s="6" t="str">
        <x:v>集团经营</x:v>
      </x:c>
      <x:c r="D65" s="6" t="str">
        <x:v>境外收入同比</x:v>
      </x:c>
      <x:c r="E65" s="6" t="str">
        <x:v>2026-01-01至2026-06-30</x:v>
      </x:c>
      <x:c r="F65" s="17" t="n">
        <x:v>33.92</x:v>
      </x:c>
      <x:c r="G65" s="6" t="str">
        <x:v>%</x:v>
      </x:c>
      <x:c r="H65" s="17" t="n">
        <x:v>33.92</x:v>
      </x:c>
      <x:c r="I65" s="6" t="str">
        <x:v>%</x:v>
      </x:c>
      <x:c r="J65" s="13" t="d">
        <x:v>2026-08-29T00:00:00.000Z</x:v>
      </x:c>
      <x:c r="K65" s="6" t="str">
        <x:v>F002</x:v>
      </x:c>
      <x:c r="L65" s="6" t="str">
        <x:v>官方披露已核验</x:v>
      </x:c>
      <x:c r="M65" s="6" t="str">
        <x:v>集团合并口径;境外收入不等同于汽车出口收入。 核查日期:2026-10-08。；披露日期依据巨潮发布目录；报告批准日另列，不混同</x:v>
      </x:c>
    </x:row>
    <x:row r="66" ht="40" customHeight="1">
      <x:c r="A66" s="6" t="str">
        <x:v>R0329</x:v>
      </x:c>
      <x:c r="B66" s="6" t="str">
        <x:v>比亚迪股份有限公司</x:v>
      </x:c>
      <x:c r="C66" s="6" t="str">
        <x:v>集团经营</x:v>
      </x:c>
      <x:c r="D66" s="6" t="str">
        <x:v>汽车、汽车相关产品及其他产品收入</x:v>
      </x:c>
      <x:c r="E66" s="6" t="str">
        <x:v>2026-01-01至2026-06-30</x:v>
      </x:c>
      <x:c r="F66" s="18" t="n">
        <x:v>275341358000</x:v>
      </x:c>
      <x:c r="G66" s="6" t="str">
        <x:v>人民币元</x:v>
      </x:c>
      <x:c r="H66" s="18" t="n">
        <x:v>275341358000</x:v>
      </x:c>
      <x:c r="I66" s="6" t="str">
        <x:v>人民币元</x:v>
      </x:c>
      <x:c r="J66" s="13" t="d">
        <x:v>2026-08-29T00:00:00.000Z</x:v>
      </x:c>
      <x:c r="K66" s="6" t="str">
        <x:v>F002</x:v>
      </x:c>
      <x:c r="L66" s="6" t="str">
        <x:v>官方披露已核验</x:v>
      </x:c>
      <x:c r="M66" s="6" t="str">
        <x:v>集团合并口径;境外收入不等同于汽车出口收入。 核查日期:2026-10-08。；披露日期依据巨潮发布目录；报告批准日另列，不混同</x:v>
      </x:c>
    </x:row>
    <x:row r="67" ht="56" customHeight="1">
      <x:c r="A67" s="6" t="str">
        <x:v>R0335</x:v>
      </x:c>
      <x:c r="B67" s="6" t="str">
        <x:v>比亚迪股份有限公司</x:v>
      </x:c>
      <x:c r="C67" s="6" t="str">
        <x:v>集团经营</x:v>
      </x:c>
      <x:c r="D67" s="6" t="str">
        <x:v>汽车、汽车相关产品及其他产品毛利率</x:v>
      </x:c>
      <x:c r="E67" s="6" t="str">
        <x:v>2026-01-01至2026-06-30</x:v>
      </x:c>
      <x:c r="F67" s="17" t="n">
        <x:v>22.33</x:v>
      </x:c>
      <x:c r="G67" s="6" t="str">
        <x:v>%</x:v>
      </x:c>
      <x:c r="H67" s="17" t="n">
        <x:v>22.33</x:v>
      </x:c>
      <x:c r="I67" s="6" t="str">
        <x:v>%</x:v>
      </x:c>
      <x:c r="J67" s="13" t="d">
        <x:v>2026-08-29T00:00:00.000Z</x:v>
      </x:c>
      <x:c r="K67" s="6" t="str">
        <x:v>F002</x:v>
      </x:c>
      <x:c r="L67" s="6" t="str">
        <x:v>官方披露已核验</x:v>
      </x:c>
      <x:c r="M67" s="6" t="str">
        <x:v>集团合并分行业/产品口径。核查日期:2026-10-08。;数值正确,但原文产品行包含汽车相关产品及其他产品;建议完整保留产品口径,避免被当成纯整车汽车业务毛利率。；披露日期依据巨潮发布目录；报告批准日另列，不混同</x:v>
      </x:c>
    </x:row>
    <x:row r="68" ht="40" customHeight="1">
      <x:c r="A68" s="6" t="str">
        <x:v>R0328</x:v>
      </x:c>
      <x:c r="B68" s="6" t="str">
        <x:v>比亚迪股份有限公司</x:v>
      </x:c>
      <x:c r="C68" s="6" t="str">
        <x:v>集团经营</x:v>
      </x:c>
      <x:c r="D68" s="6" t="str">
        <x:v>电子及其他产品收入</x:v>
      </x:c>
      <x:c r="E68" s="6" t="str">
        <x:v>2026-01-01至2026-06-30</x:v>
      </x:c>
      <x:c r="F68" s="18" t="n">
        <x:v>69404994000</x:v>
      </x:c>
      <x:c r="G68" s="6" t="str">
        <x:v>人民币元</x:v>
      </x:c>
      <x:c r="H68" s="18" t="n">
        <x:v>69404994000</x:v>
      </x:c>
      <x:c r="I68" s="6" t="str">
        <x:v>人民币元</x:v>
      </x:c>
      <x:c r="J68" s="13" t="d">
        <x:v>2026-08-29T00:00:00.000Z</x:v>
      </x:c>
      <x:c r="K68" s="6" t="str">
        <x:v>F002</x:v>
      </x:c>
      <x:c r="L68" s="6" t="str">
        <x:v>官方披露已核验</x:v>
      </x:c>
      <x:c r="M68" s="6" t="str">
        <x:v>集团合并口径;境外收入不等同于汽车出口收入。 核查日期:2026-10-08。；披露日期依据巨潮发布目录；报告批准日另列，不混同</x:v>
      </x:c>
    </x:row>
    <x:row r="69" ht="40" customHeight="1">
      <x:c r="A69" s="6" t="str">
        <x:v>R0334</x:v>
      </x:c>
      <x:c r="B69" s="6" t="str">
        <x:v>比亚迪股份有限公司</x:v>
      </x:c>
      <x:c r="C69" s="6" t="str">
        <x:v>集团经营</x:v>
      </x:c>
      <x:c r="D69" s="6" t="str">
        <x:v>电子及其他产品毛利率</x:v>
      </x:c>
      <x:c r="E69" s="6" t="str">
        <x:v>2026-01-01至2026-06-30</x:v>
      </x:c>
      <x:c r="F69" s="17" t="n">
        <x:v>5.04</x:v>
      </x:c>
      <x:c r="G69" s="6" t="str">
        <x:v>%</x:v>
      </x:c>
      <x:c r="H69" s="17" t="n">
        <x:v>5.04</x:v>
      </x:c>
      <x:c r="I69" s="6" t="str">
        <x:v>%</x:v>
      </x:c>
      <x:c r="J69" s="13" t="d">
        <x:v>2026-08-29T00:00:00.000Z</x:v>
      </x:c>
      <x:c r="K69" s="6" t="str">
        <x:v>F002</x:v>
      </x:c>
      <x:c r="L69" s="6" t="str">
        <x:v>官方披露已核验</x:v>
      </x:c>
      <x:c r="M69" s="6" t="str">
        <x:v>集团合并分行业/产品口径。核查日期:2026-10-08。；披露日期依据巨潮发布目录；报告批准日另列，不混同</x:v>
      </x:c>
    </x:row>
    <x:row r="70" ht="40" customHeight="1">
      <x:c r="A70" s="6" t="str">
        <x:v>R0337</x:v>
      </x:c>
      <x:c r="B70" s="6" t="str">
        <x:v>比亚迪股份有限公司</x:v>
      </x:c>
      <x:c r="C70" s="6" t="str">
        <x:v>集团财务</x:v>
      </x:c>
      <x:c r="D70" s="6" t="str">
        <x:v>前三季度归母净利润</x:v>
      </x:c>
      <x:c r="E70" s="6" t="str">
        <x:v>2025-01-01至2025-09-30</x:v>
      </x:c>
      <x:c r="F70" s="18" t="n">
        <x:v>23333173000</x:v>
      </x:c>
      <x:c r="G70" s="6" t="str">
        <x:v>人民币元</x:v>
      </x:c>
      <x:c r="H70" s="18" t="n">
        <x:v>23333173000</x:v>
      </x:c>
      <x:c r="I70" s="6" t="str">
        <x:v>人民币元</x:v>
      </x:c>
      <x:c r="J70" s="13" t="d">
        <x:v>2025-10-31T00:00:00.000Z</x:v>
      </x:c>
      <x:c r="K70" s="6" t="str">
        <x:v>F003</x:v>
      </x:c>
      <x:c r="L70" s="6" t="str">
        <x:v>官方披露已核验</x:v>
      </x:c>
      <x:c r="M70" s="6" t="str">
        <x:v>三季报未经审计;本报告期指第三季度,年初至报告期末指前三季度。 核查日期:2026-10-08。；披露日期依据巨潮发布目录；报告批准日另列，不混同</x:v>
      </x:c>
    </x:row>
    <x:row r="71" ht="40" customHeight="1">
      <x:c r="A71" s="6" t="str">
        <x:v>R0338</x:v>
      </x:c>
      <x:c r="B71" s="6" t="str">
        <x:v>比亚迪股份有限公司</x:v>
      </x:c>
      <x:c r="C71" s="6" t="str">
        <x:v>集团财务</x:v>
      </x:c>
      <x:c r="D71" s="6" t="str">
        <x:v>前三季度经营现金流净额</x:v>
      </x:c>
      <x:c r="E71" s="6" t="str">
        <x:v>2025-01-01至2025-09-30</x:v>
      </x:c>
      <x:c r="F71" s="18" t="n">
        <x:v>40845498000</x:v>
      </x:c>
      <x:c r="G71" s="6" t="str">
        <x:v>人民币元</x:v>
      </x:c>
      <x:c r="H71" s="18" t="n">
        <x:v>40845498000</x:v>
      </x:c>
      <x:c r="I71" s="6" t="str">
        <x:v>人民币元</x:v>
      </x:c>
      <x:c r="J71" s="13" t="d">
        <x:v>2025-10-31T00:00:00.000Z</x:v>
      </x:c>
      <x:c r="K71" s="6" t="str">
        <x:v>F003</x:v>
      </x:c>
      <x:c r="L71" s="6" t="str">
        <x:v>官方披露已核验</x:v>
      </x:c>
      <x:c r="M71" s="6" t="str">
        <x:v>三季报未经审计;本报告期指第三季度,年初至报告期末指前三季度。 核查日期:2026-10-08。；披露日期依据巨潮发布目录；报告批准日另列，不混同</x:v>
      </x:c>
    </x:row>
    <x:row r="72" ht="40" customHeight="1">
      <x:c r="A72" s="6" t="str">
        <x:v>R0336</x:v>
      </x:c>
      <x:c r="B72" s="6" t="str">
        <x:v>比亚迪股份有限公司</x:v>
      </x:c>
      <x:c r="C72" s="6" t="str">
        <x:v>集团财务</x:v>
      </x:c>
      <x:c r="D72" s="6" t="str">
        <x:v>前三季度营业收入</x:v>
      </x:c>
      <x:c r="E72" s="6" t="str">
        <x:v>2025-01-01至2025-09-30</x:v>
      </x:c>
      <x:c r="F72" s="18" t="n">
        <x:v>566265546000</x:v>
      </x:c>
      <x:c r="G72" s="6" t="str">
        <x:v>人民币元</x:v>
      </x:c>
      <x:c r="H72" s="18" t="n">
        <x:v>566265546000</x:v>
      </x:c>
      <x:c r="I72" s="6" t="str">
        <x:v>人民币元</x:v>
      </x:c>
      <x:c r="J72" s="13" t="d">
        <x:v>2025-10-31T00:00:00.000Z</x:v>
      </x:c>
      <x:c r="K72" s="6" t="str">
        <x:v>F003</x:v>
      </x:c>
      <x:c r="L72" s="6" t="str">
        <x:v>官方披露已核验</x:v>
      </x:c>
      <x:c r="M72" s="6" t="str">
        <x:v>三季报未经审计;本报告期指第三季度,年初至报告期末指前三季度。 核查日期:2026-10-08。；披露日期依据巨潮发布目录；报告批准日另列，不混同</x:v>
      </x:c>
    </x:row>
    <x:row r="73" ht="56" customHeight="1">
      <x:c r="A73" s="6" t="str">
        <x:v>R0291</x:v>
      </x:c>
      <x:c r="B73" s="6" t="str">
        <x:v>比亚迪股份有限公司</x:v>
      </x:c>
      <x:c r="C73" s="6" t="str">
        <x:v>集团财务</x:v>
      </x:c>
      <x:c r="D73" s="6" t="str">
        <x:v>净利润(含少数股东损益)</x:v>
      </x:c>
      <x:c r="E73" s="6" t="str">
        <x:v>2025-01-01至2025-12-31</x:v>
      </x:c>
      <x:c r="F73" s="18" t="n">
        <x:v>33760758</x:v>
      </x:c>
      <x:c r="G73" s="6" t="str">
        <x:v>人民币千元</x:v>
      </x:c>
      <x:c r="H73" s="18" t="n">
        <x:v>33760758000</x:v>
      </x:c>
      <x:c r="I73" s="6" t="str">
        <x:v>人民币元</x:v>
      </x:c>
      <x:c r="J73" s="13" t="d">
        <x:v>2026-03-28T00:00:00.000Z</x:v>
      </x:c>
      <x:c r="K73" s="6" t="str">
        <x:v>F001</x:v>
      </x:c>
      <x:c r="L73" s="6" t="str">
        <x:v>官方披露已核验</x:v>
      </x:c>
      <x:c r="M73" s="6" t="str">
        <x:v>集团合并口径;单位根据报告印刷第140页记账本位币政策确认为人民币千元。净利润与归母净利润分开。 核查日期:2026-10-08。；披露日期依据巨潮发布目录；报告批准日另列，不混同</x:v>
      </x:c>
    </x:row>
    <x:row r="74" ht="56" customHeight="1">
      <x:c r="A74" s="6" t="str">
        <x:v>R0289</x:v>
      </x:c>
      <x:c r="B74" s="6" t="str">
        <x:v>比亚迪股份有限公司</x:v>
      </x:c>
      <x:c r="C74" s="6" t="str">
        <x:v>集团财务</x:v>
      </x:c>
      <x:c r="D74" s="6" t="str">
        <x:v>利润总额</x:v>
      </x:c>
      <x:c r="E74" s="6" t="str">
        <x:v>2025-01-01至2025-12-31</x:v>
      </x:c>
      <x:c r="F74" s="18" t="n">
        <x:v>39753049</x:v>
      </x:c>
      <x:c r="G74" s="6" t="str">
        <x:v>人民币千元</x:v>
      </x:c>
      <x:c r="H74" s="18" t="n">
        <x:v>39753049000</x:v>
      </x:c>
      <x:c r="I74" s="6" t="str">
        <x:v>人民币元</x:v>
      </x:c>
      <x:c r="J74" s="13" t="d">
        <x:v>2026-03-28T00:00:00.000Z</x:v>
      </x:c>
      <x:c r="K74" s="6" t="str">
        <x:v>F001</x:v>
      </x:c>
      <x:c r="L74" s="6" t="str">
        <x:v>官方披露已核验</x:v>
      </x:c>
      <x:c r="M74" s="6" t="str">
        <x:v>集团合并口径;单位根据报告印刷第140页记账本位币政策确认为人民币千元。净利润与归母净利润分开。 核查日期:2026-10-08。；披露日期依据巨潮发布目录；报告批准日另列，不混同</x:v>
      </x:c>
    </x:row>
    <x:row r="75" ht="40" customHeight="1">
      <x:c r="A75" s="6" t="str">
        <x:v>R0265</x:v>
      </x:c>
      <x:c r="B75" s="6" t="str">
        <x:v>比亚迪股份有限公司</x:v>
      </x:c>
      <x:c r="C75" s="6" t="str">
        <x:v>集团财务</x:v>
      </x:c>
      <x:c r="D75" s="6" t="str">
        <x:v>加权平均净资产收益率</x:v>
      </x:c>
      <x:c r="E75" s="6" t="str">
        <x:v>2025-01-01至2025-12-31</x:v>
      </x:c>
      <x:c r="F75" s="17" t="n">
        <x:v>15.31</x:v>
      </x:c>
      <x:c r="G75" s="6" t="str">
        <x:v>%</x:v>
      </x:c>
      <x:c r="H75" s="17" t="n">
        <x:v>15.31</x:v>
      </x:c>
      <x:c r="I75" s="6" t="str">
        <x:v>%</x:v>
      </x:c>
      <x:c r="J75" s="13" t="d">
        <x:v>2026-03-28T00:00:00.000Z</x:v>
      </x:c>
      <x:c r="K75" s="6" t="str">
        <x:v>F001</x:v>
      </x:c>
      <x:c r="L75" s="6" t="str">
        <x:v>官方披露已核验</x:v>
      </x:c>
      <x:c r="M75" s="6" t="str">
        <x:v>集团合并口径。 核查日期:2026-10-08。；披露日期依据巨潮发布目录；报告批准日另列，不混同</x:v>
      </x:c>
    </x:row>
    <x:row r="76" ht="40" customHeight="1">
      <x:c r="A76" s="6" t="str">
        <x:v>R0263</x:v>
      </x:c>
      <x:c r="B76" s="6" t="str">
        <x:v>比亚迪股份有限公司</x:v>
      </x:c>
      <x:c r="C76" s="6" t="str">
        <x:v>集团财务</x:v>
      </x:c>
      <x:c r="D76" s="6" t="str">
        <x:v>基本每股收益</x:v>
      </x:c>
      <x:c r="E76" s="6" t="str">
        <x:v>2025-01-01至2025-12-31</x:v>
      </x:c>
      <x:c r="F76" s="17" t="n">
        <x:v>3.58</x:v>
      </x:c>
      <x:c r="G76" s="6" t="str">
        <x:v>人民币元/股</x:v>
      </x:c>
      <x:c r="H76" s="17" t="n">
        <x:v>3.58</x:v>
      </x:c>
      <x:c r="I76" s="6" t="str">
        <x:v>人民币元/股</x:v>
      </x:c>
      <x:c r="J76" s="13" t="d">
        <x:v>2026-03-28T00:00:00.000Z</x:v>
      </x:c>
      <x:c r="K76" s="6" t="str">
        <x:v>F001</x:v>
      </x:c>
      <x:c r="L76" s="6" t="str">
        <x:v>官方披露已核验</x:v>
      </x:c>
      <x:c r="M76" s="6" t="str">
        <x:v>集团合并口径。每股收益按2025年7月送转后的股数调整。 核查日期:2026-10-08。；披露日期依据巨潮发布目录；报告批准日另列，不混同</x:v>
      </x:c>
    </x:row>
    <x:row r="77" ht="56" customHeight="1">
      <x:c r="A77" s="6" t="str">
        <x:v>R0292</x:v>
      </x:c>
      <x:c r="B77" s="6" t="str">
        <x:v>比亚迪股份有限公司</x:v>
      </x:c>
      <x:c r="C77" s="6" t="str">
        <x:v>集团财务</x:v>
      </x:c>
      <x:c r="D77" s="6" t="str">
        <x:v>少数股东损益</x:v>
      </x:c>
      <x:c r="E77" s="6" t="str">
        <x:v>2025-01-01至2025-12-31</x:v>
      </x:c>
      <x:c r="F77" s="18" t="n">
        <x:v>1141736</x:v>
      </x:c>
      <x:c r="G77" s="6" t="str">
        <x:v>人民币千元</x:v>
      </x:c>
      <x:c r="H77" s="18" t="n">
        <x:v>1141736000</x:v>
      </x:c>
      <x:c r="I77" s="6" t="str">
        <x:v>人民币元</x:v>
      </x:c>
      <x:c r="J77" s="13" t="d">
        <x:v>2026-03-28T00:00:00.000Z</x:v>
      </x:c>
      <x:c r="K77" s="6" t="str">
        <x:v>F001</x:v>
      </x:c>
      <x:c r="L77" s="6" t="str">
        <x:v>官方披露已核验</x:v>
      </x:c>
      <x:c r="M77" s="6" t="str">
        <x:v>集团合并口径;单位根据报告印刷第140页记账本位币政策确认为人民币千元。净利润与归母净利润分开。 核查日期:2026-10-08。；披露日期依据巨潮发布目录；报告批准日另列，不混同</x:v>
      </x:c>
    </x:row>
    <x:row r="78" ht="40" customHeight="1">
      <x:c r="A78" s="6" t="str">
        <x:v>R0260</x:v>
      </x:c>
      <x:c r="B78" s="6" t="str">
        <x:v>比亚迪股份有限公司</x:v>
      </x:c>
      <x:c r="C78" s="6" t="str">
        <x:v>集团财务</x:v>
      </x:c>
      <x:c r="D78" s="6" t="str">
        <x:v>归属于上市公司股东的净利润</x:v>
      </x:c>
      <x:c r="E78" s="6" t="str">
        <x:v>2025-01-01至2025-12-31</x:v>
      </x:c>
      <x:c r="F78" s="18" t="n">
        <x:v>32619022000</x:v>
      </x:c>
      <x:c r="G78" s="6" t="str">
        <x:v>人民币元</x:v>
      </x:c>
      <x:c r="H78" s="18" t="n">
        <x:v>32619022000</x:v>
      </x:c>
      <x:c r="I78" s="6" t="str">
        <x:v>人民币元</x:v>
      </x:c>
      <x:c r="J78" s="13" t="d">
        <x:v>2026-03-28T00:00:00.000Z</x:v>
      </x:c>
      <x:c r="K78" s="6" t="str">
        <x:v>F001</x:v>
      </x:c>
      <x:c r="L78" s="6" t="str">
        <x:v>官方披露已核验</x:v>
      </x:c>
      <x:c r="M78" s="6" t="str">
        <x:v>集团合并口径。 核查日期:2026-10-08。；披露日期依据巨潮发布目录；报告批准日另列，不混同</x:v>
      </x:c>
    </x:row>
    <x:row r="79" ht="40" customHeight="1">
      <x:c r="A79" s="6" t="str">
        <x:v>R0269</x:v>
      </x:c>
      <x:c r="B79" s="6" t="str">
        <x:v>比亚迪股份有限公司</x:v>
      </x:c>
      <x:c r="C79" s="6" t="str">
        <x:v>集团财务</x:v>
      </x:c>
      <x:c r="D79" s="6" t="str">
        <x:v>归母净利润同比</x:v>
      </x:c>
      <x:c r="E79" s="6" t="str">
        <x:v>2025-01-01至2025-12-31</x:v>
      </x:c>
      <x:c r="F79" s="17" t="n">
        <x:v>-18.97</x:v>
      </x:c>
      <x:c r="G79" s="6" t="str">
        <x:v>%</x:v>
      </x:c>
      <x:c r="H79" s="17" t="n">
        <x:v>-18.97</x:v>
      </x:c>
      <x:c r="I79" s="6" t="str">
        <x:v>%</x:v>
      </x:c>
      <x:c r="J79" s="13" t="d">
        <x:v>2026-03-28T00:00:00.000Z</x:v>
      </x:c>
      <x:c r="K79" s="6" t="str">
        <x:v>F001</x:v>
      </x:c>
      <x:c r="L79" s="6" t="str">
        <x:v>官方披露已核验</x:v>
      </x:c>
      <x:c r="M79" s="6" t="str">
        <x:v>同比对照上年同期间。 核查日期:2026-10-08。；披露日期依据巨潮发布目录；报告批准日另列，不混同</x:v>
      </x:c>
    </x:row>
    <x:row r="80" ht="40" customHeight="1">
      <x:c r="A80" s="6" t="str">
        <x:v>R0261</x:v>
      </x:c>
      <x:c r="B80" s="6" t="str">
        <x:v>比亚迪股份有限公司</x:v>
      </x:c>
      <x:c r="C80" s="6" t="str">
        <x:v>集团财务</x:v>
      </x:c>
      <x:c r="D80" s="6" t="str">
        <x:v>归母扣非净利润</x:v>
      </x:c>
      <x:c r="E80" s="6" t="str">
        <x:v>2025-01-01至2025-12-31</x:v>
      </x:c>
      <x:c r="F80" s="18" t="n">
        <x:v>29445703000</x:v>
      </x:c>
      <x:c r="G80" s="6" t="str">
        <x:v>人民币元</x:v>
      </x:c>
      <x:c r="H80" s="18" t="n">
        <x:v>29445703000</x:v>
      </x:c>
      <x:c r="I80" s="6" t="str">
        <x:v>人民币元</x:v>
      </x:c>
      <x:c r="J80" s="13" t="d">
        <x:v>2026-03-28T00:00:00.000Z</x:v>
      </x:c>
      <x:c r="K80" s="6" t="str">
        <x:v>F001</x:v>
      </x:c>
      <x:c r="L80" s="6" t="str">
        <x:v>官方披露已核验</x:v>
      </x:c>
      <x:c r="M80" s="6" t="str">
        <x:v>集团合并口径。 核查日期:2026-10-08。；披露日期依据巨潮发布目录；报告批准日另列，不混同</x:v>
      </x:c>
    </x:row>
    <x:row r="81" ht="56" customHeight="1">
      <x:c r="A81" s="6" t="str">
        <x:v>R0290</x:v>
      </x:c>
      <x:c r="B81" s="6" t="str">
        <x:v>比亚迪股份有限公司</x:v>
      </x:c>
      <x:c r="C81" s="6" t="str">
        <x:v>集团财务</x:v>
      </x:c>
      <x:c r="D81" s="6" t="str">
        <x:v>所得税费用</x:v>
      </x:c>
      <x:c r="E81" s="6" t="str">
        <x:v>2025-01-01至2025-12-31</x:v>
      </x:c>
      <x:c r="F81" s="18" t="n">
        <x:v>5992291</x:v>
      </x:c>
      <x:c r="G81" s="6" t="str">
        <x:v>人民币千元</x:v>
      </x:c>
      <x:c r="H81" s="18" t="n">
        <x:v>5992291000</x:v>
      </x:c>
      <x:c r="I81" s="6" t="str">
        <x:v>人民币元</x:v>
      </x:c>
      <x:c r="J81" s="13" t="d">
        <x:v>2026-03-28T00:00:00.000Z</x:v>
      </x:c>
      <x:c r="K81" s="6" t="str">
        <x:v>F001</x:v>
      </x:c>
      <x:c r="L81" s="6" t="str">
        <x:v>官方披露已核验</x:v>
      </x:c>
      <x:c r="M81" s="6" t="str">
        <x:v>集团合并口径;单位根据报告印刷第140页记账本位币政策确认为人民币千元。净利润与归母净利润分开。 核查日期:2026-10-08。；披露日期依据巨潮发布目录；报告批准日另列，不混同</x:v>
      </x:c>
    </x:row>
    <x:row r="82" ht="56" customHeight="1">
      <x:c r="A82" s="6" t="str">
        <x:v>R0286</x:v>
      </x:c>
      <x:c r="B82" s="6" t="str">
        <x:v>比亚迪股份有限公司</x:v>
      </x:c>
      <x:c r="C82" s="6" t="str">
        <x:v>集团财务</x:v>
      </x:c>
      <x:c r="D82" s="6" t="str">
        <x:v>研发费用</x:v>
      </x:c>
      <x:c r="E82" s="6" t="str">
        <x:v>2025-01-01至2025-12-31</x:v>
      </x:c>
      <x:c r="F82" s="18" t="n">
        <x:v>57978105</x:v>
      </x:c>
      <x:c r="G82" s="6" t="str">
        <x:v>人民币千元</x:v>
      </x:c>
      <x:c r="H82" s="18" t="n">
        <x:v>57978105000</x:v>
      </x:c>
      <x:c r="I82" s="6" t="str">
        <x:v>人民币元</x:v>
      </x:c>
      <x:c r="J82" s="13" t="d">
        <x:v>2026-03-28T00:00:00.000Z</x:v>
      </x:c>
      <x:c r="K82" s="6" t="str">
        <x:v>F001</x:v>
      </x:c>
      <x:c r="L82" s="6" t="str">
        <x:v>官方披露已核验</x:v>
      </x:c>
      <x:c r="M82" s="6" t="str">
        <x:v>集团合并口径;单位根据报告印刷第140页记账本位币政策确认为人民币千元。净利润与归母净利润分开。 核查日期:2026-10-08。；披露日期依据巨潮发布目录；报告批准日另列，不混同</x:v>
      </x:c>
    </x:row>
    <x:row r="83" ht="40" customHeight="1">
      <x:c r="A83" s="6" t="str">
        <x:v>R0264</x:v>
      </x:c>
      <x:c r="B83" s="6" t="str">
        <x:v>比亚迪股份有限公司</x:v>
      </x:c>
      <x:c r="C83" s="6" t="str">
        <x:v>集团财务</x:v>
      </x:c>
      <x:c r="D83" s="6" t="str">
        <x:v>稀释每股收益</x:v>
      </x:c>
      <x:c r="E83" s="6" t="str">
        <x:v>2025-01-01至2025-12-31</x:v>
      </x:c>
      <x:c r="F83" s="17" t="n">
        <x:v>3.58</x:v>
      </x:c>
      <x:c r="G83" s="6" t="str">
        <x:v>人民币元/股</x:v>
      </x:c>
      <x:c r="H83" s="17" t="n">
        <x:v>3.58</x:v>
      </x:c>
      <x:c r="I83" s="6" t="str">
        <x:v>人民币元/股</x:v>
      </x:c>
      <x:c r="J83" s="13" t="d">
        <x:v>2026-03-28T00:00:00.000Z</x:v>
      </x:c>
      <x:c r="K83" s="6" t="str">
        <x:v>F001</x:v>
      </x:c>
      <x:c r="L83" s="6" t="str">
        <x:v>官方披露已核验</x:v>
      </x:c>
      <x:c r="M83" s="6" t="str">
        <x:v>集团合并口径。每股收益按2025年7月送转后的股数调整。 核查日期:2026-10-08。；披露日期依据巨潮发布目录；报告批准日另列，不混同</x:v>
      </x:c>
    </x:row>
    <x:row r="84" ht="56" customHeight="1">
      <x:c r="A84" s="6" t="str">
        <x:v>R0285</x:v>
      </x:c>
      <x:c r="B84" s="6" t="str">
        <x:v>比亚迪股份有限公司</x:v>
      </x:c>
      <x:c r="C84" s="6" t="str">
        <x:v>集团财务</x:v>
      </x:c>
      <x:c r="D84" s="6" t="str">
        <x:v>管理费用</x:v>
      </x:c>
      <x:c r="E84" s="6" t="str">
        <x:v>2025-01-01至2025-12-31</x:v>
      </x:c>
      <x:c r="F84" s="18" t="n">
        <x:v>20199944</x:v>
      </x:c>
      <x:c r="G84" s="6" t="str">
        <x:v>人民币千元</x:v>
      </x:c>
      <x:c r="H84" s="18" t="n">
        <x:v>20199944000</x:v>
      </x:c>
      <x:c r="I84" s="6" t="str">
        <x:v>人民币元</x:v>
      </x:c>
      <x:c r="J84" s="13" t="d">
        <x:v>2026-03-28T00:00:00.000Z</x:v>
      </x:c>
      <x:c r="K84" s="6" t="str">
        <x:v>F001</x:v>
      </x:c>
      <x:c r="L84" s="6" t="str">
        <x:v>官方披露已核验</x:v>
      </x:c>
      <x:c r="M84" s="6" t="str">
        <x:v>集团合并口径;单位根据报告印刷第140页记账本位币政策确认为人民币千元。净利润与归母净利润分开。 核查日期:2026-10-08。；披露日期依据巨潮发布目录；报告批准日另列，不混同</x:v>
      </x:c>
    </x:row>
    <x:row r="85" ht="40" customHeight="1">
      <x:c r="A85" s="6" t="str">
        <x:v>R0270</x:v>
      </x:c>
      <x:c r="B85" s="6" t="str">
        <x:v>比亚迪股份有限公司</x:v>
      </x:c>
      <x:c r="C85" s="6" t="str">
        <x:v>集团财务</x:v>
      </x:c>
      <x:c r="D85" s="6" t="str">
        <x:v>经营活动现金流净额同比</x:v>
      </x:c>
      <x:c r="E85" s="6" t="str">
        <x:v>2025-01-01至2025-12-31</x:v>
      </x:c>
      <x:c r="F85" s="17" t="n">
        <x:v>-55.69</x:v>
      </x:c>
      <x:c r="G85" s="6" t="str">
        <x:v>%</x:v>
      </x:c>
      <x:c r="H85" s="17" t="n">
        <x:v>-55.69</x:v>
      </x:c>
      <x:c r="I85" s="6" t="str">
        <x:v>%</x:v>
      </x:c>
      <x:c r="J85" s="13" t="d">
        <x:v>2026-03-28T00:00:00.000Z</x:v>
      </x:c>
      <x:c r="K85" s="6" t="str">
        <x:v>F001</x:v>
      </x:c>
      <x:c r="L85" s="6" t="str">
        <x:v>官方披露已核验</x:v>
      </x:c>
      <x:c r="M85" s="6" t="str">
        <x:v>同比对照上年同期间。 核查日期:2026-10-08。；披露日期依据巨潮发布目录；报告批准日另列，不混同</x:v>
      </x:c>
    </x:row>
    <x:row r="86" ht="40" customHeight="1">
      <x:c r="A86" s="6" t="str">
        <x:v>R0262</x:v>
      </x:c>
      <x:c r="B86" s="6" t="str">
        <x:v>比亚迪股份有限公司</x:v>
      </x:c>
      <x:c r="C86" s="6" t="str">
        <x:v>集团财务</x:v>
      </x:c>
      <x:c r="D86" s="6" t="str">
        <x:v>经营活动现金流量净额</x:v>
      </x:c>
      <x:c r="E86" s="6" t="str">
        <x:v>2025-01-01至2025-12-31</x:v>
      </x:c>
      <x:c r="F86" s="18" t="n">
        <x:v>59135544000</x:v>
      </x:c>
      <x:c r="G86" s="6" t="str">
        <x:v>人民币元</x:v>
      </x:c>
      <x:c r="H86" s="18" t="n">
        <x:v>59135544000</x:v>
      </x:c>
      <x:c r="I86" s="6" t="str">
        <x:v>人民币元</x:v>
      </x:c>
      <x:c r="J86" s="13" t="d">
        <x:v>2026-03-28T00:00:00.000Z</x:v>
      </x:c>
      <x:c r="K86" s="6" t="str">
        <x:v>F001</x:v>
      </x:c>
      <x:c r="L86" s="6" t="str">
        <x:v>官方披露已核验</x:v>
      </x:c>
      <x:c r="M86" s="6" t="str">
        <x:v>集团合并口径。 核查日期:2026-10-08。；披露日期依据巨潮发布目录；报告批准日另列，不混同</x:v>
      </x:c>
    </x:row>
    <x:row r="87" ht="56" customHeight="1">
      <x:c r="A87" s="6" t="str">
        <x:v>R0288</x:v>
      </x:c>
      <x:c r="B87" s="6" t="str">
        <x:v>比亚迪股份有限公司</x:v>
      </x:c>
      <x:c r="C87" s="6" t="str">
        <x:v>集团财务</x:v>
      </x:c>
      <x:c r="D87" s="6" t="str">
        <x:v>营业利润</x:v>
      </x:c>
      <x:c r="E87" s="6" t="str">
        <x:v>2025-01-01至2025-12-31</x:v>
      </x:c>
      <x:c r="F87" s="18" t="n">
        <x:v>40184709</x:v>
      </x:c>
      <x:c r="G87" s="6" t="str">
        <x:v>人民币千元</x:v>
      </x:c>
      <x:c r="H87" s="18" t="n">
        <x:v>40184709000</x:v>
      </x:c>
      <x:c r="I87" s="6" t="str">
        <x:v>人民币元</x:v>
      </x:c>
      <x:c r="J87" s="13" t="d">
        <x:v>2026-03-28T00:00:00.000Z</x:v>
      </x:c>
      <x:c r="K87" s="6" t="str">
        <x:v>F001</x:v>
      </x:c>
      <x:c r="L87" s="6" t="str">
        <x:v>官方披露已核验</x:v>
      </x:c>
      <x:c r="M87" s="6" t="str">
        <x:v>集团合并口径;单位根据报告印刷第140页记账本位币政策确认为人民币千元。净利润与归母净利润分开。 核查日期:2026-10-08。；披露日期依据巨潮发布目录；报告批准日另列，不混同</x:v>
      </x:c>
    </x:row>
    <x:row r="88" ht="56" customHeight="1">
      <x:c r="A88" s="6" t="str">
        <x:v>R0283</x:v>
      </x:c>
      <x:c r="B88" s="6" t="str">
        <x:v>比亚迪股份有限公司</x:v>
      </x:c>
      <x:c r="C88" s="6" t="str">
        <x:v>集团财务</x:v>
      </x:c>
      <x:c r="D88" s="6" t="str">
        <x:v>营业成本</x:v>
      </x:c>
      <x:c r="E88" s="6" t="str">
        <x:v>2025-01-01至2025-12-31</x:v>
      </x:c>
      <x:c r="F88" s="18" t="n">
        <x:v>661305161</x:v>
      </x:c>
      <x:c r="G88" s="6" t="str">
        <x:v>人民币千元</x:v>
      </x:c>
      <x:c r="H88" s="18" t="n">
        <x:v>661305161000</x:v>
      </x:c>
      <x:c r="I88" s="6" t="str">
        <x:v>人民币元</x:v>
      </x:c>
      <x:c r="J88" s="13" t="d">
        <x:v>2026-03-28T00:00:00.000Z</x:v>
      </x:c>
      <x:c r="K88" s="6" t="str">
        <x:v>F001</x:v>
      </x:c>
      <x:c r="L88" s="6" t="str">
        <x:v>官方披露已核验</x:v>
      </x:c>
      <x:c r="M88" s="6" t="str">
        <x:v>集团合并口径;单位根据报告印刷第140页记账本位币政策确认为人民币千元。净利润与归母净利润分开。 核查日期:2026-10-08。；披露日期依据巨潮发布目录；报告批准日另列，不混同</x:v>
      </x:c>
    </x:row>
    <x:row r="89" ht="40" customHeight="1">
      <x:c r="A89" s="6" t="str">
        <x:v>R0259</x:v>
      </x:c>
      <x:c r="B89" s="6" t="str">
        <x:v>比亚迪股份有限公司</x:v>
      </x:c>
      <x:c r="C89" s="6" t="str">
        <x:v>集团财务</x:v>
      </x:c>
      <x:c r="D89" s="6" t="str">
        <x:v>营业收入</x:v>
      </x:c>
      <x:c r="E89" s="6" t="str">
        <x:v>2025-01-01至2025-12-31</x:v>
      </x:c>
      <x:c r="F89" s="18" t="n">
        <x:v>803964958000</x:v>
      </x:c>
      <x:c r="G89" s="6" t="str">
        <x:v>人民币元</x:v>
      </x:c>
      <x:c r="H89" s="18" t="n">
        <x:v>803964958000</x:v>
      </x:c>
      <x:c r="I89" s="6" t="str">
        <x:v>人民币元</x:v>
      </x:c>
      <x:c r="J89" s="13" t="d">
        <x:v>2026-03-28T00:00:00.000Z</x:v>
      </x:c>
      <x:c r="K89" s="6" t="str">
        <x:v>F001</x:v>
      </x:c>
      <x:c r="L89" s="6" t="str">
        <x:v>官方披露已核验</x:v>
      </x:c>
      <x:c r="M89" s="6" t="str">
        <x:v>集团合并口径。 核查日期:2026-10-08。；披露日期依据巨潮发布目录；报告批准日另列，不混同</x:v>
      </x:c>
    </x:row>
    <x:row r="90" ht="40" customHeight="1">
      <x:c r="A90" s="6" t="str">
        <x:v>R0268</x:v>
      </x:c>
      <x:c r="B90" s="6" t="str">
        <x:v>比亚迪股份有限公司</x:v>
      </x:c>
      <x:c r="C90" s="6" t="str">
        <x:v>集团财务</x:v>
      </x:c>
      <x:c r="D90" s="6" t="str">
        <x:v>营业收入同比</x:v>
      </x:c>
      <x:c r="E90" s="6" t="str">
        <x:v>2025-01-01至2025-12-31</x:v>
      </x:c>
      <x:c r="F90" s="17" t="n">
        <x:v>3.46</x:v>
      </x:c>
      <x:c r="G90" s="6" t="str">
        <x:v>%</x:v>
      </x:c>
      <x:c r="H90" s="17" t="n">
        <x:v>3.46</x:v>
      </x:c>
      <x:c r="I90" s="6" t="str">
        <x:v>%</x:v>
      </x:c>
      <x:c r="J90" s="13" t="d">
        <x:v>2026-03-28T00:00:00.000Z</x:v>
      </x:c>
      <x:c r="K90" s="6" t="str">
        <x:v>F001</x:v>
      </x:c>
      <x:c r="L90" s="6" t="str">
        <x:v>官方披露已核验</x:v>
      </x:c>
      <x:c r="M90" s="6" t="str">
        <x:v>同比对照上年同期间。 核查日期:2026-10-08。；披露日期依据巨潮发布目录；报告批准日另列，不混同</x:v>
      </x:c>
    </x:row>
    <x:row r="91" ht="56" customHeight="1">
      <x:c r="A91" s="6" t="str">
        <x:v>R0287</x:v>
      </x:c>
      <x:c r="B91" s="6" t="str">
        <x:v>比亚迪股份有限公司</x:v>
      </x:c>
      <x:c r="C91" s="6" t="str">
        <x:v>集团财务</x:v>
      </x:c>
      <x:c r="D91" s="6" t="str">
        <x:v>财务费用</x:v>
      </x:c>
      <x:c r="E91" s="6" t="str">
        <x:v>2025-01-01至2025-12-31</x:v>
      </x:c>
      <x:c r="F91" s="18" t="n">
        <x:v>-649350</x:v>
      </x:c>
      <x:c r="G91" s="6" t="str">
        <x:v>人民币千元</x:v>
      </x:c>
      <x:c r="H91" s="18" t="n">
        <x:v>-649350000</x:v>
      </x:c>
      <x:c r="I91" s="6" t="str">
        <x:v>人民币元</x:v>
      </x:c>
      <x:c r="J91" s="13" t="d">
        <x:v>2026-03-28T00:00:00.000Z</x:v>
      </x:c>
      <x:c r="K91" s="6" t="str">
        <x:v>F001</x:v>
      </x:c>
      <x:c r="L91" s="6" t="str">
        <x:v>官方披露已核验</x:v>
      </x:c>
      <x:c r="M91" s="6" t="str">
        <x:v>集团合并口径;单位根据报告印刷第140页记账本位币政策确认为人民币千元。净利润与归母净利润分开。 核查日期:2026-10-08。；披露日期依据巨潮发布目录；报告批准日另列，不混同</x:v>
      </x:c>
    </x:row>
    <x:row r="92" ht="56" customHeight="1">
      <x:c r="A92" s="6" t="str">
        <x:v>R0284</x:v>
      </x:c>
      <x:c r="B92" s="6" t="str">
        <x:v>比亚迪股份有限公司</x:v>
      </x:c>
      <x:c r="C92" s="6" t="str">
        <x:v>集团财务</x:v>
      </x:c>
      <x:c r="D92" s="6" t="str">
        <x:v>销售费用</x:v>
      </x:c>
      <x:c r="E92" s="6" t="str">
        <x:v>2025-01-01至2025-12-31</x:v>
      </x:c>
      <x:c r="F92" s="18" t="n">
        <x:v>26184568</x:v>
      </x:c>
      <x:c r="G92" s="6" t="str">
        <x:v>人民币千元</x:v>
      </x:c>
      <x:c r="H92" s="18" t="n">
        <x:v>26184568000</x:v>
      </x:c>
      <x:c r="I92" s="6" t="str">
        <x:v>人民币元</x:v>
      </x:c>
      <x:c r="J92" s="13" t="d">
        <x:v>2026-03-28T00:00:00.000Z</x:v>
      </x:c>
      <x:c r="K92" s="6" t="str">
        <x:v>F001</x:v>
      </x:c>
      <x:c r="L92" s="6" t="str">
        <x:v>官方披露已核验</x:v>
      </x:c>
      <x:c r="M92" s="6" t="str">
        <x:v>集团合并口径;单位根据报告印刷第140页记账本位币政策确认为人民币千元。净利润与归母净利润分开。 核查日期:2026-10-08。；披露日期依据巨潮发布目录；报告批准日另列，不混同</x:v>
      </x:c>
    </x:row>
    <x:row r="93" ht="40" customHeight="1">
      <x:c r="A93" s="6" t="str">
        <x:v>R0340</x:v>
      </x:c>
      <x:c r="B93" s="6" t="str">
        <x:v>比亚迪股份有限公司</x:v>
      </x:c>
      <x:c r="C93" s="6" t="str">
        <x:v>集团财务</x:v>
      </x:c>
      <x:c r="D93" s="6" t="str">
        <x:v>第三季度归母净利润</x:v>
      </x:c>
      <x:c r="E93" s="6" t="str">
        <x:v>2025-07-01至2025-09-30</x:v>
      </x:c>
      <x:c r="F93" s="18" t="n">
        <x:v>7822640000</x:v>
      </x:c>
      <x:c r="G93" s="6" t="str">
        <x:v>人民币元</x:v>
      </x:c>
      <x:c r="H93" s="18" t="n">
        <x:v>7822640000</x:v>
      </x:c>
      <x:c r="I93" s="6" t="str">
        <x:v>人民币元</x:v>
      </x:c>
      <x:c r="J93" s="13" t="d">
        <x:v>2025-10-31T00:00:00.000Z</x:v>
      </x:c>
      <x:c r="K93" s="6" t="str">
        <x:v>F003</x:v>
      </x:c>
      <x:c r="L93" s="6" t="str">
        <x:v>官方披露已核验</x:v>
      </x:c>
      <x:c r="M93" s="6" t="str">
        <x:v>三季报未经审计;本报告期指第三季度,年初至报告期末指前三季度。 核查日期:2026-10-08。；披露日期依据巨潮发布目录；报告批准日另列，不混同</x:v>
      </x:c>
    </x:row>
    <x:row r="94" ht="40" customHeight="1">
      <x:c r="A94" s="6" t="str">
        <x:v>R0339</x:v>
      </x:c>
      <x:c r="B94" s="6" t="str">
        <x:v>比亚迪股份有限公司</x:v>
      </x:c>
      <x:c r="C94" s="6" t="str">
        <x:v>集团财务</x:v>
      </x:c>
      <x:c r="D94" s="6" t="str">
        <x:v>第三季度营业收入</x:v>
      </x:c>
      <x:c r="E94" s="6" t="str">
        <x:v>2025-07-01至2025-09-30</x:v>
      </x:c>
      <x:c r="F94" s="18" t="n">
        <x:v>194984598000</x:v>
      </x:c>
      <x:c r="G94" s="6" t="str">
        <x:v>人民币元</x:v>
      </x:c>
      <x:c r="H94" s="18" t="n">
        <x:v>194984598000</x:v>
      </x:c>
      <x:c r="I94" s="6" t="str">
        <x:v>人民币元</x:v>
      </x:c>
      <x:c r="J94" s="13" t="d">
        <x:v>2025-10-31T00:00:00.000Z</x:v>
      </x:c>
      <x:c r="K94" s="6" t="str">
        <x:v>F003</x:v>
      </x:c>
      <x:c r="L94" s="6" t="str">
        <x:v>官方披露已核验</x:v>
      </x:c>
      <x:c r="M94" s="6" t="str">
        <x:v>三季报未经审计;本报告期指第三季度,年初至报告期末指前三季度。 核查日期:2026-10-08。；披露日期依据巨潮发布目录；报告批准日另列，不混同</x:v>
      </x:c>
    </x:row>
    <x:row r="95" ht="40" customHeight="1">
      <x:c r="A95" s="6" t="str">
        <x:v>R0342</x:v>
      </x:c>
      <x:c r="B95" s="6" t="str">
        <x:v>比亚迪股份有限公司</x:v>
      </x:c>
      <x:c r="C95" s="6" t="str">
        <x:v>集团财务</x:v>
      </x:c>
      <x:c r="D95" s="6" t="str">
        <x:v>归母所有者权益</x:v>
      </x:c>
      <x:c r="E95" s="6" t="str">
        <x:v>2025-09-30</x:v>
      </x:c>
      <x:c r="F95" s="18" t="n">
        <x:v>245515455000</x:v>
      </x:c>
      <x:c r="G95" s="6" t="str">
        <x:v>人民币元</x:v>
      </x:c>
      <x:c r="H95" s="18" t="n">
        <x:v>245515455000</x:v>
      </x:c>
      <x:c r="I95" s="6" t="str">
        <x:v>人民币元</x:v>
      </x:c>
      <x:c r="J95" s="13" t="d">
        <x:v>2025-10-31T00:00:00.000Z</x:v>
      </x:c>
      <x:c r="K95" s="6" t="str">
        <x:v>F003</x:v>
      </x:c>
      <x:c r="L95" s="6" t="str">
        <x:v>官方披露已核验</x:v>
      </x:c>
      <x:c r="M95" s="6" t="str">
        <x:v>三季报未经审计;本报告期指第三季度,年初至报告期末指前三季度。 核查日期:2026-10-08。；披露日期依据巨潮发布目录；报告批准日另列，不混同</x:v>
      </x:c>
    </x:row>
    <x:row r="96" ht="40" customHeight="1">
      <x:c r="A96" s="6" t="str">
        <x:v>R0341</x:v>
      </x:c>
      <x:c r="B96" s="6" t="str">
        <x:v>比亚迪股份有限公司</x:v>
      </x:c>
      <x:c r="C96" s="6" t="str">
        <x:v>集团财务</x:v>
      </x:c>
      <x:c r="D96" s="6" t="str">
        <x:v>总资产</x:v>
      </x:c>
      <x:c r="E96" s="6" t="str">
        <x:v>2025-09-30</x:v>
      </x:c>
      <x:c r="F96" s="18" t="n">
        <x:v>901925091000</x:v>
      </x:c>
      <x:c r="G96" s="6" t="str">
        <x:v>人民币元</x:v>
      </x:c>
      <x:c r="H96" s="18" t="n">
        <x:v>901925091000</x:v>
      </x:c>
      <x:c r="I96" s="6" t="str">
        <x:v>人民币元</x:v>
      </x:c>
      <x:c r="J96" s="13" t="d">
        <x:v>2025-10-31T00:00:00.000Z</x:v>
      </x:c>
      <x:c r="K96" s="6" t="str">
        <x:v>F003</x:v>
      </x:c>
      <x:c r="L96" s="6" t="str">
        <x:v>官方披露已核验</x:v>
      </x:c>
      <x:c r="M96" s="6" t="str">
        <x:v>三季报未经审计;本报告期指第三季度,年初至报告期末指前三季度。 核查日期:2026-10-08。；披露日期依据巨潮发布目录；报告批准日另列，不混同</x:v>
      </x:c>
    </x:row>
    <x:row r="97" ht="40" customHeight="1">
      <x:c r="A97" s="6" t="str">
        <x:v>R0267</x:v>
      </x:c>
      <x:c r="B97" s="6" t="str">
        <x:v>比亚迪股份有限公司</x:v>
      </x:c>
      <x:c r="C97" s="6" t="str">
        <x:v>集团财务</x:v>
      </x:c>
      <x:c r="D97" s="6" t="str">
        <x:v>归属于上市公司股东的净资产</x:v>
      </x:c>
      <x:c r="E97" s="6" t="str">
        <x:v>2025-12-31</x:v>
      </x:c>
      <x:c r="F97" s="18" t="n">
        <x:v>246274606000</x:v>
      </x:c>
      <x:c r="G97" s="6" t="str">
        <x:v>人民币元</x:v>
      </x:c>
      <x:c r="H97" s="18" t="n">
        <x:v>246274606000</x:v>
      </x:c>
      <x:c r="I97" s="6" t="str">
        <x:v>人民币元</x:v>
      </x:c>
      <x:c r="J97" s="13" t="d">
        <x:v>2026-03-28T00:00:00.000Z</x:v>
      </x:c>
      <x:c r="K97" s="6" t="str">
        <x:v>F001</x:v>
      </x:c>
      <x:c r="L97" s="6" t="str">
        <x:v>官方披露已核验</x:v>
      </x:c>
      <x:c r="M97" s="6" t="str">
        <x:v>集团合并口径。 核查日期:2026-10-08。；披露日期依据巨潮发布目录；报告批准日另列，不混同</x:v>
      </x:c>
    </x:row>
    <x:row r="98" ht="40" customHeight="1">
      <x:c r="A98" s="6" t="str">
        <x:v>R0266</x:v>
      </x:c>
      <x:c r="B98" s="6" t="str">
        <x:v>比亚迪股份有限公司</x:v>
      </x:c>
      <x:c r="C98" s="6" t="str">
        <x:v>集团财务</x:v>
      </x:c>
      <x:c r="D98" s="6" t="str">
        <x:v>总资产</x:v>
      </x:c>
      <x:c r="E98" s="6" t="str">
        <x:v>2025-12-31</x:v>
      </x:c>
      <x:c r="F98" s="18" t="n">
        <x:v>883729883000</x:v>
      </x:c>
      <x:c r="G98" s="6" t="str">
        <x:v>人民币元</x:v>
      </x:c>
      <x:c r="H98" s="18" t="n">
        <x:v>883729883000</x:v>
      </x:c>
      <x:c r="I98" s="6" t="str">
        <x:v>人民币元</x:v>
      </x:c>
      <x:c r="J98" s="13" t="d">
        <x:v>2026-03-28T00:00:00.000Z</x:v>
      </x:c>
      <x:c r="K98" s="6" t="str">
        <x:v>F001</x:v>
      </x:c>
      <x:c r="L98" s="6" t="str">
        <x:v>官方披露已核验</x:v>
      </x:c>
      <x:c r="M98" s="6" t="str">
        <x:v>集团合并口径。 核查日期:2026-10-08。；披露日期依据巨潮发布目录；报告批准日另列，不混同</x:v>
      </x:c>
    </x:row>
    <x:row r="99" ht="56" customHeight="1">
      <x:c r="A99" s="6" t="str">
        <x:v>R0301</x:v>
      </x:c>
      <x:c r="B99" s="6" t="str">
        <x:v>比亚迪股份有限公司</x:v>
      </x:c>
      <x:c r="C99" s="6" t="str">
        <x:v>集团财务</x:v>
      </x:c>
      <x:c r="D99" s="6" t="str">
        <x:v>净利润(含少数股东损益)</x:v>
      </x:c>
      <x:c r="E99" s="6" t="str">
        <x:v>2026-01-01至2026-06-30</x:v>
      </x:c>
      <x:c r="F99" s="18" t="n">
        <x:v>12334059</x:v>
      </x:c>
      <x:c r="G99" s="6" t="str">
        <x:v>人民币千元</x:v>
      </x:c>
      <x:c r="H99" s="18" t="n">
        <x:v>12334059000</x:v>
      </x:c>
      <x:c r="I99" s="6" t="str">
        <x:v>人民币元</x:v>
      </x:c>
      <x:c r="J99" s="13" t="d">
        <x:v>2026-08-29T00:00:00.000Z</x:v>
      </x:c>
      <x:c r="K99" s="6" t="str">
        <x:v>F002</x:v>
      </x:c>
      <x:c r="L99" s="6" t="str">
        <x:v>官方披露已核验</x:v>
      </x:c>
      <x:c r="M99" s="6" t="str">
        <x:v>集团合并口径;单位根据报告印刷第81页记账本位币政策确认为人民币千元。净利润与归母净利润分开。 核查日期:2026-10-08。；披露日期依据巨潮发布目录；报告批准日另列，不混同</x:v>
      </x:c>
    </x:row>
    <x:row r="100" ht="56" customHeight="1">
      <x:c r="A100" s="6" t="str">
        <x:v>R0299</x:v>
      </x:c>
      <x:c r="B100" s="6" t="str">
        <x:v>比亚迪股份有限公司</x:v>
      </x:c>
      <x:c r="C100" s="6" t="str">
        <x:v>集团财务</x:v>
      </x:c>
      <x:c r="D100" s="6" t="str">
        <x:v>利润总额</x:v>
      </x:c>
      <x:c r="E100" s="6" t="str">
        <x:v>2026-01-01至2026-06-30</x:v>
      </x:c>
      <x:c r="F100" s="18" t="n">
        <x:v>14614087</x:v>
      </x:c>
      <x:c r="G100" s="6" t="str">
        <x:v>人民币千元</x:v>
      </x:c>
      <x:c r="H100" s="18" t="n">
        <x:v>14614087000</x:v>
      </x:c>
      <x:c r="I100" s="6" t="str">
        <x:v>人民币元</x:v>
      </x:c>
      <x:c r="J100" s="13" t="d">
        <x:v>2026-08-29T00:00:00.000Z</x:v>
      </x:c>
      <x:c r="K100" s="6" t="str">
        <x:v>F002</x:v>
      </x:c>
      <x:c r="L100" s="6" t="str">
        <x:v>官方披露已核验</x:v>
      </x:c>
      <x:c r="M100" s="6" t="str">
        <x:v>集团合并口径;单位根据报告印刷第81页记账本位币政策确认为人民币千元。净利润与归母净利润分开。 核查日期:2026-10-08。；披露日期依据巨潮发布目录；报告批准日另列，不混同</x:v>
      </x:c>
    </x:row>
    <x:row r="101" ht="40" customHeight="1">
      <x:c r="A101" s="6" t="str">
        <x:v>R0277</x:v>
      </x:c>
      <x:c r="B101" s="6" t="str">
        <x:v>比亚迪股份有限公司</x:v>
      </x:c>
      <x:c r="C101" s="6" t="str">
        <x:v>集团财务</x:v>
      </x:c>
      <x:c r="D101" s="6" t="str">
        <x:v>加权平均净资产收益率</x:v>
      </x:c>
      <x:c r="E101" s="6" t="str">
        <x:v>2026-01-01至2026-06-30</x:v>
      </x:c>
      <x:c r="F101" s="17" t="n">
        <x:v>4.86</x:v>
      </x:c>
      <x:c r="G101" s="6" t="str">
        <x:v>%</x:v>
      </x:c>
      <x:c r="H101" s="17" t="n">
        <x:v>4.86</x:v>
      </x:c>
      <x:c r="I101" s="6" t="str">
        <x:v>%</x:v>
      </x:c>
      <x:c r="J101" s="13" t="d">
        <x:v>2026-08-29T00:00:00.000Z</x:v>
      </x:c>
      <x:c r="K101" s="6" t="str">
        <x:v>F002</x:v>
      </x:c>
      <x:c r="L101" s="6" t="str">
        <x:v>官方披露已核验</x:v>
      </x:c>
      <x:c r="M101" s="6" t="str">
        <x:v>集团合并口径。 核查日期:2026-10-08。；披露日期依据巨潮发布目录；报告批准日另列，不混同</x:v>
      </x:c>
    </x:row>
    <x:row r="102" ht="40" customHeight="1">
      <x:c r="A102" s="6" t="str">
        <x:v>R0275</x:v>
      </x:c>
      <x:c r="B102" s="6" t="str">
        <x:v>比亚迪股份有限公司</x:v>
      </x:c>
      <x:c r="C102" s="6" t="str">
        <x:v>集团财务</x:v>
      </x:c>
      <x:c r="D102" s="6" t="str">
        <x:v>基本每股收益</x:v>
      </x:c>
      <x:c r="E102" s="6" t="str">
        <x:v>2026-01-01至2026-06-30</x:v>
      </x:c>
      <x:c r="F102" s="17" t="n">
        <x:v>1.35</x:v>
      </x:c>
      <x:c r="G102" s="6" t="str">
        <x:v>人民币元/股</x:v>
      </x:c>
      <x:c r="H102" s="17" t="n">
        <x:v>1.35</x:v>
      </x:c>
      <x:c r="I102" s="6" t="str">
        <x:v>人民币元/股</x:v>
      </x:c>
      <x:c r="J102" s="13" t="d">
        <x:v>2026-08-29T00:00:00.000Z</x:v>
      </x:c>
      <x:c r="K102" s="6" t="str">
        <x:v>F002</x:v>
      </x:c>
      <x:c r="L102" s="6" t="str">
        <x:v>官方披露已核验</x:v>
      </x:c>
      <x:c r="M102" s="6" t="str">
        <x:v>集团合并口径。每股收益按2025年7月送转后的股数调整。 核查日期:2026-10-08。；披露日期依据巨潮发布目录；报告批准日另列，不混同</x:v>
      </x:c>
    </x:row>
    <x:row r="103" ht="56" customHeight="1">
      <x:c r="A103" s="6" t="str">
        <x:v>R0302</x:v>
      </x:c>
      <x:c r="B103" s="6" t="str">
        <x:v>比亚迪股份有限公司</x:v>
      </x:c>
      <x:c r="C103" s="6" t="str">
        <x:v>集团财务</x:v>
      </x:c>
      <x:c r="D103" s="6" t="str">
        <x:v>少数股东损益</x:v>
      </x:c>
      <x:c r="E103" s="6" t="str">
        <x:v>2026-01-01至2026-06-30</x:v>
      </x:c>
      <x:c r="F103" s="18" t="n">
        <x:v>8651</x:v>
      </x:c>
      <x:c r="G103" s="6" t="str">
        <x:v>人民币千元</x:v>
      </x:c>
      <x:c r="H103" s="18" t="n">
        <x:v>8651000</x:v>
      </x:c>
      <x:c r="I103" s="6" t="str">
        <x:v>人民币元</x:v>
      </x:c>
      <x:c r="J103" s="13" t="d">
        <x:v>2026-08-29T00:00:00.000Z</x:v>
      </x:c>
      <x:c r="K103" s="6" t="str">
        <x:v>F002</x:v>
      </x:c>
      <x:c r="L103" s="6" t="str">
        <x:v>官方披露已核验</x:v>
      </x:c>
      <x:c r="M103" s="6" t="str">
        <x:v>集团合并口径;单位根据报告印刷第81页记账本位币政策确认为人民币千元。净利润与归母净利润分开。 核查日期:2026-10-08。；披露日期依据巨潮发布目录；报告批准日另列，不混同</x:v>
      </x:c>
    </x:row>
    <x:row r="104" ht="40" customHeight="1">
      <x:c r="A104" s="6" t="str">
        <x:v>R0272</x:v>
      </x:c>
      <x:c r="B104" s="6" t="str">
        <x:v>比亚迪股份有限公司</x:v>
      </x:c>
      <x:c r="C104" s="6" t="str">
        <x:v>集团财务</x:v>
      </x:c>
      <x:c r="D104" s="6" t="str">
        <x:v>归属于上市公司股东的净利润</x:v>
      </x:c>
      <x:c r="E104" s="6" t="str">
        <x:v>2026-01-01至2026-06-30</x:v>
      </x:c>
      <x:c r="F104" s="18" t="n">
        <x:v>12325408000</x:v>
      </x:c>
      <x:c r="G104" s="6" t="str">
        <x:v>人民币元</x:v>
      </x:c>
      <x:c r="H104" s="18" t="n">
        <x:v>12325408000</x:v>
      </x:c>
      <x:c r="I104" s="6" t="str">
        <x:v>人民币元</x:v>
      </x:c>
      <x:c r="J104" s="13" t="d">
        <x:v>2026-08-29T00:00:00.000Z</x:v>
      </x:c>
      <x:c r="K104" s="6" t="str">
        <x:v>F002</x:v>
      </x:c>
      <x:c r="L104" s="6" t="str">
        <x:v>官方披露已核验</x:v>
      </x:c>
      <x:c r="M104" s="6" t="str">
        <x:v>集团合并口径。 核查日期:2026-10-08。；披露日期依据巨潮发布目录；报告批准日另列，不混同</x:v>
      </x:c>
    </x:row>
    <x:row r="105" ht="40" customHeight="1">
      <x:c r="A105" s="6" t="str">
        <x:v>R0281</x:v>
      </x:c>
      <x:c r="B105" s="6" t="str">
        <x:v>比亚迪股份有限公司</x:v>
      </x:c>
      <x:c r="C105" s="6" t="str">
        <x:v>集团财务</x:v>
      </x:c>
      <x:c r="D105" s="6" t="str">
        <x:v>归母净利润同比</x:v>
      </x:c>
      <x:c r="E105" s="6" t="str">
        <x:v>2026-01-01至2026-06-30</x:v>
      </x:c>
      <x:c r="F105" s="17" t="n">
        <x:v>-20.54</x:v>
      </x:c>
      <x:c r="G105" s="6" t="str">
        <x:v>%</x:v>
      </x:c>
      <x:c r="H105" s="17" t="n">
        <x:v>-20.54</x:v>
      </x:c>
      <x:c r="I105" s="6" t="str">
        <x:v>%</x:v>
      </x:c>
      <x:c r="J105" s="13" t="d">
        <x:v>2026-08-29T00:00:00.000Z</x:v>
      </x:c>
      <x:c r="K105" s="6" t="str">
        <x:v>F002</x:v>
      </x:c>
      <x:c r="L105" s="6" t="str">
        <x:v>官方披露已核验</x:v>
      </x:c>
      <x:c r="M105" s="6" t="str">
        <x:v>同比对照上年同期间。 核查日期:2026-10-08。；披露日期依据巨潮发布目录；报告批准日另列，不混同</x:v>
      </x:c>
    </x:row>
    <x:row r="106" ht="40" customHeight="1">
      <x:c r="A106" s="6" t="str">
        <x:v>R0273</x:v>
      </x:c>
      <x:c r="B106" s="6" t="str">
        <x:v>比亚迪股份有限公司</x:v>
      </x:c>
      <x:c r="C106" s="6" t="str">
        <x:v>集团财务</x:v>
      </x:c>
      <x:c r="D106" s="6" t="str">
        <x:v>归母扣非净利润</x:v>
      </x:c>
      <x:c r="E106" s="6" t="str">
        <x:v>2026-01-01至2026-06-30</x:v>
      </x:c>
      <x:c r="F106" s="18" t="n">
        <x:v>12373343000</x:v>
      </x:c>
      <x:c r="G106" s="6" t="str">
        <x:v>人民币元</x:v>
      </x:c>
      <x:c r="H106" s="18" t="n">
        <x:v>12373343000</x:v>
      </x:c>
      <x:c r="I106" s="6" t="str">
        <x:v>人民币元</x:v>
      </x:c>
      <x:c r="J106" s="13" t="d">
        <x:v>2026-08-29T00:00:00.000Z</x:v>
      </x:c>
      <x:c r="K106" s="6" t="str">
        <x:v>F002</x:v>
      </x:c>
      <x:c r="L106" s="6" t="str">
        <x:v>官方披露已核验</x:v>
      </x:c>
      <x:c r="M106" s="6" t="str">
        <x:v>集团合并口径。 核查日期:2026-10-08。；披露日期依据巨潮发布目录；报告批准日另列，不混同</x:v>
      </x:c>
    </x:row>
    <x:row r="107" ht="56" customHeight="1">
      <x:c r="A107" s="6" t="str">
        <x:v>R0300</x:v>
      </x:c>
      <x:c r="B107" s="6" t="str">
        <x:v>比亚迪股份有限公司</x:v>
      </x:c>
      <x:c r="C107" s="6" t="str">
        <x:v>集团财务</x:v>
      </x:c>
      <x:c r="D107" s="6" t="str">
        <x:v>所得税费用</x:v>
      </x:c>
      <x:c r="E107" s="6" t="str">
        <x:v>2026-01-01至2026-06-30</x:v>
      </x:c>
      <x:c r="F107" s="18" t="n">
        <x:v>2280028</x:v>
      </x:c>
      <x:c r="G107" s="6" t="str">
        <x:v>人民币千元</x:v>
      </x:c>
      <x:c r="H107" s="18" t="n">
        <x:v>2280028000</x:v>
      </x:c>
      <x:c r="I107" s="6" t="str">
        <x:v>人民币元</x:v>
      </x:c>
      <x:c r="J107" s="13" t="d">
        <x:v>2026-08-29T00:00:00.000Z</x:v>
      </x:c>
      <x:c r="K107" s="6" t="str">
        <x:v>F002</x:v>
      </x:c>
      <x:c r="L107" s="6" t="str">
        <x:v>官方披露已核验</x:v>
      </x:c>
      <x:c r="M107" s="6" t="str">
        <x:v>集团合并口径;单位根据报告印刷第81页记账本位币政策确认为人民币千元。净利润与归母净利润分开。 核查日期:2026-10-08。；披露日期依据巨潮发布目录；报告批准日另列，不混同</x:v>
      </x:c>
    </x:row>
    <x:row r="108" ht="56" customHeight="1">
      <x:c r="A108" s="6" t="str">
        <x:v>R0296</x:v>
      </x:c>
      <x:c r="B108" s="6" t="str">
        <x:v>比亚迪股份有限公司</x:v>
      </x:c>
      <x:c r="C108" s="6" t="str">
        <x:v>集团财务</x:v>
      </x:c>
      <x:c r="D108" s="6" t="str">
        <x:v>研发费用</x:v>
      </x:c>
      <x:c r="E108" s="6" t="str">
        <x:v>2026-01-01至2026-06-30</x:v>
      </x:c>
      <x:c r="F108" s="18" t="n">
        <x:v>23307152</x:v>
      </x:c>
      <x:c r="G108" s="6" t="str">
        <x:v>人民币千元</x:v>
      </x:c>
      <x:c r="H108" s="18" t="n">
        <x:v>23307152000</x:v>
      </x:c>
      <x:c r="I108" s="6" t="str">
        <x:v>人民币元</x:v>
      </x:c>
      <x:c r="J108" s="13" t="d">
        <x:v>2026-08-29T00:00:00.000Z</x:v>
      </x:c>
      <x:c r="K108" s="6" t="str">
        <x:v>F002</x:v>
      </x:c>
      <x:c r="L108" s="6" t="str">
        <x:v>官方披露已核验</x:v>
      </x:c>
      <x:c r="M108" s="6" t="str">
        <x:v>集团合并口径;单位根据报告印刷第81页记账本位币政策确认为人民币千元。净利润与归母净利润分开。 核查日期:2026-10-08。；披露日期依据巨潮发布目录；报告批准日另列，不混同</x:v>
      </x:c>
    </x:row>
    <x:row r="109" ht="40" customHeight="1">
      <x:c r="A109" s="6" t="str">
        <x:v>R0276</x:v>
      </x:c>
      <x:c r="B109" s="6" t="str">
        <x:v>比亚迪股份有限公司</x:v>
      </x:c>
      <x:c r="C109" s="6" t="str">
        <x:v>集团财务</x:v>
      </x:c>
      <x:c r="D109" s="6" t="str">
        <x:v>稀释每股收益</x:v>
      </x:c>
      <x:c r="E109" s="6" t="str">
        <x:v>2026-01-01至2026-06-30</x:v>
      </x:c>
      <x:c r="F109" s="17" t="n">
        <x:v>1.35</x:v>
      </x:c>
      <x:c r="G109" s="6" t="str">
        <x:v>人民币元/股</x:v>
      </x:c>
      <x:c r="H109" s="17" t="n">
        <x:v>1.35</x:v>
      </x:c>
      <x:c r="I109" s="6" t="str">
        <x:v>人民币元/股</x:v>
      </x:c>
      <x:c r="J109" s="13" t="d">
        <x:v>2026-08-29T00:00:00.000Z</x:v>
      </x:c>
      <x:c r="K109" s="6" t="str">
        <x:v>F002</x:v>
      </x:c>
      <x:c r="L109" s="6" t="str">
        <x:v>官方披露已核验</x:v>
      </x:c>
      <x:c r="M109" s="6" t="str">
        <x:v>集团合并口径。每股收益按2025年7月送转后的股数调整。 核查日期:2026-10-08。；披露日期依据巨潮发布目录；报告批准日另列，不混同</x:v>
      </x:c>
    </x:row>
    <x:row r="110" ht="56" customHeight="1">
      <x:c r="A110" s="6" t="str">
        <x:v>R0295</x:v>
      </x:c>
      <x:c r="B110" s="6" t="str">
        <x:v>比亚迪股份有限公司</x:v>
      </x:c>
      <x:c r="C110" s="6" t="str">
        <x:v>集团财务</x:v>
      </x:c>
      <x:c r="D110" s="6" t="str">
        <x:v>管理费用</x:v>
      </x:c>
      <x:c r="E110" s="6" t="str">
        <x:v>2026-01-01至2026-06-30</x:v>
      </x:c>
      <x:c r="F110" s="18" t="n">
        <x:v>10365436</x:v>
      </x:c>
      <x:c r="G110" s="6" t="str">
        <x:v>人民币千元</x:v>
      </x:c>
      <x:c r="H110" s="18" t="n">
        <x:v>10365436000</x:v>
      </x:c>
      <x:c r="I110" s="6" t="str">
        <x:v>人民币元</x:v>
      </x:c>
      <x:c r="J110" s="13" t="d">
        <x:v>2026-08-29T00:00:00.000Z</x:v>
      </x:c>
      <x:c r="K110" s="6" t="str">
        <x:v>F002</x:v>
      </x:c>
      <x:c r="L110" s="6" t="str">
        <x:v>官方披露已核验</x:v>
      </x:c>
      <x:c r="M110" s="6" t="str">
        <x:v>集团合并口径;单位根据报告印刷第81页记账本位币政策确认为人民币千元。净利润与归母净利润分开。 核查日期:2026-10-08。；披露日期依据巨潮发布目录；报告批准日另列，不混同</x:v>
      </x:c>
    </x:row>
    <x:row r="111" ht="40" customHeight="1">
      <x:c r="A111" s="6" t="str">
        <x:v>R0282</x:v>
      </x:c>
      <x:c r="B111" s="6" t="str">
        <x:v>比亚迪股份有限公司</x:v>
      </x:c>
      <x:c r="C111" s="6" t="str">
        <x:v>集团财务</x:v>
      </x:c>
      <x:c r="D111" s="6" t="str">
        <x:v>经营活动现金流净额同比</x:v>
      </x:c>
      <x:c r="E111" s="6" t="str">
        <x:v>2026-01-01至2026-06-30</x:v>
      </x:c>
      <x:c r="F111" s="17" t="n">
        <x:v>17.28</x:v>
      </x:c>
      <x:c r="G111" s="6" t="str">
        <x:v>%</x:v>
      </x:c>
      <x:c r="H111" s="17" t="n">
        <x:v>17.28</x:v>
      </x:c>
      <x:c r="I111" s="6" t="str">
        <x:v>%</x:v>
      </x:c>
      <x:c r="J111" s="13" t="d">
        <x:v>2026-08-29T00:00:00.000Z</x:v>
      </x:c>
      <x:c r="K111" s="6" t="str">
        <x:v>F002</x:v>
      </x:c>
      <x:c r="L111" s="6" t="str">
        <x:v>官方披露已核验</x:v>
      </x:c>
      <x:c r="M111" s="6" t="str">
        <x:v>同比对照上年同期间。 核查日期:2026-10-08。；披露日期依据巨潮发布目录；报告批准日另列，不混同</x:v>
      </x:c>
    </x:row>
    <x:row r="112" ht="40" customHeight="1">
      <x:c r="A112" s="6" t="str">
        <x:v>R0274</x:v>
      </x:c>
      <x:c r="B112" s="6" t="str">
        <x:v>比亚迪股份有限公司</x:v>
      </x:c>
      <x:c r="C112" s="6" t="str">
        <x:v>集团财务</x:v>
      </x:c>
      <x:c r="D112" s="6" t="str">
        <x:v>经营活动现金流量净额</x:v>
      </x:c>
      <x:c r="E112" s="6" t="str">
        <x:v>2026-01-01至2026-06-30</x:v>
      </x:c>
      <x:c r="F112" s="18" t="n">
        <x:v>37334744000</x:v>
      </x:c>
      <x:c r="G112" s="6" t="str">
        <x:v>人民币元</x:v>
      </x:c>
      <x:c r="H112" s="18" t="n">
        <x:v>37334744000</x:v>
      </x:c>
      <x:c r="I112" s="6" t="str">
        <x:v>人民币元</x:v>
      </x:c>
      <x:c r="J112" s="13" t="d">
        <x:v>2026-08-29T00:00:00.000Z</x:v>
      </x:c>
      <x:c r="K112" s="6" t="str">
        <x:v>F002</x:v>
      </x:c>
      <x:c r="L112" s="6" t="str">
        <x:v>官方披露已核验</x:v>
      </x:c>
      <x:c r="M112" s="6" t="str">
        <x:v>集团合并口径。 核查日期:2026-10-08。；披露日期依据巨潮发布目录；报告批准日另列，不混同</x:v>
      </x:c>
    </x:row>
    <x:row r="113" ht="56" customHeight="1">
      <x:c r="A113" s="6" t="str">
        <x:v>R0298</x:v>
      </x:c>
      <x:c r="B113" s="6" t="str">
        <x:v>比亚迪股份有限公司</x:v>
      </x:c>
      <x:c r="C113" s="6" t="str">
        <x:v>集团财务</x:v>
      </x:c>
      <x:c r="D113" s="6" t="str">
        <x:v>营业利润</x:v>
      </x:c>
      <x:c r="E113" s="6" t="str">
        <x:v>2026-01-01至2026-06-30</x:v>
      </x:c>
      <x:c r="F113" s="18" t="n">
        <x:v>14743578</x:v>
      </x:c>
      <x:c r="G113" s="6" t="str">
        <x:v>人民币千元</x:v>
      </x:c>
      <x:c r="H113" s="18" t="n">
        <x:v>14743578000</x:v>
      </x:c>
      <x:c r="I113" s="6" t="str">
        <x:v>人民币元</x:v>
      </x:c>
      <x:c r="J113" s="13" t="d">
        <x:v>2026-08-29T00:00:00.000Z</x:v>
      </x:c>
      <x:c r="K113" s="6" t="str">
        <x:v>F002</x:v>
      </x:c>
      <x:c r="L113" s="6" t="str">
        <x:v>官方披露已核验</x:v>
      </x:c>
      <x:c r="M113" s="6" t="str">
        <x:v>集团合并口径;单位根据报告印刷第81页记账本位币政策确认为人民币千元。净利润与归母净利润分开。 核查日期:2026-10-08。；披露日期依据巨潮发布目录；报告批准日另列，不混同</x:v>
      </x:c>
    </x:row>
    <x:row r="114" ht="56" customHeight="1">
      <x:c r="A114" s="6" t="str">
        <x:v>R0293</x:v>
      </x:c>
      <x:c r="B114" s="6" t="str">
        <x:v>比亚迪股份有限公司</x:v>
      </x:c>
      <x:c r="C114" s="6" t="str">
        <x:v>集团财务</x:v>
      </x:c>
      <x:c r="D114" s="6" t="str">
        <x:v>营业成本</x:v>
      </x:c>
      <x:c r="E114" s="6" t="str">
        <x:v>2026-01-01至2026-06-30</x:v>
      </x:c>
      <x:c r="F114" s="18" t="n">
        <x:v>279826859</x:v>
      </x:c>
      <x:c r="G114" s="6" t="str">
        <x:v>人民币千元</x:v>
      </x:c>
      <x:c r="H114" s="18" t="n">
        <x:v>279826859000</x:v>
      </x:c>
      <x:c r="I114" s="6" t="str">
        <x:v>人民币元</x:v>
      </x:c>
      <x:c r="J114" s="13" t="d">
        <x:v>2026-08-29T00:00:00.000Z</x:v>
      </x:c>
      <x:c r="K114" s="6" t="str">
        <x:v>F002</x:v>
      </x:c>
      <x:c r="L114" s="6" t="str">
        <x:v>官方披露已核验</x:v>
      </x:c>
      <x:c r="M114" s="6" t="str">
        <x:v>集团合并口径;单位根据报告印刷第81页记账本位币政策确认为人民币千元。净利润与归母净利润分开。 核查日期:2026-10-08。；披露日期依据巨潮发布目录；报告批准日另列，不混同</x:v>
      </x:c>
    </x:row>
    <x:row r="115" ht="40" customHeight="1">
      <x:c r="A115" s="6" t="str">
        <x:v>R0271</x:v>
      </x:c>
      <x:c r="B115" s="6" t="str">
        <x:v>比亚迪股份有限公司</x:v>
      </x:c>
      <x:c r="C115" s="6" t="str">
        <x:v>集团财务</x:v>
      </x:c>
      <x:c r="D115" s="6" t="str">
        <x:v>营业收入</x:v>
      </x:c>
      <x:c r="E115" s="6" t="str">
        <x:v>2026-01-01至2026-06-30</x:v>
      </x:c>
      <x:c r="F115" s="18" t="n">
        <x:v>344815421000</x:v>
      </x:c>
      <x:c r="G115" s="6" t="str">
        <x:v>人民币元</x:v>
      </x:c>
      <x:c r="H115" s="18" t="n">
        <x:v>344815421000</x:v>
      </x:c>
      <x:c r="I115" s="6" t="str">
        <x:v>人民币元</x:v>
      </x:c>
      <x:c r="J115" s="13" t="d">
        <x:v>2026-08-29T00:00:00.000Z</x:v>
      </x:c>
      <x:c r="K115" s="6" t="str">
        <x:v>F002</x:v>
      </x:c>
      <x:c r="L115" s="6" t="str">
        <x:v>官方披露已核验</x:v>
      </x:c>
      <x:c r="M115" s="6" t="str">
        <x:v>集团合并口径。 核查日期:2026-10-08。；披露日期依据巨潮发布目录；报告批准日另列，不混同</x:v>
      </x:c>
    </x:row>
    <x:row r="116" ht="40" customHeight="1">
      <x:c r="A116" s="6" t="str">
        <x:v>R0280</x:v>
      </x:c>
      <x:c r="B116" s="6" t="str">
        <x:v>比亚迪股份有限公司</x:v>
      </x:c>
      <x:c r="C116" s="6" t="str">
        <x:v>集团财务</x:v>
      </x:c>
      <x:c r="D116" s="6" t="str">
        <x:v>营业收入同比</x:v>
      </x:c>
      <x:c r="E116" s="6" t="str">
        <x:v>2026-01-01至2026-06-30</x:v>
      </x:c>
      <x:c r="F116" s="17" t="n">
        <x:v>-7.13</x:v>
      </x:c>
      <x:c r="G116" s="6" t="str">
        <x:v>%</x:v>
      </x:c>
      <x:c r="H116" s="17" t="n">
        <x:v>-7.13</x:v>
      </x:c>
      <x:c r="I116" s="6" t="str">
        <x:v>%</x:v>
      </x:c>
      <x:c r="J116" s="13" t="d">
        <x:v>2026-08-29T00:00:00.000Z</x:v>
      </x:c>
      <x:c r="K116" s="6" t="str">
        <x:v>F002</x:v>
      </x:c>
      <x:c r="L116" s="6" t="str">
        <x:v>官方披露已核验</x:v>
      </x:c>
      <x:c r="M116" s="6" t="str">
        <x:v>同比对照上年同期间。 核查日期:2026-10-08。；披露日期依据巨潮发布目录；报告批准日另列，不混同</x:v>
      </x:c>
    </x:row>
    <x:row r="117" ht="56" customHeight="1">
      <x:c r="A117" s="6" t="str">
        <x:v>R0297</x:v>
      </x:c>
      <x:c r="B117" s="6" t="str">
        <x:v>比亚迪股份有限公司</x:v>
      </x:c>
      <x:c r="C117" s="6" t="str">
        <x:v>集团财务</x:v>
      </x:c>
      <x:c r="D117" s="6" t="str">
        <x:v>财务费用</x:v>
      </x:c>
      <x:c r="E117" s="6" t="str">
        <x:v>2026-01-01至2026-06-30</x:v>
      </x:c>
      <x:c r="F117" s="18" t="n">
        <x:v>5096026</x:v>
      </x:c>
      <x:c r="G117" s="6" t="str">
        <x:v>人民币千元</x:v>
      </x:c>
      <x:c r="H117" s="18" t="n">
        <x:v>5096026000</x:v>
      </x:c>
      <x:c r="I117" s="6" t="str">
        <x:v>人民币元</x:v>
      </x:c>
      <x:c r="J117" s="13" t="d">
        <x:v>2026-08-29T00:00:00.000Z</x:v>
      </x:c>
      <x:c r="K117" s="6" t="str">
        <x:v>F002</x:v>
      </x:c>
      <x:c r="L117" s="6" t="str">
        <x:v>官方披露已核验</x:v>
      </x:c>
      <x:c r="M117" s="6" t="str">
        <x:v>集团合并口径;单位根据报告印刷第81页记账本位币政策确认为人民币千元。净利润与归母净利润分开。 核查日期:2026-10-08。；披露日期依据巨潮发布目录；报告批准日另列，不混同</x:v>
      </x:c>
    </x:row>
    <x:row r="118" ht="56" customHeight="1">
      <x:c r="A118" s="6" t="str">
        <x:v>R0294</x:v>
      </x:c>
      <x:c r="B118" s="6" t="str">
        <x:v>比亚迪股份有限公司</x:v>
      </x:c>
      <x:c r="C118" s="6" t="str">
        <x:v>集团财务</x:v>
      </x:c>
      <x:c r="D118" s="6" t="str">
        <x:v>销售费用</x:v>
      </x:c>
      <x:c r="E118" s="6" t="str">
        <x:v>2026-01-01至2026-06-30</x:v>
      </x:c>
      <x:c r="F118" s="18" t="n">
        <x:v>12523014</x:v>
      </x:c>
      <x:c r="G118" s="6" t="str">
        <x:v>人民币千元</x:v>
      </x:c>
      <x:c r="H118" s="18" t="n">
        <x:v>12523014000</x:v>
      </x:c>
      <x:c r="I118" s="6" t="str">
        <x:v>人民币元</x:v>
      </x:c>
      <x:c r="J118" s="13" t="d">
        <x:v>2026-08-29T00:00:00.000Z</x:v>
      </x:c>
      <x:c r="K118" s="6" t="str">
        <x:v>F002</x:v>
      </x:c>
      <x:c r="L118" s="6" t="str">
        <x:v>官方披露已核验</x:v>
      </x:c>
      <x:c r="M118" s="6" t="str">
        <x:v>集团合并口径;单位根据报告印刷第81页记账本位币政策确认为人民币千元。净利润与归母净利润分开。 核查日期:2026-10-08。；披露日期依据巨潮发布目录；报告批准日另列，不混同</x:v>
      </x:c>
    </x:row>
    <x:row r="119" ht="40" customHeight="1">
      <x:c r="A119" s="6" t="str">
        <x:v>R0279</x:v>
      </x:c>
      <x:c r="B119" s="6" t="str">
        <x:v>比亚迪股份有限公司</x:v>
      </x:c>
      <x:c r="C119" s="6" t="str">
        <x:v>集团财务</x:v>
      </x:c>
      <x:c r="D119" s="6" t="str">
        <x:v>归属于上市公司股东的净资产</x:v>
      </x:c>
      <x:c r="E119" s="6" t="str">
        <x:v>2026-06-30</x:v>
      </x:c>
      <x:c r="F119" s="18" t="n">
        <x:v>260818431000</x:v>
      </x:c>
      <x:c r="G119" s="6" t="str">
        <x:v>人民币元</x:v>
      </x:c>
      <x:c r="H119" s="18" t="n">
        <x:v>260818431000</x:v>
      </x:c>
      <x:c r="I119" s="6" t="str">
        <x:v>人民币元</x:v>
      </x:c>
      <x:c r="J119" s="13" t="d">
        <x:v>2026-08-29T00:00:00.000Z</x:v>
      </x:c>
      <x:c r="K119" s="6" t="str">
        <x:v>F002</x:v>
      </x:c>
      <x:c r="L119" s="6" t="str">
        <x:v>官方披露已核验</x:v>
      </x:c>
      <x:c r="M119" s="6" t="str">
        <x:v>集团合并口径。 核查日期:2026-10-08。；披露日期依据巨潮发布目录；报告批准日另列，不混同</x:v>
      </x:c>
    </x:row>
    <x:row r="120" ht="40" customHeight="1">
      <x:c r="A120" s="6" t="str">
        <x:v>R0278</x:v>
      </x:c>
      <x:c r="B120" s="6" t="str">
        <x:v>比亚迪股份有限公司</x:v>
      </x:c>
      <x:c r="C120" s="6" t="str">
        <x:v>集团财务</x:v>
      </x:c>
      <x:c r="D120" s="6" t="str">
        <x:v>总资产</x:v>
      </x:c>
      <x:c r="E120" s="6" t="str">
        <x:v>2026-06-30</x:v>
      </x:c>
      <x:c r="F120" s="18" t="n">
        <x:v>941278424000</x:v>
      </x:c>
      <x:c r="G120" s="6" t="str">
        <x:v>人民币元</x:v>
      </x:c>
      <x:c r="H120" s="18" t="n">
        <x:v>941278424000</x:v>
      </x:c>
      <x:c r="I120" s="6" t="str">
        <x:v>人民币元</x:v>
      </x:c>
      <x:c r="J120" s="13" t="d">
        <x:v>2026-08-29T00:00:00.000Z</x:v>
      </x:c>
      <x:c r="K120" s="6" t="str">
        <x:v>F002</x:v>
      </x:c>
      <x:c r="L120" s="6" t="str">
        <x:v>官方披露已核验</x:v>
      </x:c>
      <x:c r="M120" s="6" t="str">
        <x:v>集团合并口径。 核查日期:2026-10-08。；披露日期依据巨潮发布目录；报告批准日另列，不混同</x:v>
      </x:c>
    </x:row>
  </x:sheetData>
  <x:pageMargins left="0.7" right="0.7" top="0.75" bottom="0.75" header="0.3" footer="0.3"/>
  <x:tableParts count="1">
    <x:tablePart xmlns:r="http://schemas.openxmlformats.org/officeDocument/2006/relationships" r:id="R10161df0f12a4067"/>
  </x:tableParts>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35" hidden="0" customWidth="1"/>
    <x:col min="3" max="3" width="24" hidden="0" customWidth="1"/>
    <x:col min="4" max="4" width="24" hidden="0" customWidth="1"/>
    <x:col min="5" max="5" width="65" hidden="0" customWidth="1"/>
    <x:col min="6" max="6" width="36" hidden="0" customWidth="1"/>
    <x:col min="7" max="7" width="34" hidden="0" customWidth="1"/>
    <x:col min="8" max="8" width="18" hidden="0" customWidth="1"/>
    <x:col min="9" max="9" width="18" hidden="0" customWidth="1"/>
    <x:col min="10" max="10" width="25" hidden="0" customWidth="1"/>
    <x:col min="11" max="11" width="32" hidden="0" customWidth="1"/>
    <x:col min="12" max="12" width="36" hidden="0" customWidth="1"/>
    <x:col min="13" max="13" width="34" hidden="0" customWidth="1"/>
    <x:col min="14" max="14" width="36" hidden="0" customWidth="1"/>
    <x:col min="15" max="15" width="30" hidden="0" customWidth="1"/>
    <x:col min="16" max="16" width="47" hidden="0" customWidth="1"/>
    <x:col min="17" max="17" width="22" hidden="0" customWidth="1"/>
    <x:col min="18" max="18" width="15" hidden="0" customWidth="1"/>
    <x:col min="19" max="19" width="20" hidden="0" customWidth="1"/>
    <x:col min="20" max="20" width="34" hidden="0" customWidth="1"/>
    <x:col min="21" max="21" width="16" hidden="0" customWidth="1"/>
    <x:col min="22" max="22" width="29" hidden="0" customWidth="1"/>
    <x:col min="23" max="23" width="38" hidden="0" customWidth="1"/>
    <x:col min="24" max="24" width="48" hidden="0" customWidth="1"/>
    <x:col min="25" max="25" width="18" hidden="0" customWidth="1"/>
    <x:col min="26" max="26" width="34" hidden="0" customWidth="1"/>
    <x:col min="27" max="27" width="90" hidden="0" customWidth="1"/>
  </x:cols>
  <x:sheetData>
    <x:row r="2" ht="26" customHeight="1">
      <x:c r="A2" s="2" t="str">
        <x:v>比亚迪主体直接招采及入围记录</x:v>
      </x:c>
      <x:c r="B2" s="2"/>
      <x:c r="C2" s="2"/>
      <x:c r="D2" s="2"/>
      <x:c r="E2" s="2"/>
      <x:c r="F2" s="2"/>
      <x:c r="G2" s="2"/>
      <x:c r="H2" s="2"/>
      <x:c r="I2" s="2"/>
      <x:c r="J2" s="2"/>
      <x:c r="K2" s="2"/>
      <x:c r="L2" s="2"/>
      <x:c r="M2" s="2"/>
      <x:c r="N2" s="2"/>
      <x:c r="O2" s="2"/>
      <x:c r="P2" s="2"/>
      <x:c r="Q2" s="2"/>
      <x:c r="R2" s="2"/>
      <x:c r="S2" s="2"/>
      <x:c r="T2" s="2"/>
      <x:c r="U2" s="2"/>
      <x:c r="V2" s="2"/>
      <x:c r="W2" s="2"/>
      <x:c r="X2" s="2"/>
      <x:c r="Y2" s="2"/>
      <x:c r="Z2" s="2"/>
      <x:c r="AA2" s="2"/>
    </x:row>
    <x:row r="3" ht="24" customHeight="1">
      <x:c r="A3" s="3" t="str">
        <x:v>仅17条主体角色已核验公告；候选、入围、预算与实际中标分别列示。</x:v>
      </x:c>
      <x:c r="B3" s="3"/>
      <x:c r="C3" s="3"/>
      <x:c r="D3" s="3"/>
      <x:c r="E3" s="3"/>
      <x:c r="F3" s="3"/>
      <x:c r="G3" s="3"/>
      <x:c r="H3" s="3"/>
      <x:c r="I3" s="3"/>
      <x:c r="J3" s="3"/>
      <x:c r="K3" s="3"/>
      <x:c r="L3" s="3"/>
      <x:c r="M3" s="3"/>
      <x:c r="N3" s="3"/>
      <x:c r="O3" s="3"/>
      <x:c r="P3" s="3"/>
      <x:c r="Q3" s="3"/>
      <x:c r="R3" s="3"/>
      <x:c r="S3" s="3"/>
      <x:c r="T3" s="3"/>
      <x:c r="U3" s="3"/>
      <x:c r="V3" s="3"/>
      <x:c r="W3" s="3"/>
      <x:c r="X3" s="3"/>
      <x:c r="Y3" s="3"/>
      <x:c r="Z3" s="3"/>
      <x:c r="AA3" s="3"/>
    </x:row>
    <x:row r="5" ht="34" customHeight="1">
      <x:c r="A5" s="10" t="str">
        <x:v>记录ID</x:v>
      </x:c>
      <x:c r="B5" s="11" t="str">
        <x:v>比亚迪主体</x:v>
      </x:c>
      <x:c r="C5" s="11" t="str">
        <x:v>主体角色</x:v>
      </x:c>
      <x:c r="D5" s="11" t="str">
        <x:v>公告阶段</x:v>
      </x:c>
      <x:c r="E5" s="11" t="str">
        <x:v>项目名称</x:v>
      </x:c>
      <x:c r="F5" s="11" t="str">
        <x:v>项目编号</x:v>
      </x:c>
      <x:c r="G5" s="11" t="str">
        <x:v>项目族或去重键</x:v>
      </x:c>
      <x:c r="H5" s="11" t="str">
        <x:v>原公告日期</x:v>
      </x:c>
      <x:c r="I5" s="11" t="str">
        <x:v>平台发布日期</x:v>
      </x:c>
      <x:c r="J5" s="11" t="str">
        <x:v>投标截止</x:v>
      </x:c>
      <x:c r="K5" s="11" t="str">
        <x:v>截至核查日状态</x:v>
      </x:c>
      <x:c r="L5" s="11" t="str">
        <x:v>采购人</x:v>
      </x:c>
      <x:c r="M5" s="11" t="str">
        <x:v>采购代理</x:v>
      </x:c>
      <x:c r="N5" s="11" t="str">
        <x:v>供应商或候选人</x:v>
      </x:c>
      <x:c r="O5" s="11" t="str">
        <x:v>地区</x:v>
      </x:c>
      <x:c r="P5" s="11" t="str">
        <x:v>原文金额</x:v>
      </x:c>
      <x:c r="Q5" s="11" t="str">
        <x:v>金额数值</x:v>
      </x:c>
      <x:c r="R5" s="11" t="str">
        <x:v>金额单位</x:v>
      </x:c>
      <x:c r="S5" s="11" t="str">
        <x:v>币种</x:v>
      </x:c>
      <x:c r="T5" s="11" t="str">
        <x:v>金额性质</x:v>
      </x:c>
      <x:c r="U5" s="11" t="str">
        <x:v>联系人</x:v>
      </x:c>
      <x:c r="V5" s="11" t="str">
        <x:v>电话原文</x:v>
      </x:c>
      <x:c r="W5" s="11" t="str">
        <x:v>邮箱原文</x:v>
      </x:c>
      <x:c r="X5" s="11" t="str">
        <x:v>联系人归属</x:v>
      </x:c>
      <x:c r="Y5" s="11" t="str">
        <x:v>来源编号</x:v>
      </x:c>
      <x:c r="Z5" s="11" t="str">
        <x:v>核验状态</x:v>
      </x:c>
      <x:c r="AA5" s="12" t="str">
        <x:v>限定说明</x:v>
      </x:c>
    </x:row>
    <x:row r="6" ht="72" customHeight="1">
      <x:c r="A6" s="6" t="str">
        <x:v>R0222</x:v>
      </x:c>
      <x:c r="B6" s="6" t="str">
        <x:v>惠州比亚迪电池有限公司</x:v>
      </x:c>
      <x:c r="C6" s="6" t="str">
        <x:v>招标人/实际采购主体</x:v>
      </x:c>
      <x:c r="D6" s="6" t="str">
        <x:v>中标候选人公示</x:v>
      </x:c>
      <x:c r="E6" s="6" t="str">
        <x:v>比亚迪公司储罐采购项目(二次）中标候选人公示</x:v>
      </x:c>
      <x:c r="F6" s="6" t="str">
        <x:v>SZ-05-04A-2026-D-F-E17412C01</x:v>
      </x:c>
      <x:c r="G6" s="6" t="str">
        <x:v>SZ-05-04A-2026-D-F-E17412C01</x:v>
      </x:c>
      <x:c r="H6" s="13" t="d">
        <x:v>2026-09-01T00:00:00.000Z</x:v>
      </x:c>
      <x:c r="I6" s="13" t="d">
        <x:v>2026-09-02T00:00:00.000Z</x:v>
      </x:c>
      <x:c r="J6" s="19"/>
      <x:c r="K6" s="6" t="str">
        <x:v>未披露截止日/非招标阶段</x:v>
      </x:c>
      <x:c r="L6" s="6" t="str">
        <x:v>惠州比亚迪电池有限公司</x:v>
      </x:c>
      <x:c r="M6" s="6" t="str">
        <x:v>公诚管理咨询有限公司</x:v>
      </x:c>
      <x:c r="N6" s="6" t="str">
        <x:v>湖北省德海化工设备有限公司</x:v>
      </x:c>
      <x:c r="O6" s="6"/>
      <x:c r="P6" s="6" t="str">
        <x:v>不含税投标总价：101772.57元，含税投标总价：115003.00元</x:v>
      </x:c>
      <x:c r="Q6" s="18" t="n">
        <x:v>115003</x:v>
      </x:c>
      <x:c r="R6" s="6" t="str">
        <x:v>元</x:v>
      </x:c>
      <x:c r="S6" s="6" t="str">
        <x:v>未单独声明</x:v>
      </x:c>
      <x:c r="T6" s="6" t="str">
        <x:v>候选人含税投标总价</x:v>
      </x:c>
      <x:c r="U6" s="6"/>
      <x:c r="V6" s="6"/>
      <x:c r="W6" s="6"/>
      <x:c r="X6" s="6"/>
      <x:c r="Y6" s="6" t="str">
        <x:v>O011, O009</x:v>
      </x:c>
      <x:c r="Z6" s="6" t="str">
        <x:v>已核验主体角色和公告正文</x:v>
      </x:c>
      <x:c r="AA6" s="6" t="str">
        <x:v>候选公示不等于中标/成交;含税及未税投标额分别保留。页面发布日2026-09-02,正文落款及评标日2026-09-01。;原PDF落款9月1日;网页刊登9月2日,同公告附件来源O009；该项目金额条款仅写元/万元，未明确人民币；O014人民币只修饰500元招标文件费用，不能自动外推采购预算。保留未确认币种的原数值，不折算为CNY。</x:v>
      </x:c>
    </x:row>
    <x:row r="7" ht="56" customHeight="1">
      <x:c r="A7" s="6" t="str">
        <x:v>R0216</x:v>
      </x:c>
      <x:c r="B7" s="6" t="str">
        <x:v>深圳市比亚迪锂电池有限公司</x:v>
      </x:c>
      <x:c r="C7" s="6" t="str">
        <x:v>招标人/实际采购主体</x:v>
      </x:c>
      <x:c r="D7" s="6" t="str">
        <x:v>招标公告</x:v>
      </x:c>
      <x:c r="E7" s="6" t="str">
        <x:v>比亚迪公司智能体平台采购项目招标公告</x:v>
      </x:c>
      <x:c r="F7" s="6" t="str">
        <x:v>SZ-05-04A-2026-D-F-E23512</x:v>
      </x:c>
      <x:c r="G7" s="6" t="str">
        <x:v>SZ-05-04A-2026-D-F-E23512</x:v>
      </x:c>
      <x:c r="H7" s="13" t="d">
        <x:v>2026-08-28T00:00:00.000Z</x:v>
      </x:c>
      <x:c r="I7" s="13" t="d">
        <x:v>2026-08-28T00:00:00.000Z</x:v>
      </x:c>
      <x:c r="J7" s="19" t="d">
        <x:v>2026-09-18T09:30:00.000Z</x:v>
      </x:c>
      <x:c r="K7" s="6" t="str">
        <x:v>截止已过（历史公告）</x:v>
      </x:c>
      <x:c r="L7" s="6" t="str">
        <x:v>深圳市比亚迪锂电池有限公司</x:v>
      </x:c>
      <x:c r="M7" s="6" t="str">
        <x:v>公诚管理咨询有限公司</x:v>
      </x:c>
      <x:c r="N7" s="6"/>
      <x:c r="O7" s="6" t="str">
        <x:v>深圳市</x:v>
      </x:c>
      <x:c r="P7" s="6" t="str">
        <x:v>项目不含税预算金额137万元</x:v>
      </x:c>
      <x:c r="Q7" s="18" t="n">
        <x:v>1370000</x:v>
      </x:c>
      <x:c r="R7" s="6" t="str">
        <x:v>元</x:v>
      </x:c>
      <x:c r="S7" s="6" t="str">
        <x:v>未单独声明</x:v>
      </x:c>
      <x:c r="T7" s="6" t="str">
        <x:v>不含税预算</x:v>
      </x:c>
      <x:c r="U7" s="6" t="str">
        <x:v>王世璐</x:v>
      </x:c>
      <x:c r="V7" s="14" t="str">
        <x:v>15542601362</x:v>
      </x:c>
      <x:c r="W7" s="6"/>
      <x:c r="X7" s="6" t="str">
        <x:v>采购方联系人</x:v>
      </x:c>
      <x:c r="Y7" s="6" t="str">
        <x:v>O004</x:v>
      </x:c>
      <x:c r="Z7" s="6" t="str">
        <x:v>已核验主体角色和公告正文</x:v>
      </x:c>
      <x:c r="AA7" s="6" t="str">
        <x:v>一年窗内历史采购公告,截至2026-10-08截止时间已过;仅作采购需求与接触线索。；该项目金额条款仅写元/万元，未明确人民币；O014人民币只修饰500元招标文件费用，不能自动外推采购预算。保留未确认币种的原数值，不折算为CNY。</x:v>
      </x:c>
    </x:row>
    <x:row r="8" ht="56" customHeight="1">
      <x:c r="A8" s="6" t="str">
        <x:v>R0220</x:v>
      </x:c>
      <x:c r="B8" s="6" t="str">
        <x:v>惠州比亚迪电池有限公司</x:v>
      </x:c>
      <x:c r="C8" s="6" t="str">
        <x:v>招标人/实际采购主体</x:v>
      </x:c>
      <x:c r="D8" s="6" t="str">
        <x:v>中标候选人公示</x:v>
      </x:c>
      <x:c r="E8" s="6" t="str">
        <x:v>比亚迪公司流化床采购项目（二次）中标候选人公示</x:v>
      </x:c>
      <x:c r="F8" s="6" t="str">
        <x:v>SZ-05-04A-2026-D-F-E17466C01</x:v>
      </x:c>
      <x:c r="G8" s="6" t="str">
        <x:v>项目族P01</x:v>
      </x:c>
      <x:c r="H8" s="13" t="d">
        <x:v>2026-08-19T00:00:00.000Z</x:v>
      </x:c>
      <x:c r="I8" s="13" t="d">
        <x:v>2026-08-19T00:00:00.000Z</x:v>
      </x:c>
      <x:c r="J8" s="19"/>
      <x:c r="K8" s="6" t="str">
        <x:v>未披露截止日/非招标阶段</x:v>
      </x:c>
      <x:c r="L8" s="6" t="str">
        <x:v>惠州比亚迪电池有限公司</x:v>
      </x:c>
      <x:c r="M8" s="6" t="str">
        <x:v>公诚管理咨询有限公司</x:v>
      </x:c>
      <x:c r="N8" s="6" t="str">
        <x:v>佛山市赛普飞特科技有限公司</x:v>
      </x:c>
      <x:c r="O8" s="6"/>
      <x:c r="P8" s="6" t="str">
        <x:v>不含税投标总价： 1026548.67元，含税投标总价： 1160000.00元</x:v>
      </x:c>
      <x:c r="Q8" s="18" t="n">
        <x:v>1160000</x:v>
      </x:c>
      <x:c r="R8" s="6" t="str">
        <x:v>元</x:v>
      </x:c>
      <x:c r="S8" s="6" t="str">
        <x:v>未单独声明</x:v>
      </x:c>
      <x:c r="T8" s="6" t="str">
        <x:v>候选人含税投标总价</x:v>
      </x:c>
      <x:c r="U8" s="6"/>
      <x:c r="V8" s="6"/>
      <x:c r="W8" s="6"/>
      <x:c r="X8" s="6"/>
      <x:c r="Y8" s="6" t="str">
        <x:v>O008, Q004</x:v>
      </x:c>
      <x:c r="Z8" s="6" t="str">
        <x:v>已核验主体角色和公告正文</x:v>
      </x:c>
      <x:c r="AA8" s="6" t="str">
        <x:v>候选公示不等于中标/成交;含税及未税投标额分别保留。；该项目金额条款仅写元/万元，未明确人民币；O014人民币只修饰500元招标文件费用，不能自动外推采购预算。保留未确认币种的原数值，不折算为CNY。</x:v>
      </x:c>
    </x:row>
    <x:row r="9" ht="56" customHeight="1">
      <x:c r="A9" s="6" t="str">
        <x:v>R0219</x:v>
      </x:c>
      <x:c r="B9" s="6" t="str">
        <x:v>惠州比亚迪电池有限公司</x:v>
      </x:c>
      <x:c r="C9" s="6" t="str">
        <x:v>招标人/实际采购主体</x:v>
      </x:c>
      <x:c r="D9" s="6" t="str">
        <x:v>招标公告</x:v>
      </x:c>
      <x:c r="E9" s="6" t="str">
        <x:v>比亚迪公司流化床采购项目（二次）招标公告</x:v>
      </x:c>
      <x:c r="F9" s="6" t="str">
        <x:v>SZ-05-04A-2026-D-F-E17466C01</x:v>
      </x:c>
      <x:c r="G9" s="6" t="str">
        <x:v>项目族P01</x:v>
      </x:c>
      <x:c r="H9" s="13" t="d">
        <x:v>2026-07-28T00:00:00.000Z</x:v>
      </x:c>
      <x:c r="I9" s="13" t="d">
        <x:v>2026-07-28T00:00:00.000Z</x:v>
      </x:c>
      <x:c r="J9" s="19" t="d">
        <x:v>2026-08-19T09:30:00.000Z</x:v>
      </x:c>
      <x:c r="K9" s="6" t="str">
        <x:v>截止已过（历史公告）</x:v>
      </x:c>
      <x:c r="L9" s="6" t="str">
        <x:v>惠州比亚迪电池有限公司</x:v>
      </x:c>
      <x:c r="M9" s="6" t="str">
        <x:v>公诚管理咨询有限公司</x:v>
      </x:c>
      <x:c r="N9" s="6"/>
      <x:c r="O9" s="6" t="str">
        <x:v>湖北省宜昌市</x:v>
      </x:c>
      <x:c r="P9" s="6" t="str">
        <x:v>项目不含税预算金额200 万元</x:v>
      </x:c>
      <x:c r="Q9" s="18" t="n">
        <x:v>2000000</x:v>
      </x:c>
      <x:c r="R9" s="6" t="str">
        <x:v>元</x:v>
      </x:c>
      <x:c r="S9" s="6" t="str">
        <x:v>未单独声明</x:v>
      </x:c>
      <x:c r="T9" s="6" t="str">
        <x:v>不含税预算</x:v>
      </x:c>
      <x:c r="U9" s="6" t="str">
        <x:v>周成云</x:v>
      </x:c>
      <x:c r="V9" s="14" t="str">
        <x:v>18664970951</x:v>
      </x:c>
      <x:c r="W9" s="6"/>
      <x:c r="X9" s="6" t="str">
        <x:v>采购方联系人</x:v>
      </x:c>
      <x:c r="Y9" s="6" t="str">
        <x:v>O007</x:v>
      </x:c>
      <x:c r="Z9" s="6" t="str">
        <x:v>已核验主体角色和公告正文</x:v>
      </x:c>
      <x:c r="AA9" s="6" t="str">
        <x:v>一年窗内历史采购公告,截至2026-10-08截止时间已过;仅作采购需求与接触线索。；该项目金额条款仅写元/万元，未明确人民币；O014人民币只修饰500元招标文件费用，不能自动外推采购预算。保留未确认币种的原数值，不折算为CNY。</x:v>
      </x:c>
    </x:row>
    <x:row r="10" ht="56" customHeight="1">
      <x:c r="A10" s="6" t="str">
        <x:v>R0214</x:v>
      </x:c>
      <x:c r="B10" s="6" t="str">
        <x:v>深圳市比亚迪锂电池有限公司</x:v>
      </x:c>
      <x:c r="C10" s="6" t="str">
        <x:v>招标人/实际采购主体</x:v>
      </x:c>
      <x:c r="D10" s="6" t="str">
        <x:v>招标公告</x:v>
      </x:c>
      <x:c r="E10" s="6" t="str">
        <x:v>比亚迪公司实验室温等静压机采购项目（二次）招标公告</x:v>
      </x:c>
      <x:c r="F10" s="6" t="str">
        <x:v>SZ-05-04A-2026-D-F-E15235C01</x:v>
      </x:c>
      <x:c r="G10" s="6" t="str">
        <x:v>SZ-05-04A-2026-D-F-E15235C01</x:v>
      </x:c>
      <x:c r="H10" s="13" t="d">
        <x:v>2026-07-14T00:00:00.000Z</x:v>
      </x:c>
      <x:c r="I10" s="13" t="d">
        <x:v>2026-07-14T00:00:00.000Z</x:v>
      </x:c>
      <x:c r="J10" s="19" t="d">
        <x:v>2026-08-04T09:30:00.000Z</x:v>
      </x:c>
      <x:c r="K10" s="6" t="str">
        <x:v>截止已过（历史公告）</x:v>
      </x:c>
      <x:c r="L10" s="6" t="str">
        <x:v>深圳市比亚迪锂电池有限公司</x:v>
      </x:c>
      <x:c r="M10" s="6" t="str">
        <x:v>公诚管理咨询有限公司</x:v>
      </x:c>
      <x:c r="N10" s="6"/>
      <x:c r="O10" s="6" t="str">
        <x:v>深圳市龙岗区</x:v>
      </x:c>
      <x:c r="P10" s="6" t="str">
        <x:v>项目不含税预算金额500 万元</x:v>
      </x:c>
      <x:c r="Q10" s="18" t="n">
        <x:v>5000000</x:v>
      </x:c>
      <x:c r="R10" s="6" t="str">
        <x:v>元</x:v>
      </x:c>
      <x:c r="S10" s="6" t="str">
        <x:v>未单独声明</x:v>
      </x:c>
      <x:c r="T10" s="6" t="str">
        <x:v>不含税预算</x:v>
      </x:c>
      <x:c r="U10" s="6" t="str">
        <x:v>杨海川</x:v>
      </x:c>
      <x:c r="V10" s="14" t="str">
        <x:v>19065009629</x:v>
      </x:c>
      <x:c r="W10" s="6"/>
      <x:c r="X10" s="6" t="str">
        <x:v>采购方联系人</x:v>
      </x:c>
      <x:c r="Y10" s="6" t="str">
        <x:v>O002</x:v>
      </x:c>
      <x:c r="Z10" s="6" t="str">
        <x:v>已核验主体角色和公告正文</x:v>
      </x:c>
      <x:c r="AA10" s="6" t="str">
        <x:v>一年窗内历史采购公告,截至2026-10-08截止时间已过;仅作采购需求与接触线索。；该项目金额条款仅写元/万元，未明确人民币；O014人民币只修饰500元招标文件费用，不能自动外推采购预算。保留未确认币种的原数值，不折算为CNY。</x:v>
      </x:c>
    </x:row>
    <x:row r="11" ht="40" customHeight="1">
      <x:c r="A11" s="6" t="str">
        <x:v>R0217</x:v>
      </x:c>
      <x:c r="B11" s="6" t="str">
        <x:v>惠州比亚迪电池有限公司</x:v>
      </x:c>
      <x:c r="C11" s="6" t="str">
        <x:v>招标人/实际采购主体</x:v>
      </x:c>
      <x:c r="D11" s="6" t="str">
        <x:v>采购中止公告</x:v>
      </x:c>
      <x:c r="E11" s="6" t="str">
        <x:v>比亚迪公司分级机采购项目中止公告</x:v>
      </x:c>
      <x:c r="F11" s="6" t="str">
        <x:v>SZ-05-04A-2026-D-F-E17264</x:v>
      </x:c>
      <x:c r="G11" s="6" t="str">
        <x:v>SZ-05-04A-2026-D-F-E17264</x:v>
      </x:c>
      <x:c r="H11" s="13" t="d">
        <x:v>2026-07-10T00:00:00.000Z</x:v>
      </x:c>
      <x:c r="I11" s="13" t="d">
        <x:v>2026-07-10T00:00:00.000Z</x:v>
      </x:c>
      <x:c r="J11" s="19"/>
      <x:c r="K11" s="6" t="str">
        <x:v>未披露截止日/非招标阶段</x:v>
      </x:c>
      <x:c r="L11" s="6" t="str">
        <x:v>惠州比亚迪电池有限公司</x:v>
      </x:c>
      <x:c r="M11" s="6" t="str">
        <x:v>公诚管理咨询有限公司</x:v>
      </x:c>
      <x:c r="N11" s="6"/>
      <x:c r="O11" s="6"/>
      <x:c r="P11" s="6"/>
      <x:c r="Q11" s="17"/>
      <x:c r="R11" s="6" t="str"/>
      <x:c r="S11" s="6" t="str">
        <x:v>未单独声明</x:v>
      </x:c>
      <x:c r="T11" s="6"/>
      <x:c r="U11" s="6" t="str">
        <x:v>沈女士</x:v>
      </x:c>
      <x:c r="V11" s="14" t="str">
        <x:v>19928817675</x:v>
      </x:c>
      <x:c r="W11" s="6"/>
      <x:c r="X11" s="6" t="str">
        <x:v>采购方联系人</x:v>
      </x:c>
      <x:c r="Y11" s="6" t="str">
        <x:v>O005</x:v>
      </x:c>
      <x:c r="Z11" s="6" t="str">
        <x:v>已核验主体角色和公告正文</x:v>
      </x:c>
      <x:c r="AA11" s="6" t="str">
        <x:v>因需求及预算变更已中止，不能当作有效在招机会。</x:v>
      </x:c>
    </x:row>
    <x:row r="12" ht="56" customHeight="1">
      <x:c r="A12" s="6" t="str">
        <x:v>R0221</x:v>
      </x:c>
      <x:c r="B12" s="6" t="str">
        <x:v>深圳市比亚迪锂电池有限公司</x:v>
      </x:c>
      <x:c r="C12" s="6" t="str">
        <x:v>招标人/实际采购主体</x:v>
      </x:c>
      <x:c r="D12" s="6" t="str">
        <x:v>中标候选人公示</x:v>
      </x:c>
      <x:c r="E12" s="6" t="str">
        <x:v>比亚迪公司原位透射电子显微镜系统采购项目（标包一）中标候选人公示</x:v>
      </x:c>
      <x:c r="F12" s="6" t="str">
        <x:v>SZ-05-04A-2026-D-F-E15136/01</x:v>
      </x:c>
      <x:c r="G12" s="6" t="str">
        <x:v>SZ-05-04A-2026-D-F-E15136/01</x:v>
      </x:c>
      <x:c r="H12" s="13" t="d">
        <x:v>2026-07-07T00:00:00.000Z</x:v>
      </x:c>
      <x:c r="I12" s="13" t="d">
        <x:v>2026-07-07T00:00:00.000Z</x:v>
      </x:c>
      <x:c r="J12" s="19"/>
      <x:c r="K12" s="6" t="str">
        <x:v>未披露截止日/非招标阶段</x:v>
      </x:c>
      <x:c r="L12" s="6" t="str">
        <x:v>深圳市比亚迪锂电池有限公司</x:v>
      </x:c>
      <x:c r="M12" s="6" t="str">
        <x:v>公诚管理咨询有限公司</x:v>
      </x:c>
      <x:c r="N12" s="6" t="str">
        <x:v>广东省中科进出口有限公司</x:v>
      </x:c>
      <x:c r="O12" s="6"/>
      <x:c r="P12" s="6" t="str">
        <x:v>不含税投标总价：18870000.00元，含税投标总价： 21323100.00元</x:v>
      </x:c>
      <x:c r="Q12" s="18" t="n">
        <x:v>21323100</x:v>
      </x:c>
      <x:c r="R12" s="6" t="str">
        <x:v>元</x:v>
      </x:c>
      <x:c r="S12" s="6" t="str">
        <x:v>未单独声明</x:v>
      </x:c>
      <x:c r="T12" s="6" t="str">
        <x:v>候选人含税投标总价</x:v>
      </x:c>
      <x:c r="U12" s="6"/>
      <x:c r="V12" s="6"/>
      <x:c r="W12" s="6"/>
      <x:c r="X12" s="6"/>
      <x:c r="Y12" s="6" t="str">
        <x:v>O010</x:v>
      </x:c>
      <x:c r="Z12" s="6" t="str">
        <x:v>已核验主体角色和公告正文</x:v>
      </x:c>
      <x:c r="AA12" s="6" t="str">
        <x:v>候选公示不等于中标/成交;含税及未税投标额分别保留。；该项目金额条款仅写元/万元，未明确人民币；O014人民币只修饰500元招标文件费用，不能自动外推采购预算。保留未确认币种的原数值，不折算为CNY。</x:v>
      </x:c>
    </x:row>
    <x:row r="13" ht="56" customHeight="1">
      <x:c r="A13" s="6" t="str">
        <x:v>R0213</x:v>
      </x:c>
      <x:c r="B13" s="6" t="str">
        <x:v>惠州比亚迪电池有限公司</x:v>
      </x:c>
      <x:c r="C13" s="6" t="str">
        <x:v>招标人/实际采购主体</x:v>
      </x:c>
      <x:c r="D13" s="6" t="str">
        <x:v>招标公告</x:v>
      </x:c>
      <x:c r="E13" s="6" t="str">
        <x:v>比亚迪公司流化床采购项目招标公告</x:v>
      </x:c>
      <x:c r="F13" s="6" t="str">
        <x:v>SZ-05-04A-2026-D-F-E17466</x:v>
      </x:c>
      <x:c r="G13" s="6" t="str">
        <x:v>项目族P01</x:v>
      </x:c>
      <x:c r="H13" s="13" t="d">
        <x:v>2026-07-01T00:00:00.000Z</x:v>
      </x:c>
      <x:c r="I13" s="13" t="d">
        <x:v>2026-07-01T00:00:00.000Z</x:v>
      </x:c>
      <x:c r="J13" s="19" t="d">
        <x:v>2026-07-22T09:30:00.000Z</x:v>
      </x:c>
      <x:c r="K13" s="6" t="str">
        <x:v>截止已过（历史公告）</x:v>
      </x:c>
      <x:c r="L13" s="6" t="str">
        <x:v>惠州比亚迪电池有限公司</x:v>
      </x:c>
      <x:c r="M13" s="6" t="str">
        <x:v>公诚管理咨询有限公司</x:v>
      </x:c>
      <x:c r="N13" s="6"/>
      <x:c r="O13" s="6" t="str">
        <x:v>湖北省宜昌市</x:v>
      </x:c>
      <x:c r="P13" s="6" t="str">
        <x:v>项目不含税预算金额250万元</x:v>
      </x:c>
      <x:c r="Q13" s="18" t="n">
        <x:v>2500000</x:v>
      </x:c>
      <x:c r="R13" s="6" t="str">
        <x:v>元</x:v>
      </x:c>
      <x:c r="S13" s="6" t="str">
        <x:v>未单独声明</x:v>
      </x:c>
      <x:c r="T13" s="6" t="str">
        <x:v>不含税预算</x:v>
      </x:c>
      <x:c r="U13" s="6" t="str">
        <x:v>刘永进</x:v>
      </x:c>
      <x:c r="V13" s="14" t="str">
        <x:v>19928815278</x:v>
      </x:c>
      <x:c r="W13" s="6"/>
      <x:c r="X13" s="6" t="str">
        <x:v>采购方联系人</x:v>
      </x:c>
      <x:c r="Y13" s="6" t="str">
        <x:v>O001</x:v>
      </x:c>
      <x:c r="Z13" s="6" t="str">
        <x:v>已核验主体角色和公告正文</x:v>
      </x:c>
      <x:c r="AA13" s="6" t="str">
        <x:v>一年窗内历史采购公告,截至2026-10-08截止时间已过;仅作采购需求与接触线索。；该项目金额条款仅写元/万元，未明确人民币；O014人民币只修饰500元招标文件费用，不能自动外推采购预算。保留未确认币种的原数值，不折算为CNY。</x:v>
      </x:c>
    </x:row>
    <x:row r="14" ht="56" customHeight="1">
      <x:c r="A14" s="6" t="str">
        <x:v>R0218</x:v>
      </x:c>
      <x:c r="B14" s="6" t="str">
        <x:v>深圳市比亚迪锂电池有限公司</x:v>
      </x:c>
      <x:c r="C14" s="6" t="str">
        <x:v>招标人/实际采购主体</x:v>
      </x:c>
      <x:c r="D14" s="6" t="str">
        <x:v>招标公告</x:v>
      </x:c>
      <x:c r="E14" s="6" t="str">
        <x:v>比亚迪公司场发射扫描电子显微镜采购项目招标公告</x:v>
      </x:c>
      <x:c r="F14" s="6" t="str">
        <x:v>SZ-05-04A-2026-D-F-E16729</x:v>
      </x:c>
      <x:c r="G14" s="6" t="str">
        <x:v>项目族P04</x:v>
      </x:c>
      <x:c r="H14" s="13" t="d">
        <x:v>2026-06-25T00:00:00.000Z</x:v>
      </x:c>
      <x:c r="I14" s="13" t="d">
        <x:v>2026-06-25T00:00:00.000Z</x:v>
      </x:c>
      <x:c r="J14" s="19" t="d">
        <x:v>2026-07-16T09:30:00.000Z</x:v>
      </x:c>
      <x:c r="K14" s="6" t="str">
        <x:v>截止已过（历史公告）</x:v>
      </x:c>
      <x:c r="L14" s="6" t="str">
        <x:v>深圳市比亚迪锂电池有限公司</x:v>
      </x:c>
      <x:c r="M14" s="6" t="str">
        <x:v>公诚管理咨询有限公司</x:v>
      </x:c>
      <x:c r="N14" s="6"/>
      <x:c r="O14" s="6" t="str">
        <x:v>深圳市</x:v>
      </x:c>
      <x:c r="P14" s="6" t="str">
        <x:v>项目不含税预算金额390 万元</x:v>
      </x:c>
      <x:c r="Q14" s="18" t="n">
        <x:v>3900000</x:v>
      </x:c>
      <x:c r="R14" s="6" t="str">
        <x:v>元</x:v>
      </x:c>
      <x:c r="S14" s="6" t="str">
        <x:v>未单独声明</x:v>
      </x:c>
      <x:c r="T14" s="6" t="str">
        <x:v>不含税预算</x:v>
      </x:c>
      <x:c r="U14" s="6" t="str">
        <x:v>胡超</x:v>
      </x:c>
      <x:c r="V14" s="14" t="str">
        <x:v>13751029874</x:v>
      </x:c>
      <x:c r="W14" s="6"/>
      <x:c r="X14" s="6" t="str">
        <x:v>采购方联系人</x:v>
      </x:c>
      <x:c r="Y14" s="6" t="str">
        <x:v>O006</x:v>
      </x:c>
      <x:c r="Z14" s="6" t="str">
        <x:v>已核验主体角色和公告正文</x:v>
      </x:c>
      <x:c r="AA14" s="6" t="str">
        <x:v>一年窗内历史采购公告,截至2026-10-08截止时间已过;仅作采购需求与接触线索。；该项目金额条款仅写元/万元，未明确人民币；O014人民币只修饰500元招标文件费用，不能自动外推采购预算。保留未确认币种的原数值，不折算为CNY。</x:v>
      </x:c>
    </x:row>
    <x:row r="15" ht="56" customHeight="1">
      <x:c r="A15" s="6" t="str">
        <x:v>R0215</x:v>
      </x:c>
      <x:c r="B15" s="6" t="str">
        <x:v>深圳市比亚迪锂电池有限公司</x:v>
      </x:c>
      <x:c r="C15" s="6" t="str">
        <x:v>招标人/实际采购主体</x:v>
      </x:c>
      <x:c r="D15" s="6" t="str">
        <x:v>招标公告</x:v>
      </x:c>
      <x:c r="E15" s="6" t="str">
        <x:v>比亚迪公司硬X射线XPS采购项目招标公告</x:v>
      </x:c>
      <x:c r="F15" s="6" t="str">
        <x:v>SZ-05-04A-2026-D-F-E15499</x:v>
      </x:c>
      <x:c r="G15" s="6" t="str">
        <x:v>SZ-05-04A-2026-D-F-E15499</x:v>
      </x:c>
      <x:c r="H15" s="13" t="d">
        <x:v>2026-06-17T00:00:00.000Z</x:v>
      </x:c>
      <x:c r="I15" s="13" t="d">
        <x:v>2026-06-17T00:00:00.000Z</x:v>
      </x:c>
      <x:c r="J15" s="19" t="d">
        <x:v>2026-07-08T09:30:00.000Z</x:v>
      </x:c>
      <x:c r="K15" s="6" t="str">
        <x:v>截止已过（历史公告）</x:v>
      </x:c>
      <x:c r="L15" s="6" t="str">
        <x:v>深圳市比亚迪锂电池有限公司</x:v>
      </x:c>
      <x:c r="M15" s="6" t="str">
        <x:v>公诚管理咨询有限公司</x:v>
      </x:c>
      <x:c r="N15" s="6"/>
      <x:c r="O15" s="6" t="str">
        <x:v>深圳市龙岗区宝龙比亚迪</x:v>
      </x:c>
      <x:c r="P15" s="6" t="str">
        <x:v>项目不含税预算金额700万元</x:v>
      </x:c>
      <x:c r="Q15" s="18" t="n">
        <x:v>7000000</x:v>
      </x:c>
      <x:c r="R15" s="6" t="str">
        <x:v>元</x:v>
      </x:c>
      <x:c r="S15" s="6" t="str">
        <x:v>未单独声明</x:v>
      </x:c>
      <x:c r="T15" s="6" t="str">
        <x:v>不含税预算</x:v>
      </x:c>
      <x:c r="U15" s="6" t="str">
        <x:v>靳晓霞</x:v>
      </x:c>
      <x:c r="V15" s="14" t="str">
        <x:v>18620338317</x:v>
      </x:c>
      <x:c r="W15" s="6"/>
      <x:c r="X15" s="6" t="str">
        <x:v>采购方联系人</x:v>
      </x:c>
      <x:c r="Y15" s="6" t="str">
        <x:v>O003</x:v>
      </x:c>
      <x:c r="Z15" s="6" t="str">
        <x:v>已核验主体角色和公告正文</x:v>
      </x:c>
      <x:c r="AA15" s="6" t="str">
        <x:v>一年窗内历史采购公告,截至2026-10-08截止时间已过;仅作采购需求与接触线索。；该项目金额条款仅写元/万元，未明确人民币；O014人民币只修饰500元招标文件费用，不能自动外推采购预算。保留未确认币种的原数值，不折算为CNY。</x:v>
      </x:c>
    </x:row>
    <x:row r="16" ht="56" customHeight="1">
      <x:c r="A16" s="6" t="str">
        <x:v>R0016</x:v>
      </x:c>
      <x:c r="B16" s="6" t="str">
        <x:v>比亚迪汽车销售有限公司</x:v>
      </x:c>
      <x:c r="C16" s="6" t="str">
        <x:v>框架入围供应商</x:v>
      </x:c>
      <x:c r="D16" s="6" t="str">
        <x:v>框架协议入围结果公告</x:v>
      </x:c>
      <x:c r="E16" s="6" t="str">
        <x:v>比亚迪汽车销售有限公司入围上海市2026年新能源公务用车框架协议采购的结果公告</x:v>
      </x:c>
      <x:c r="F16" s="6" t="str"/>
      <x:c r="G16" s="6" t="str">
        <x:v>比亚迪汽车销售有限公司入围上海市2026年新能源公务用车框架协议采购的结果公告</x:v>
      </x:c>
      <x:c r="H16" s="13" t="d">
        <x:v>2026-06-03T00:00:00.000Z</x:v>
      </x:c>
      <x:c r="I16" s="13" t="d">
        <x:v>2026-06-03T00:00:00.000Z</x:v>
      </x:c>
      <x:c r="J16" s="19"/>
      <x:c r="K16" s="6" t="str">
        <x:v>未披露截止日/非招标阶段</x:v>
      </x:c>
      <x:c r="L16" s="6" t="str"/>
      <x:c r="M16" s="6" t="str"/>
      <x:c r="N16" s="6" t="str">
        <x:v>比亚迪汽车销售有限公司（标题披露）</x:v>
      </x:c>
      <x:c r="O16" s="6" t="str">
        <x:v>上海</x:v>
      </x:c>
      <x:c r="P16" s="6" t="str">
        <x:v>入围商品单价：夏218km超越型246800元；宋Pro DM-i220km超越型122800元；秦PLUS DM-i210KM超越版99800元</x:v>
      </x:c>
      <x:c r="Q16" s="17"/>
      <x:c r="R16" s="6" t="str"/>
      <x:c r="S16" s="6" t="str">
        <x:v>未单独声明</x:v>
      </x:c>
      <x:c r="T16" s="6" t="str">
        <x:v>框架协议商品单价；无成交总额</x:v>
      </x:c>
      <x:c r="U16" s="6" t="str">
        <x:v>周晓州</x:v>
      </x:c>
      <x:c r="V16" s="6" t="str">
        <x:v>152****8168</x:v>
      </x:c>
      <x:c r="W16" s="6" t="str"/>
      <x:c r="X16" s="6" t="str">
        <x:v>入围供应商联系人</x:v>
      </x:c>
      <x:c r="Y16" s="6" t="str">
        <x:v>Q009</x:v>
      </x:c>
      <x:c r="Z16" s="6" t="str">
        <x:v>已核验主体角色和公告正文</x:v>
      </x:c>
      <x:c r="AA16" s="6" t="str">
        <x:v>供应商法人名称由标题披露,正文名称隐藏;框架入围不等于已下订单,单价不得作为集团中标总额;号码遮挡。；框架入围不是实际订单；不计集团采购额</x:v>
      </x:c>
    </x:row>
    <x:row r="17" ht="56" customHeight="1">
      <x:c r="A17" s="6" t="str">
        <x:v>R0223</x:v>
      </x:c>
      <x:c r="B17" s="6" t="str">
        <x:v>深圳市比亚迪锂电池有限公司</x:v>
      </x:c>
      <x:c r="C17" s="6" t="str">
        <x:v>招标人/实际采购主体</x:v>
      </x:c>
      <x:c r="D17" s="6" t="str">
        <x:v>中标候选人公示</x:v>
      </x:c>
      <x:c r="E17" s="6" t="str">
        <x:v>数据采集仪采购项目中标候选人公示</x:v>
      </x:c>
      <x:c r="F17" s="6" t="str">
        <x:v>SZ-05-04A-2026-D-F-E10663</x:v>
      </x:c>
      <x:c r="G17" s="6" t="str">
        <x:v>SZ-05-04A-2026-D-F-E10663</x:v>
      </x:c>
      <x:c r="H17" s="13" t="d">
        <x:v>2026-06-03T00:00:00.000Z</x:v>
      </x:c>
      <x:c r="I17" s="13" t="d">
        <x:v>2026-06-03T00:00:00.000Z</x:v>
      </x:c>
      <x:c r="J17" s="19"/>
      <x:c r="K17" s="6" t="str">
        <x:v>未披露截止日/非招标阶段</x:v>
      </x:c>
      <x:c r="L17" s="6" t="str">
        <x:v>深圳市比亚迪锂电池有限公司</x:v>
      </x:c>
      <x:c r="M17" s="6" t="str">
        <x:v>公诚管理咨询有限公司</x:v>
      </x:c>
      <x:c r="N17" s="6" t="str">
        <x:v>上海同星智能科技有限公司</x:v>
      </x:c>
      <x:c r="O17" s="6"/>
      <x:c r="P17" s="6" t="str">
        <x:v>不含税投标总价：260177.00元，含税投标总价：294000.00元</x:v>
      </x:c>
      <x:c r="Q17" s="18" t="n">
        <x:v>294000</x:v>
      </x:c>
      <x:c r="R17" s="6" t="str">
        <x:v>元</x:v>
      </x:c>
      <x:c r="S17" s="6" t="str">
        <x:v>未单独声明</x:v>
      </x:c>
      <x:c r="T17" s="6" t="str">
        <x:v>候选人含税投标总价</x:v>
      </x:c>
      <x:c r="U17" s="6"/>
      <x:c r="V17" s="6"/>
      <x:c r="W17" s="6"/>
      <x:c r="X17" s="6"/>
      <x:c r="Y17" s="6" t="str">
        <x:v>O013</x:v>
      </x:c>
      <x:c r="Z17" s="6" t="str">
        <x:v>已核验主体角色和公告正文</x:v>
      </x:c>
      <x:c r="AA17" s="6" t="str">
        <x:v>候选公示不等于中标/成交;含税及未税投标额分别保留。；该项目金额条款仅写元/万元，未明确人民币；O014人民币只修饰500元招标文件费用，不能自动外推采购预算。保留未确认币种的原数值，不折算为CNY。</x:v>
      </x:c>
    </x:row>
    <x:row r="18" ht="56" customHeight="1">
      <x:c r="A18" s="6" t="str">
        <x:v>R0224</x:v>
      </x:c>
      <x:c r="B18" s="6" t="str">
        <x:v>深圳市比亚迪锂电池有限公司</x:v>
      </x:c>
      <x:c r="C18" s="6" t="str">
        <x:v>招标人/实际采购主体</x:v>
      </x:c>
      <x:c r="D18" s="6" t="str">
        <x:v>招标公告</x:v>
      </x:c>
      <x:c r="E18" s="6" t="str">
        <x:v>软包三电极电池检测柜采购项目招标公告</x:v>
      </x:c>
      <x:c r="F18" s="6" t="str">
        <x:v>SZ-05-04A-2026-D-F-E10658</x:v>
      </x:c>
      <x:c r="G18" s="6" t="str">
        <x:v>SZ-05-04A-2026-D-F-E10658</x:v>
      </x:c>
      <x:c r="H18" s="13" t="d">
        <x:v>2026-05-13T00:00:00.000Z</x:v>
      </x:c>
      <x:c r="I18" s="13" t="d">
        <x:v>2026-05-13T00:00:00.000Z</x:v>
      </x:c>
      <x:c r="J18" s="19" t="d">
        <x:v>2026-06-03T09:30:00.000Z</x:v>
      </x:c>
      <x:c r="K18" s="6" t="str">
        <x:v>截止已过（历史公告）</x:v>
      </x:c>
      <x:c r="L18" s="6" t="str">
        <x:v>深圳市比亚迪锂电池有限公司</x:v>
      </x:c>
      <x:c r="M18" s="6" t="str">
        <x:v>公诚管理咨询有限公司</x:v>
      </x:c>
      <x:c r="N18" s="6"/>
      <x:c r="O18" s="6" t="str">
        <x:v>深圳市龙岗区</x:v>
      </x:c>
      <x:c r="P18" s="6" t="str">
        <x:v>项目不含税预算金额46.5万元</x:v>
      </x:c>
      <x:c r="Q18" s="18" t="n">
        <x:v>465000</x:v>
      </x:c>
      <x:c r="R18" s="6" t="str">
        <x:v>元</x:v>
      </x:c>
      <x:c r="S18" s="6" t="str">
        <x:v>未单独声明</x:v>
      </x:c>
      <x:c r="T18" s="6" t="str">
        <x:v>不含税预算</x:v>
      </x:c>
      <x:c r="U18" s="6" t="str">
        <x:v>郭工</x:v>
      </x:c>
      <x:c r="V18" s="14" t="str">
        <x:v>18998128178</x:v>
      </x:c>
      <x:c r="W18" s="6"/>
      <x:c r="X18" s="6" t="str">
        <x:v>采购方联系人</x:v>
      </x:c>
      <x:c r="Y18" s="6" t="str">
        <x:v>O014</x:v>
      </x:c>
      <x:c r="Z18" s="6" t="str">
        <x:v>已核验主体角色和公告正文</x:v>
      </x:c>
      <x:c r="AA18" s="6" t="str">
        <x:v>一年窗内历史采购公告,截至2026-10-08截止时间已过;仅作采购需求与接触线索。；该项目金额条款仅写元/万元，未明确人民币；O014人民币只修饰500元招标文件费用，不能自动外推采购预算。保留未确认币种的原数值，不折算为CNY。</x:v>
      </x:c>
    </x:row>
    <x:row r="19" ht="40" customHeight="1">
      <x:c r="A19" s="6" t="str">
        <x:v>R0063</x:v>
      </x:c>
      <x:c r="B19" s="6" t="str">
        <x:v>比亚迪汽车工业有限公司</x:v>
      </x:c>
      <x:c r="C19" s="6" t="str">
        <x:v>中标人</x:v>
      </x:c>
      <x:c r="D19" s="6" t="str">
        <x:v>中标结果公告</x:v>
      </x:c>
      <x:c r="E19" s="6" t="str">
        <x:v>华润新能源云南宜良绿电智造200MW（400MWh）集中式共享储能电站项目储能系统设备采购中标结果公告</x:v>
      </x:c>
      <x:c r="F19" s="6" t="str"/>
      <x:c r="G19" s="6" t="str">
        <x:v>项目族P02</x:v>
      </x:c>
      <x:c r="H19" s="13" t="d">
        <x:v>2026-04-08T00:00:00.000Z</x:v>
      </x:c>
      <x:c r="I19" s="13" t="d">
        <x:v>2026-04-08T00:00:00.000Z</x:v>
      </x:c>
      <x:c r="J19" s="19"/>
      <x:c r="K19" s="6" t="str">
        <x:v>未披露截止日/非招标阶段</x:v>
      </x:c>
      <x:c r="L19" s="6" t="str">
        <x:v>华润风电（宜良）有限公司</x:v>
      </x:c>
      <x:c r="M19" s="6" t="str">
        <x:v>华润守正招标有限公司</x:v>
      </x:c>
      <x:c r="N19" s="6" t="str">
        <x:v>比亚迪汽车工业有限公司</x:v>
      </x:c>
      <x:c r="O19" s="6" t="str">
        <x:v>云南省宜良（项目名称；页面标签深圳市）</x:v>
      </x:c>
      <x:c r="P19" s="6" t="str">
        <x:v>*********.**元</x:v>
      </x:c>
      <x:c r="Q19" s="17"/>
      <x:c r="R19" s="6" t="str"/>
      <x:c r="S19" s="6" t="str">
        <x:v>未单独声明</x:v>
      </x:c>
      <x:c r="T19" s="6" t="str">
        <x:v>中标价格（遮蔽，税口径未披露）</x:v>
      </x:c>
      <x:c r="U19" s="6" t="str"/>
      <x:c r="V19" s="6" t="str"/>
      <x:c r="W19" s="6" t="str"/>
      <x:c r="X19" s="6" t="str"/>
      <x:c r="Y19" s="6" t="str">
        <x:v>B003</x:v>
      </x:c>
      <x:c r="Z19" s="6" t="str">
        <x:v>已核验主体角色和公告正文</x:v>
      </x:c>
      <x:c r="AA19" s="6" t="str">
        <x:v>与B004同一项目，以本结果为最终中标状态；金额与项目编号被遮蔽，不恢复；货币未明确写人民币，不换算。</x:v>
      </x:c>
    </x:row>
    <x:row r="20" ht="40" customHeight="1">
      <x:c r="A20" s="6" t="str">
        <x:v>R0064</x:v>
      </x:c>
      <x:c r="B20" s="6" t="str">
        <x:v>比亚迪汽车工业有限公司</x:v>
      </x:c>
      <x:c r="C20" s="6" t="str">
        <x:v>第一中标候选人</x:v>
      </x:c>
      <x:c r="D20" s="6" t="str">
        <x:v>中标候选人公示</x:v>
      </x:c>
      <x:c r="E20" s="6" t="str">
        <x:v>华润新能源云南宜良绿电智造200MW（400MWh）集中式共享储能电站项目储能系统设备采购中标候选人公示</x:v>
      </x:c>
      <x:c r="F20" s="6" t="str"/>
      <x:c r="G20" s="6" t="str">
        <x:v>项目族P02</x:v>
      </x:c>
      <x:c r="H20" s="13" t="d">
        <x:v>2026-04-03T00:00:00.000Z</x:v>
      </x:c>
      <x:c r="I20" s="13" t="d">
        <x:v>2026-04-03T00:00:00.000Z</x:v>
      </x:c>
      <x:c r="J20" s="19"/>
      <x:c r="K20" s="6" t="str">
        <x:v>未披露截止日/非招标阶段</x:v>
      </x:c>
      <x:c r="L20" s="6" t="str">
        <x:v>华润风电（宜良）有限公司</x:v>
      </x:c>
      <x:c r="M20" s="6" t="str">
        <x:v>华润守正招标有限公司</x:v>
      </x:c>
      <x:c r="N20" s="6" t="str">
        <x:v>比亚迪汽车工业有限公司</x:v>
      </x:c>
      <x:c r="O20" s="6" t="str">
        <x:v>云南省宜良（项目名称；页面标签深圳市）</x:v>
      </x:c>
      <x:c r="P20" s="6" t="str">
        <x:v>*********.**元</x:v>
      </x:c>
      <x:c r="Q20" s="17"/>
      <x:c r="R20" s="6" t="str"/>
      <x:c r="S20" s="6" t="str">
        <x:v>未单独声明</x:v>
      </x:c>
      <x:c r="T20" s="6" t="str">
        <x:v>候选投标价格（遮蔽，税口径未披露）</x:v>
      </x:c>
      <x:c r="U20" s="6" t="str">
        <x:v>令狐浚通/朱玉生</x:v>
      </x:c>
      <x:c r="V20" s="6" t="str"/>
      <x:c r="W20" s="6" t="str"/>
      <x:c r="X20" s="6" t="str">
        <x:v>项目经理/监督人</x:v>
      </x:c>
      <x:c r="Y20" s="6" t="str">
        <x:v>B004</x:v>
      </x:c>
      <x:c r="Z20" s="6" t="str">
        <x:v>已核验主体角色和公告正文</x:v>
      </x:c>
      <x:c r="AA20" s="6" t="str">
        <x:v>与B003同一项目的候选阶段，不重复计算项目数。页面公告类型标签为中标结果公告，但正文为候选公示；类型采用正文。电话被遮蔽，不采用平台客服。</x:v>
      </x:c>
    </x:row>
    <x:row r="21" ht="56" customHeight="1">
      <x:c r="A21" s="6" t="str">
        <x:v>R0072</x:v>
      </x:c>
      <x:c r="B21" s="6" t="str">
        <x:v>比亚迪汽车工业有限公司</x:v>
      </x:c>
      <x:c r="C21" s="6" t="str">
        <x:v>入围供应商</x:v>
      </x:c>
      <x:c r="D21" s="6" t="str">
        <x:v>框架协议入围结果公告</x:v>
      </x:c>
      <x:c r="E21" s="6" t="str">
        <x:v>青岛市机关事务服务中心青岛市党政机关事业单位2026年度公务用车框架协议采购项目入围结果公告（其他小型客车19）</x:v>
      </x:c>
      <x:c r="F21" s="6" t="str">
        <x:v>SDGP370200000202601000406</x:v>
      </x:c>
      <x:c r="G21" s="6" t="str">
        <x:v>SDGP370200000202601000406</x:v>
      </x:c>
      <x:c r="H21" s="13" t="d">
        <x:v>2026-03-31T00:00:00.000Z</x:v>
      </x:c>
      <x:c r="I21" s="13" t="d">
        <x:v>2026-03-31T00:00:00.000Z</x:v>
      </x:c>
      <x:c r="J21" s="19"/>
      <x:c r="K21" s="6" t="str">
        <x:v>未披露截止日/非招标阶段</x:v>
      </x:c>
      <x:c r="L21" s="6" t="str">
        <x:v>青岛市政务服务和公共资源交易中心、青岛市机关事务服务中心</x:v>
      </x:c>
      <x:c r="M21" s="6" t="str">
        <x:v>青岛市政务服务和公共资源交易中心</x:v>
      </x:c>
      <x:c r="N21" s="6" t="str">
        <x:v>比亚迪汽车工业有限公司</x:v>
      </x:c>
      <x:c r="O21" s="6" t="str">
        <x:v>山东省青岛市</x:v>
      </x:c>
      <x:c r="P21" s="6" t="str">
        <x:v>132000.0元；单价132000.000000元/辆</x:v>
      </x:c>
      <x:c r="Q21" s="18" t="n">
        <x:v>132000</x:v>
      </x:c>
      <x:c r="R21" s="6" t="str">
        <x:v>元</x:v>
      </x:c>
      <x:c r="S21" s="6" t="str">
        <x:v>未单独声明</x:v>
      </x:c>
      <x:c r="T21" s="6" t="str">
        <x:v>框架入围车型单价（非实际采购总额）</x:v>
      </x:c>
      <x:c r="U21" s="6" t="str">
        <x:v>阎工</x:v>
      </x:c>
      <x:c r="V21" s="14" t="str">
        <x:v>66209829</x:v>
      </x:c>
      <x:c r="W21" s="6" t="str"/>
      <x:c r="X21" s="6" t="str">
        <x:v>采购代理：青岛市政务服务和公共资源交易中心；非比亚迪</x:v>
      </x:c>
      <x:c r="Y21" s="6" t="str">
        <x:v>G001</x:v>
      </x:c>
      <x:c r="Z21" s="6" t="str">
        <x:v>已核验主体角色和公告正文</x:v>
      </x:c>
      <x:c r="AA21" s="6" t="str">
        <x:v>已核实官方正文。分包其他小型客车19,车型BYD6450ALBEV2;不得把框架入围当作132000元实际成交订单。电话原文未注明区号,保留原值。；本项目对应公开文本仅明示元，未明确人民币；不能引用同一抓取文件中其他项目的人民币表头补币种。</x:v>
      </x:c>
    </x:row>
    <x:row r="22" ht="56" customHeight="1">
      <x:c r="A22" s="6" t="str">
        <x:v>R0065</x:v>
      </x:c>
      <x:c r="B22" s="6" t="str">
        <x:v>比亚迪汽车工业有限公司</x:v>
      </x:c>
      <x:c r="C22" s="6" t="str">
        <x:v>第三成交候选人</x:v>
      </x:c>
      <x:c r="D22" s="6" t="str">
        <x:v>成交候选人公示</x:v>
      </x:c>
      <x:c r="E22" s="6" t="str">
        <x:v>启赫新能源河南宝丰200MW/400MWh储能电站项目EPC总承包储能系统设备成交候选人公示</x:v>
      </x:c>
      <x:c r="F22" s="6" t="str"/>
      <x:c r="G22" s="6" t="str">
        <x:v>启赫新能源河南宝丰200MW/400MWh储能电站项目EPC总承包储能系统设备成交候选人公示</x:v>
      </x:c>
      <x:c r="H22" s="13" t="d">
        <x:v>2026-01-14T00:00:00.000Z</x:v>
      </x:c>
      <x:c r="I22" s="13" t="d">
        <x:v>2026-01-14T00:00:00.000Z</x:v>
      </x:c>
      <x:c r="J22" s="19"/>
      <x:c r="K22" s="6" t="str">
        <x:v>未披露截止日/非招标阶段</x:v>
      </x:c>
      <x:c r="L22" s="6" t="str">
        <x:v>宝丰县启赫新能源有限公司</x:v>
      </x:c>
      <x:c r="M22" s="6" t="str">
        <x:v>中金泰富工程管理有限公司</x:v>
      </x:c>
      <x:c r="N22" s="6" t="str">
        <x:v>比亚迪汽车工业有限公司</x:v>
      </x:c>
      <x:c r="O22" s="6" t="str">
        <x:v>河南省平顶山市宝丰县</x:v>
      </x:c>
      <x:c r="P22" s="6" t="str">
        <x:v>*********.**元</x:v>
      </x:c>
      <x:c r="Q22" s="17"/>
      <x:c r="R22" s="6" t="str"/>
      <x:c r="S22" s="6" t="str">
        <x:v>未单独声明</x:v>
      </x:c>
      <x:c r="T22" s="6" t="str">
        <x:v>候选成交价（遮蔽，税口径未披露）</x:v>
      </x:c>
      <x:c r="U22" s="6" t="str">
        <x:v>王冰；郭女士、张先生、刘先生</x:v>
      </x:c>
      <x:c r="V22" s="6" t="str"/>
      <x:c r="W22" s="6" t="str"/>
      <x:c r="X22" s="6" t="str">
        <x:v>委托人联系人；代理机构联系人</x:v>
      </x:c>
      <x:c r="Y22" s="6" t="str">
        <x:v>B005</x:v>
      </x:c>
      <x:c r="Z22" s="6" t="str">
        <x:v>已核验主体角色和公告正文</x:v>
      </x:c>
      <x:c r="AA22" s="6" t="str">
        <x:v>仅第三候选，不计入比亚迪中标业绩或中标总额。原文采购范围含储能电池舱、储能变流器升压一体机等。原始公示媒介中国招标投标公共服务平台/河南招标采购综合网，可供其他代理追原源。电话邮箱均遮蔽。</x:v>
      </x:c>
    </x:row>
  </x:sheetData>
  <x:pageMargins left="0.7" right="0.7" top="0.75" bottom="0.75" header="0.3" footer="0.3"/>
  <x:tableParts count="1">
    <x:tablePart xmlns:r="http://schemas.openxmlformats.org/officeDocument/2006/relationships" r:id="Rbf369620cd1b4a58"/>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24" hidden="0" customWidth="1"/>
    <x:col min="3" max="3" width="38" hidden="0" customWidth="1"/>
    <x:col min="4" max="4" width="25" hidden="0" customWidth="1"/>
    <x:col min="5" max="5" width="67" hidden="0" customWidth="1"/>
    <x:col min="6" max="6" width="68" hidden="0" customWidth="1"/>
    <x:col min="7" max="7" width="24" hidden="0" customWidth="1"/>
    <x:col min="8" max="8" width="21" hidden="0" customWidth="1"/>
    <x:col min="9" max="9" width="18" hidden="0" customWidth="1"/>
    <x:col min="10" max="10" width="38" hidden="0" customWidth="1"/>
    <x:col min="11" max="11" width="90" hidden="0" customWidth="1"/>
  </x:cols>
  <x:sheetData>
    <x:row r="2" ht="26" customHeight="1">
      <x:c r="A2" s="2" t="str">
        <x:v>比亚迪品牌关联、合作方与待核资料</x:v>
      </x:c>
      <x:c r="B2" s="2"/>
      <x:c r="C2" s="2"/>
      <x:c r="D2" s="2"/>
      <x:c r="E2" s="2"/>
      <x:c r="F2" s="2"/>
      <x:c r="G2" s="2"/>
      <x:c r="H2" s="2"/>
      <x:c r="I2" s="2"/>
      <x:c r="J2" s="2"/>
      <x:c r="K2" s="2"/>
    </x:row>
    <x:row r="3" ht="24" customHeight="1">
      <x:c r="A3" s="3" t="str">
        <x:v>不计为比亚迪集团直接交易或已确认企业数据；原文仍保留便于复核。</x:v>
      </x:c>
      <x:c r="B3" s="3"/>
      <x:c r="C3" s="3"/>
      <x:c r="D3" s="3"/>
      <x:c r="E3" s="3"/>
      <x:c r="F3" s="3"/>
      <x:c r="G3" s="3"/>
      <x:c r="H3" s="3"/>
      <x:c r="I3" s="3"/>
      <x:c r="J3" s="3"/>
      <x:c r="K3" s="3"/>
    </x:row>
    <x:row r="5" ht="34" customHeight="1">
      <x:c r="A5" s="10" t="str">
        <x:v>记录ID</x:v>
      </x:c>
      <x:c r="B5" s="11" t="str">
        <x:v>数据类型</x:v>
      </x:c>
      <x:c r="C5" s="11" t="str">
        <x:v>主体或涉及名称</x:v>
      </x:c>
      <x:c r="D5" s="11" t="str">
        <x:v>角色或类别</x:v>
      </x:c>
      <x:c r="E5" s="11" t="str">
        <x:v>项目或字段</x:v>
      </x:c>
      <x:c r="F5" s="11" t="str">
        <x:v>数值或摘要</x:v>
      </x:c>
      <x:c r="G5" s="11" t="str">
        <x:v>原单位</x:v>
      </x:c>
      <x:c r="H5" s="11" t="str">
        <x:v>公告日或资料时点</x:v>
      </x:c>
      <x:c r="I5" s="11" t="str">
        <x:v>来源编号</x:v>
      </x:c>
      <x:c r="J5" s="11" t="str">
        <x:v>状态</x:v>
      </x:c>
      <x:c r="K5" s="12" t="str">
        <x:v>关联与限制</x:v>
      </x:c>
    </x:row>
    <x:row r="6" ht="40" customHeight="1">
      <x:c r="A6" s="6" t="str">
        <x:v>R0010</x:v>
      </x:c>
      <x:c r="B6" s="6" t="str">
        <x:v>公告线索</x:v>
      </x:c>
      <x:c r="C6" s="6" t="str">
        <x:v>宜昌比亚迪电池有限公司</x:v>
      </x:c>
      <x:c r="D6" s="6" t="str">
        <x:v>间接供应链</x:v>
      </x:c>
      <x:c r="E6" s="6" t="str">
        <x:v>宜昌姚家港化工园（宝林片区）基础设施及综合管廊建设项目宜昌比亚迪电池有限公司10KV线路工程（主供）甲供材采购成交公告</x:v>
      </x:c>
      <x:c r="F6" s="6" t="str">
        <x:v>预算178.65万元；成交总价****850.00元（大写：壹佰柒拾肆万伍仟捌佰伍拾元整）；单价1030.00元/米</x:v>
      </x:c>
      <x:c r="G6" s="6" t="str"/>
      <x:c r="H6" s="13" t="d">
        <x:v>2026-09-22T00:00:00.000Z</x:v>
      </x:c>
      <x:c r="I6" s="6" t="str">
        <x:v>Q003</x:v>
      </x:c>
      <x:c r="J6" s="6" t="str">
        <x:v>关联或待核；不计比亚迪直接交易</x:v>
      </x:c>
      <x:c r="K6" s="6" t="str">
        <x:v>公开大写金额可读1745850，摘要一致；人民币币种未独立明示，amount_cny留空。比亚迪未证实为采购主体。</x:v>
      </x:c>
    </x:row>
    <x:row r="7" ht="40" customHeight="1">
      <x:c r="A7" s="6" t="str">
        <x:v>R0018</x:v>
      </x:c>
      <x:c r="B7" s="6" t="str">
        <x:v>公告线索</x:v>
      </x:c>
      <x:c r="C7" s="6" t="str">
        <x:v>比亚迪公司（公告简称，完整法人待核）</x:v>
      </x:c>
      <x:c r="D7" s="6" t="str">
        <x:v>待核</x:v>
      </x:c>
      <x:c r="E7" s="6" t="str">
        <x:v>比亚迪公司空压机采购项目（二次）-（标包一）招标公告</x:v>
      </x:c>
      <x:c r="F7" s="6" t="str">
        <x:v>项目不含税预算金额100万元</x:v>
      </x:c>
      <x:c r="G7" s="6" t="str"/>
      <x:c r="H7" s="13" t="d">
        <x:v>2026-09-21T00:00:00.000Z</x:v>
      </x:c>
      <x:c r="I7" s="6" t="str">
        <x:v>Q011</x:v>
      </x:c>
      <x:c r="J7" s="6" t="str">
        <x:v>关联或待核；不计比亚迪直接交易</x:v>
      </x:c>
      <x:c r="K7" s="6" t="str">
        <x:v>招标人为登录隐藏；交货地点湖北宜昌，招标人地址惠州；未独立明示人民币，不换算；与初次招标是同一项目不同公告。</x:v>
      </x:c>
    </x:row>
    <x:row r="8" ht="34" customHeight="1">
      <x:c r="A8" s="6" t="str">
        <x:v>R0008</x:v>
      </x:c>
      <x:c r="B8" s="6" t="str">
        <x:v>公告线索</x:v>
      </x:c>
      <x:c r="C8" s="6" t="str">
        <x:v>成都比亚迪晶圆厂（项目名，法人未披露）</x:v>
      </x:c>
      <x:c r="D8" s="6" t="str">
        <x:v>间接供应链</x:v>
      </x:c>
      <x:c r="E8" s="6" t="str">
        <x:v>26196,成都比亚迪晶圆厂扩容机电包,临建平台协议采购,成交公告</x:v>
      </x:c>
      <x:c r="F8" s="6" t="str">
        <x:v>成交价￥168334.57 (元)</x:v>
      </x:c>
      <x:c r="G8" s="6" t="str"/>
      <x:c r="H8" s="13" t="d">
        <x:v>2026-09-20T00:00:00.000Z</x:v>
      </x:c>
      <x:c r="I8" s="6" t="str">
        <x:v>Q001</x:v>
      </x:c>
      <x:c r="J8" s="6" t="str">
        <x:v>关联或待核；不计比亚迪直接交易</x:v>
      </x:c>
      <x:c r="K8" s="6" t="str">
        <x:v>未披露比亚迪为采购人或中标人；不计为集团直接采购额。仅￥/元未独立明示人民币，未换算。</x:v>
      </x:c>
    </x:row>
    <x:row r="9" ht="34" customHeight="1">
      <x:c r="A9" s="6" t="str">
        <x:v>R0033</x:v>
      </x:c>
      <x:c r="B9" s="6" t="str">
        <x:v>公告线索</x:v>
      </x:c>
      <x:c r="C9" s="6" t="str">
        <x:v>比亚迪领汇E7品牌</x:v>
      </x:c>
      <x:c r="D9" s="6" t="str">
        <x:v>品牌涉及</x:v>
      </x:c>
      <x:c r="E9" s="6" t="str">
        <x:v>采购5台比亚迪领汇E7网约车预成交公示</x:v>
      </x:c>
      <x:c r="F9" s="6" t="str">
        <x:v>人民币（元）519000.00</x:v>
      </x:c>
      <x:c r="G9" s="6" t="str"/>
      <x:c r="H9" s="13" t="d">
        <x:v>2026-09-19T00:00:00.000Z</x:v>
      </x:c>
      <x:c r="I9" s="6" t="str">
        <x:v>Q027</x:v>
      </x:c>
      <x:c r="J9" s="6" t="str">
        <x:v>关联或待核；不计比亚迪直接交易</x:v>
      </x:c>
      <x:c r="K9" s="6" t="str">
        <x:v>经销商预成交不计集团中标；预成交非最终成交。</x:v>
      </x:c>
    </x:row>
    <x:row r="10" ht="34" customHeight="1">
      <x:c r="A10" s="6" t="str">
        <x:v>R0028</x:v>
      </x:c>
      <x:c r="B10" s="6" t="str">
        <x:v>公告线索</x:v>
      </x:c>
      <x:c r="C10" s="6" t="str">
        <x:v>比亚迪SC6EBU（铸件相关产品名）</x:v>
      </x:c>
      <x:c r="D10" s="6" t="str">
        <x:v>间接供应链</x:v>
      </x:c>
      <x:c r="E10" s="6" t="str">
        <x:v>中信戴卡股份有限公司铸件刀具-byd采购结果公告</x:v>
      </x:c>
      <x:c r="F10" s="6" t="str">
        <x:v>第三方采购刀具的物料描述含比亚迪SC6EBU后转</x:v>
      </x:c>
      <x:c r="G10" s="6" t="str"/>
      <x:c r="H10" s="13" t="d">
        <x:v>2026-09-18T00:00:00.000Z</x:v>
      </x:c>
      <x:c r="I10" s="6" t="str">
        <x:v>Q021</x:v>
      </x:c>
      <x:c r="J10" s="6" t="str">
        <x:v>关联或待核；不计比亚迪直接交易</x:v>
      </x:c>
      <x:c r="K10" s="6" t="str">
        <x:v>并非比亚迪采购或比亚迪中标，保留间接供应链材料线索。</x:v>
      </x:c>
    </x:row>
    <x:row r="11" ht="34" customHeight="1">
      <x:c r="A11" s="6" t="str">
        <x:v>R0020</x:v>
      </x:c>
      <x:c r="B11" s="6" t="str">
        <x:v>公告线索</x:v>
      </x:c>
      <x:c r="C11" s="6" t="str">
        <x:v>BYD（汽车滚装项目名，法人未披露）</x:v>
      </x:c>
      <x:c r="D11" s="6" t="str">
        <x:v>间接供应链</x:v>
      </x:c>
      <x:c r="E11" s="6" t="str">
        <x:v>【询价公告】BYD汽车滚装作业外包服务项目（第二次）</x:v>
      </x:c>
      <x:c r="F11" s="6" t="str">
        <x:v>项目预算：76.38万元；最高单价限价7元/m3</x:v>
      </x:c>
      <x:c r="G11" s="6" t="str"/>
      <x:c r="H11" s="13" t="d">
        <x:v>2026-09-01T00:00:00.000Z</x:v>
      </x:c>
      <x:c r="I11" s="6" t="str">
        <x:v>Q013</x:v>
      </x:c>
      <x:c r="J11" s="6" t="str">
        <x:v>关联或待核；不计比亚迪直接交易</x:v>
      </x:c>
      <x:c r="K11" s="6" t="str">
        <x:v>BYD只是滚装服务对象，不证明集团直接采购；币种未独立明示。</x:v>
      </x:c>
    </x:row>
    <x:row r="12" ht="34" customHeight="1">
      <x:c r="A12" s="6" t="str">
        <x:v>R0031</x:v>
      </x:c>
      <x:c r="B12" s="6" t="str">
        <x:v>公告线索</x:v>
      </x:c>
      <x:c r="C12" s="6" t="str">
        <x:v>比亚迪公司（公告简称，完整法人待核）</x:v>
      </x:c>
      <x:c r="D12" s="6" t="str">
        <x:v>待核</x:v>
      </x:c>
      <x:c r="E12" s="6" t="str">
        <x:v>比亚迪公司场发射扫描电子显微镜采购项目（二次）招标公告</x:v>
      </x:c>
      <x:c r="F12" s="6" t="str">
        <x:v>项目不含税预算金额390万元</x:v>
      </x:c>
      <x:c r="G12" s="6" t="str"/>
      <x:c r="H12" s="13" t="d">
        <x:v>2026-09-01T00:00:00.000Z</x:v>
      </x:c>
      <x:c r="I12" s="6" t="str">
        <x:v>Q025</x:v>
      </x:c>
      <x:c r="J12" s="6" t="str">
        <x:v>关联或待核；不计比亚迪直接交易</x:v>
      </x:c>
      <x:c r="K12" s="6" t="str">
        <x:v>项目预算不等于中标；法人及人民币币种未独立明示。</x:v>
      </x:c>
    </x:row>
    <x:row r="13" ht="40" customHeight="1">
      <x:c r="A13" s="6" t="str">
        <x:v>R0044</x:v>
      </x:c>
      <x:c r="B13" s="6" t="str">
        <x:v>公告线索</x:v>
      </x:c>
      <x:c r="C13" s="6" t="str">
        <x:v>比亚迪（品牌）</x:v>
      </x:c>
      <x:c r="D13" s="6" t="str">
        <x:v>品牌涉及</x:v>
      </x:c>
      <x:c r="E13" s="6" t="str">
        <x:v>关于多用途乘用车（MPV）的协议供货合同公告</x:v>
      </x:c>
      <x:c r="F13" s="6" t="str">
        <x:v>合同货物为比亚迪M9/BYDM9；成交供应商江西（略），未公开全名，不能认定为比亚迪集团成员。</x:v>
      </x:c>
      <x:c r="G13" s="6" t="str"/>
      <x:c r="H13" s="13" t="d">
        <x:v>2026-09-01T00:00:00.000Z</x:v>
      </x:c>
      <x:c r="I13" s="6" t="str">
        <x:v>J008</x:v>
      </x:c>
      <x:c r="J13" s="6" t="str">
        <x:v>关联或待核；不计比亚迪直接交易</x:v>
      </x:c>
      <x:c r="K13" s="6" t="str">
        <x:v>名称、电话、金额、具体型号/数量均部分遮挡，联系电话保留空值，不恢复。</x:v>
      </x:c>
    </x:row>
    <x:row r="14" ht="34" customHeight="1">
      <x:c r="A14" s="6" t="str">
        <x:v>R0019</x:v>
      </x:c>
      <x:c r="B14" s="6" t="str">
        <x:v>公告线索</x:v>
      </x:c>
      <x:c r="C14" s="6" t="str">
        <x:v>比亚迪公司（公告简称，完整法人待核）</x:v>
      </x:c>
      <x:c r="D14" s="6" t="str">
        <x:v>待核</x:v>
      </x:c>
      <x:c r="E14" s="6" t="str">
        <x:v>比亚迪公司空压机采购项目（标包一）招标公告</x:v>
      </x:c>
      <x:c r="F14" s="6" t="str">
        <x:v>项目不含税预算金额100万元</x:v>
      </x:c>
      <x:c r="G14" s="6" t="str"/>
      <x:c r="H14" s="13" t="d">
        <x:v>2026-08-31T00:00:00.000Z</x:v>
      </x:c>
      <x:c r="I14" s="6" t="str">
        <x:v>Q012</x:v>
      </x:c>
      <x:c r="J14" s="6" t="str">
        <x:v>关联或待核；不计比亚迪直接交易</x:v>
      </x:c>
      <x:c r="K14" s="6" t="str">
        <x:v>与Q011同项目初次公告，不重复计算采购金额；招标法人待核；人民币未独立明示。</x:v>
      </x:c>
    </x:row>
    <x:row r="15" ht="40" customHeight="1">
      <x:c r="A15" s="6" t="str">
        <x:v>R0041</x:v>
      </x:c>
      <x:c r="B15" s="6" t="str">
        <x:v>公告线索</x:v>
      </x:c>
      <x:c r="C15" s="6" t="str">
        <x:v>比亚迪公司（具体法人待核）</x:v>
      </x:c>
      <x:c r="D15" s="6" t="str">
        <x:v>待核</x:v>
      </x:c>
      <x:c r="E15" s="6" t="str">
        <x:v>比亚迪公司空压机采购项目（标包二）招标公告</x:v>
      </x:c>
      <x:c r="F15" s="6" t="str">
        <x:v>项目不含税预算金额（略）</x:v>
      </x:c>
      <x:c r="G15" s="6" t="str"/>
      <x:c r="H15" s="13" t="d">
        <x:v>2026-08-31T00:00:00.000Z</x:v>
      </x:c>
      <x:c r="I15" s="6" t="str">
        <x:v>J002</x:v>
      </x:c>
      <x:c r="J15" s="6" t="str">
        <x:v>关联或待核；不计比亚迪直接交易</x:v>
      </x:c>
      <x:c r="K15" s="6" t="str">
        <x:v>联系人名单前后存在遮挡，仅保留清晰人名；电话邮箱代理全名及具体法人均未公开。采购1套微油变频螺杆空压机及后处理设备，压力1MPa。</x:v>
      </x:c>
    </x:row>
    <x:row r="16" ht="34" customHeight="1">
      <x:c r="A16" s="6" t="str">
        <x:v>R0034</x:v>
      </x:c>
      <x:c r="B16" s="6" t="str">
        <x:v>公告线索</x:v>
      </x:c>
      <x:c r="C16" s="6" t="str">
        <x:v>BYD叉车电池总成品牌</x:v>
      </x:c>
      <x:c r="D16" s="6" t="str">
        <x:v>品牌涉及</x:v>
      </x:c>
      <x:c r="E16" s="6" t="str">
        <x:v>叉车电池总成BYD中标结果</x:v>
      </x:c>
      <x:c r="F16" s="6" t="str">
        <x:v>BYD是电池总成品牌，中选为佛朗斯深圳分公司</x:v>
      </x:c>
      <x:c r="G16" s="6" t="str"/>
      <x:c r="H16" s="13" t="d">
        <x:v>2026-08-30T00:00:00.000Z</x:v>
      </x:c>
      <x:c r="I16" s="6" t="str">
        <x:v>Q028</x:v>
      </x:c>
      <x:c r="J16" s="6" t="str">
        <x:v>关联或待核；不计比亚迪直接交易</x:v>
      </x:c>
      <x:c r="K16" s="6" t="str">
        <x:v>遵循是否中选列而非排名1，不能把东莞TCM认作中标；不是集团中标。</x:v>
      </x:c>
    </x:row>
    <x:row r="17" ht="34" customHeight="1">
      <x:c r="A17" s="6" t="str">
        <x:v>R0009</x:v>
      </x:c>
      <x:c r="B17" s="6" t="str">
        <x:v>公告线索</x:v>
      </x:c>
      <x:c r="C17" s="6" t="str">
        <x:v>比亚迪（项目名，法人未披露）</x:v>
      </x:c>
      <x:c r="D17" s="6" t="str">
        <x:v>间接供应链</x:v>
      </x:c>
      <x:c r="E17" s="6" t="str">
        <x:v>新能源比亚迪项目用加工箱体询价采购中标公告</x:v>
      </x:c>
      <x:c r="F17" s="6" t="str">
        <x:v>第三方松正采购系统上的新能源比亚迪项目箱体采购</x:v>
      </x:c>
      <x:c r="G17" s="6" t="str"/>
      <x:c r="H17" s="13" t="d">
        <x:v>2026-08-21T00:00:00.000Z</x:v>
      </x:c>
      <x:c r="I17" s="6" t="str">
        <x:v>Q002</x:v>
      </x:c>
      <x:c r="J17" s="6" t="str">
        <x:v>关联或待核；不计比亚迪直接交易</x:v>
      </x:c>
      <x:c r="K17" s="6" t="str">
        <x:v>比亚迪为项目涉及方，采购人及供应商遮挡，不能作为集团中标/采购。</x:v>
      </x:c>
    </x:row>
    <x:row r="18" ht="34" customHeight="1">
      <x:c r="A18" s="6" t="str">
        <x:v>R0015</x:v>
      </x:c>
      <x:c r="B18" s="6" t="str">
        <x:v>公告线索</x:v>
      </x:c>
      <x:c r="C18" s="6" t="str">
        <x:v>汕尾弗迪电池有限公司</x:v>
      </x:c>
      <x:c r="D18" s="6" t="str">
        <x:v>间接供应链</x:v>
      </x:c>
      <x:c r="E18" s="6" t="str">
        <x:v>汕尾弗迪电池有限公司中压业扩配套电缆管道工程结果公告</x:v>
      </x:c>
      <x:c r="F18" s="6" t="str">
        <x:v>2,955,708.66元</x:v>
      </x:c>
      <x:c r="G18" s="6" t="str"/>
      <x:c r="H18" s="13" t="d">
        <x:v>2026-08-20T00:00:00.000Z</x:v>
      </x:c>
      <x:c r="I18" s="6" t="str">
        <x:v>Q008</x:v>
      </x:c>
      <x:c r="J18" s="6" t="str">
        <x:v>关联或待核；不计比亚迪直接交易</x:v>
      </x:c>
      <x:c r="K18" s="6" t="str">
        <x:v>不据标题把弗迪当政府采购人；金额只有元，未独立明示人民币；供应商全称仅来自公开附件名。</x:v>
      </x:c>
    </x:row>
    <x:row r="19" ht="56" customHeight="1">
      <x:c r="A19" s="6" t="str">
        <x:v>R0017</x:v>
      </x:c>
      <x:c r="B19" s="6" t="str">
        <x:v>公告线索</x:v>
      </x:c>
      <x:c r="C19" s="6" t="str">
        <x:v>比亚迪（闪充站项目名，法人未披露）</x:v>
      </x:c>
      <x:c r="D19" s="6" t="str">
        <x:v>间接供应链</x:v>
      </x:c>
      <x:c r="E19" s="6" t="str">
        <x:v>比亚迪1.5万个站中站闪充站建设西北站中站建设项目劳务采购中标候选人公示</x:v>
      </x:c>
      <x:c r="F19" s="6" t="str">
        <x:v>001包第一候选2,227,320.00 CNY-元；002包第一候选3,959,251.20 CNY-元；003包3,958,740.00（原排版缺列名）</x:v>
      </x:c>
      <x:c r="G19" s="6" t="str"/>
      <x:c r="H19" s="13" t="d">
        <x:v>2026-08-19T00:00:00.000Z</x:v>
      </x:c>
      <x:c r="I19" s="6" t="str">
        <x:v>Q010</x:v>
      </x:c>
      <x:c r="J19" s="6" t="str">
        <x:v>关联或待核；不计比亚迪直接交易</x:v>
      </x:c>
      <x:c r="K19" s="6" t="str">
        <x:v>候选单位遮挡，003包版式不完整，金额不进入结构化数字。</x:v>
      </x:c>
    </x:row>
    <x:row r="20" ht="34" customHeight="1">
      <x:c r="A20" s="6" t="str">
        <x:v>R0012</x:v>
      </x:c>
      <x:c r="B20" s="6" t="str">
        <x:v>公告线索</x:v>
      </x:c>
      <x:c r="C20" s="6" t="str">
        <x:v>比亚迪公司（公告简称，完整法人待核）</x:v>
      </x:c>
      <x:c r="D20" s="6" t="str">
        <x:v>待核</x:v>
      </x:c>
      <x:c r="E20" s="6" t="str">
        <x:v>比亚迪公司分级机采购项目（二次）中标候选人公示</x:v>
      </x:c>
      <x:c r="F20" s="6" t="str">
        <x:v>不含税投标总价：319000.00元，含税投标总价：360470.00元</x:v>
      </x:c>
      <x:c r="G20" s="6" t="str"/>
      <x:c r="H20" s="13" t="d">
        <x:v>2026-08-18T00:00:00.000Z</x:v>
      </x:c>
      <x:c r="I20" s="6" t="str">
        <x:v>Q005</x:v>
      </x:c>
      <x:c r="J20" s="6" t="str">
        <x:v>关联或待核；不计比亚迪直接交易</x:v>
      </x:c>
      <x:c r="K20" s="6" t="str">
        <x:v>报价可读但未独立明示人民币，amount_cny留空；候选非成交；完整法人待核。</x:v>
      </x:c>
    </x:row>
    <x:row r="21" ht="34" customHeight="1">
      <x:c r="A21" s="6" t="str">
        <x:v>R0013</x:v>
      </x:c>
      <x:c r="B21" s="6" t="str">
        <x:v>公告线索</x:v>
      </x:c>
      <x:c r="C21" s="6" t="str">
        <x:v>比亚迪公司（公告简称，完整法人待核）</x:v>
      </x:c>
      <x:c r="D21" s="6" t="str">
        <x:v>待核</x:v>
      </x:c>
      <x:c r="E21" s="6" t="str">
        <x:v>比亚迪公司除铁器采购项目中标候选人公示</x:v>
      </x:c>
      <x:c r="F21" s="6" t="str">
        <x:v>不含税投标总价：126371.68元，含税投标总价：142800.00元</x:v>
      </x:c>
      <x:c r="G21" s="6" t="str"/>
      <x:c r="H21" s="13" t="d">
        <x:v>2026-08-18T00:00:00.000Z</x:v>
      </x:c>
      <x:c r="I21" s="6" t="str">
        <x:v>Q006</x:v>
      </x:c>
      <x:c r="J21" s="6" t="str">
        <x:v>关联或待核；不计比亚迪直接交易</x:v>
      </x:c>
      <x:c r="K21" s="6" t="str">
        <x:v>报价未独立明示人民币，amount_cny留空；完整法人待核；候选非成交。</x:v>
      </x:c>
    </x:row>
    <x:row r="22" ht="40" customHeight="1">
      <x:c r="A22" s="6" t="str">
        <x:v>R0014</x:v>
      </x:c>
      <x:c r="B22" s="6" t="str">
        <x:v>公告线索</x:v>
      </x:c>
      <x:c r="C22" s="6" t="str">
        <x:v>比亚迪（闪充站项目名，法人未披露）</x:v>
      </x:c>
      <x:c r="D22" s="6" t="str">
        <x:v>间接供应链</x:v>
      </x:c>
      <x:c r="E22" s="6" t="str">
        <x:v>比亚迪1.5万个站中站闪充站建设东北站中站建设项目劳务采购中标候选人公示</x:v>
      </x:c>
      <x:c r="F22" s="6" t="str">
        <x:v>001合同包第一候选2,558,141.46 CNY-元；002合同包第一候选3,421,551.61 CNY-元</x:v>
      </x:c>
      <x:c r="G22" s="6" t="str"/>
      <x:c r="H22" s="13" t="d">
        <x:v>2026-08-18T00:00:00.000Z</x:v>
      </x:c>
      <x:c r="I22" s="6" t="str">
        <x:v>Q007</x:v>
      </x:c>
      <x:c r="J22" s="6" t="str">
        <x:v>关联或待核；不计比亚迪直接交易</x:v>
      </x:c>
      <x:c r="K22" s="6" t="str">
        <x:v>deadline取页面摘要日期，未披露时分；多包件勿相加为集团中标额；候选名称隐藏。</x:v>
      </x:c>
    </x:row>
    <x:row r="23" ht="40" customHeight="1">
      <x:c r="A23" s="6" t="str">
        <x:v>R0030</x:v>
      </x:c>
      <x:c r="B23" s="6" t="str">
        <x:v>公告线索</x:v>
      </x:c>
      <x:c r="C23" s="6" t="str">
        <x:v>比亚迪新能源公交车品牌</x:v>
      </x:c>
      <x:c r="D23" s="6" t="str">
        <x:v>品牌涉及</x:v>
      </x:c>
      <x:c r="E23" s="6" t="str">
        <x:v>江苏金湖公共交通有限公司关于31台比亚迪新能源公交车动力电池更新采购项目竞争性磋商成交公告</x:v>
      </x:c>
      <x:c r="F23" s="6" t="str">
        <x:v>人民币叁佰捌拾贰万元整（****000元）</x:v>
      </x:c>
      <x:c r="G23" s="6" t="str"/>
      <x:c r="H23" s="13" t="d">
        <x:v>2026-08-18T00:00:00.000Z</x:v>
      </x:c>
      <x:c r="I23" s="6" t="str">
        <x:v>Q024</x:v>
      </x:c>
      <x:c r="J23" s="6" t="str">
        <x:v>关联或待核；不计比亚迪直接交易</x:v>
      </x:c>
      <x:c r="K23" s="6" t="str">
        <x:v>不可根据供应商地址推测中标法人，更不可据BYD品牌归集团中标。</x:v>
      </x:c>
    </x:row>
    <x:row r="24" ht="40" customHeight="1">
      <x:c r="A24" s="6" t="str">
        <x:v>R0021</x:v>
      </x:c>
      <x:c r="B24" s="6" t="str">
        <x:v>公告线索</x:v>
      </x:c>
      <x:c r="C24" s="6" t="str">
        <x:v>比亚迪（闪充站项目名，法人未披露）</x:v>
      </x:c>
      <x:c r="D24" s="6" t="str">
        <x:v>间接供应链</x:v>
      </x:c>
      <x:c r="E24" s="6" t="str">
        <x:v>比亚迪1.5万个站中站闪充站建设华东+华北站中站建设项目06包镀锌钢管、扁铁、桥架物资采购</x:v>
      </x:c>
      <x:c r="F24" s="6" t="str">
        <x:v>中交招采网闪充站材料合同包</x:v>
      </x:c>
      <x:c r="G24" s="6" t="str"/>
      <x:c r="H24" s="13" t="d">
        <x:v>2026-08-07T00:00:00.000Z</x:v>
      </x:c>
      <x:c r="I24" s="6" t="str">
        <x:v>Q014</x:v>
      </x:c>
      <x:c r="J24" s="6" t="str">
        <x:v>关联或待核；不计比亚迪直接交易</x:v>
      </x:c>
      <x:c r="K24" s="6" t="str">
        <x:v>标书费500元/保证金40000元并非项目预算，不计交易金额；部分截取未涵盖末尾联系方式。</x:v>
      </x:c>
    </x:row>
    <x:row r="25" ht="40" customHeight="1">
      <x:c r="A25" s="6" t="str">
        <x:v>R0022</x:v>
      </x:c>
      <x:c r="B25" s="6" t="str">
        <x:v>公告线索</x:v>
      </x:c>
      <x:c r="C25" s="6" t="str">
        <x:v>比亚迪（闪充站项目名，法人未披露）</x:v>
      </x:c>
      <x:c r="D25" s="6" t="str">
        <x:v>间接供应链</x:v>
      </x:c>
      <x:c r="E25" s="6" t="str">
        <x:v>比亚迪1.5万个站中站闪充站建设西北站中站建设项目04包镀锌钢管、扁铁、桥架物资采购</x:v>
      </x:c>
      <x:c r="F25" s="6" t="str">
        <x:v>中交招采网上西北片区材料采购，采购人登录可见</x:v>
      </x:c>
      <x:c r="G25" s="6" t="str"/>
      <x:c r="H25" s="13" t="d">
        <x:v>2026-08-07T00:00:00.000Z</x:v>
      </x:c>
      <x:c r="I25" s="6" t="str">
        <x:v>Q015</x:v>
      </x:c>
      <x:c r="J25" s="6" t="str">
        <x:v>关联或待核；不计比亚迪直接交易</x:v>
      </x:c>
      <x:c r="K25" s="6" t="str">
        <x:v>平台地区广东深圳不代表工程地；工程地区取正文；截止遮挡。</x:v>
      </x:c>
    </x:row>
    <x:row r="26" ht="40" customHeight="1">
      <x:c r="A26" s="6" t="str">
        <x:v>R0023</x:v>
      </x:c>
      <x:c r="B26" s="6" t="str">
        <x:v>公告线索</x:v>
      </x:c>
      <x:c r="C26" s="6" t="str">
        <x:v>比亚迪品牌；弗迪动力电池品牌</x:v>
      </x:c>
      <x:c r="D26" s="6" t="str">
        <x:v>品牌涉及</x:v>
      </x:c>
      <x:c r="E26" s="6" t="str">
        <x:v>15辆比亚迪BYD6810LZEV4型纯电公交车动力电池更换及电机、电控延保项目询比采购公告</x:v>
      </x:c>
      <x:c r="F26" s="6" t="str">
        <x:v>最高限价214.4688万元</x:v>
      </x:c>
      <x:c r="G26" s="6" t="str"/>
      <x:c r="H26" s="13" t="d">
        <x:v>2026-08-06T00:00:00.000Z</x:v>
      </x:c>
      <x:c r="I26" s="6" t="str">
        <x:v>Q016</x:v>
      </x:c>
      <x:c r="J26" s="6" t="str">
        <x:v>关联或待核；不计比亚迪直接交易</x:v>
      </x:c>
      <x:c r="K26" s="6" t="str">
        <x:v>不得认定比亚迪/弗迪中标；金额未独立明示人民币。</x:v>
      </x:c>
    </x:row>
    <x:row r="27" ht="34" customHeight="1">
      <x:c r="A27" s="6" t="str">
        <x:v>R0073</x:v>
      </x:c>
      <x:c r="B27" s="6" t="str">
        <x:v>公告线索</x:v>
      </x:c>
      <x:c r="C27" s="6" t="str">
        <x:v>比亚迪品牌</x:v>
      </x:c>
      <x:c r="D27" s="6" t="str">
        <x:v>品牌涉及</x:v>
      </x:c>
      <x:c r="E27" s="6" t="str">
        <x:v>世界文化遗产丽江古城保护管理局业务用车询价采购项目成交公告</x:v>
      </x:c>
      <x:c r="F27" s="6" t="str">
        <x:v>总报价：238800（元）</x:v>
      </x:c>
      <x:c r="G27" s="6" t="str"/>
      <x:c r="H27" s="13" t="d">
        <x:v>2026-08-06T00:00:00.000Z</x:v>
      </x:c>
      <x:c r="I27" s="6" t="str">
        <x:v>G002</x:v>
      </x:c>
      <x:c r="J27" s="6" t="str">
        <x:v>关联或待核；不计比亚迪直接交易</x:v>
      </x:c>
      <x:c r="K27" s="6" t="str">
        <x:v>已核实官方正文；成交供应商不是比亚迪集团主体，无证据证明经销商为集团子公司。采购1辆。</x:v>
      </x:c>
    </x:row>
    <x:row r="28" ht="34" customHeight="1">
      <x:c r="A28" s="6" t="str">
        <x:v>R0024</x:v>
      </x:c>
      <x:c r="B28" s="6" t="str">
        <x:v>公告线索</x:v>
      </x:c>
      <x:c r="C28" s="6" t="str">
        <x:v>比亚迪厂区（具体企业未披露）</x:v>
      </x:c>
      <x:c r="D28" s="6" t="str">
        <x:v>间接供应链</x:v>
      </x:c>
      <x:c r="E28" s="6" t="str">
        <x:v>比亚迪厂区周边停车场一期项目工程总承包-公开招标公告</x:v>
      </x:c>
      <x:c r="F28" s="6" t="str">
        <x:v>厂区周边停车场，总承包竞争性磋商；监督部门为秦汉城市发展集团</x:v>
      </x:c>
      <x:c r="G28" s="6" t="str"/>
      <x:c r="H28" s="13" t="d">
        <x:v>2026-07-31T00:00:00.000Z</x:v>
      </x:c>
      <x:c r="I28" s="6" t="str">
        <x:v>Q017</x:v>
      </x:c>
      <x:c r="J28" s="6" t="str">
        <x:v>关联或待核；不计比亚迪直接交易</x:v>
      </x:c>
      <x:c r="K28" s="6" t="str">
        <x:v>正文类型取竞争性磋商，不能据平台标题写公开招标；并非集团直接招采。</x:v>
      </x:c>
    </x:row>
    <x:row r="29" ht="56" customHeight="1">
      <x:c r="A29" s="6" t="str">
        <x:v>R0074</x:v>
      </x:c>
      <x:c r="B29" s="6" t="str">
        <x:v>公告线索</x:v>
      </x:c>
      <x:c r="C29" s="6" t="str">
        <x:v>比亚迪汽车工业有限公司</x:v>
      </x:c>
      <x:c r="D29" s="6" t="str">
        <x:v>候选人（待核）</x:v>
      </x:c>
      <x:c r="E29" s="6" t="str">
        <x:v>长沙公交运营有限公司100台11米级纯电动公交车采购中标候选人公示（待官方核验）</x:v>
      </x:c>
      <x:c r="F29" s="6" t="str">
        <x:v>投标报价69980000元</x:v>
      </x:c>
      <x:c r="G29" s="6" t="str"/>
      <x:c r="H29" s="13" t="d">
        <x:v>2026-07-17T00:00:00.000Z</x:v>
      </x:c>
      <x:c r="I29" s="6" t="str">
        <x:v>G003</x:v>
      </x:c>
      <x:c r="J29" s="6" t="str">
        <x:v>待核：二手标题与候选阶段冲突</x:v>
      </x:c>
      <x:c r="K29" s="6" t="str">
        <x:v>候选待核。二手标题称结果公告但正文实为候选人公示。G004报道称最终中标6998万元,新浪称公告发表于中国招标投标公共服务平台,原始公告未实读,不确认最终成交。电话遮挡,未登录或付费。；本项目对应公开文本仅明示元，未明确人民币；不能引用同一抓取文件中其他项目的人民币表头补币种。</x:v>
      </x:c>
    </x:row>
    <x:row r="30" ht="34" customHeight="1">
      <x:c r="A30" s="6" t="str">
        <x:v>R0027</x:v>
      </x:c>
      <x:c r="B30" s="6" t="str">
        <x:v>公告线索</x:v>
      </x:c>
      <x:c r="C30" s="6" t="str">
        <x:v>比亚迪（运输项目名，法人未披露）</x:v>
      </x:c>
      <x:c r="D30" s="6" t="str">
        <x:v>待核</x:v>
      </x:c>
      <x:c r="E30" s="6" t="str">
        <x:v>2026年陕西比亚迪运输项目招采招标公告</x:v>
      </x:c>
      <x:c r="F30" s="6" t="str">
        <x:v>正文仅披露招标名称与1条线路，采购人及BYD角色缺失</x:v>
      </x:c>
      <x:c r="G30" s="6" t="str"/>
      <x:c r="H30" s="13" t="d">
        <x:v>2026-06-25T00:00:00.000Z</x:v>
      </x:c>
      <x:c r="I30" s="6" t="str">
        <x:v>Q020</x:v>
      </x:c>
      <x:c r="J30" s="6" t="str">
        <x:v>关联或待核；不计比亚迪直接交易</x:v>
      </x:c>
      <x:c r="K30" s="6" t="str">
        <x:v>公开字段很少，联系人/预算/截止均不可读，保留待核。</x:v>
      </x:c>
    </x:row>
    <x:row r="31" ht="40" customHeight="1">
      <x:c r="A31" s="6" t="str">
        <x:v>R0047</x:v>
      </x:c>
      <x:c r="B31" s="6" t="str">
        <x:v>公告线索</x:v>
      </x:c>
      <x:c r="C31" s="6" t="str">
        <x:v>深圳比亚迪汽车实业有限公司</x:v>
      </x:c>
      <x:c r="D31" s="6" t="str">
        <x:v>待核</x:v>
      </x:c>
      <x:c r="E31" s="6" t="str">
        <x:v>深圳比亚迪汽车实业有限公司智能制造能力成熟度评估询比采购成交公示</x:v>
      </x:c>
      <x:c r="F31" s="6" t="str">
        <x:v>仅剑鱼标签聚合页摘要，未取得独立公告正文。</x:v>
      </x:c>
      <x:c r="G31" s="6" t="str"/>
      <x:c r="H31" s="13" t="d">
        <x:v>2026-06-15T00:00:00.000Z</x:v>
      </x:c>
      <x:c r="I31" s="6" t="str">
        <x:v>J007</x:v>
      </x:c>
      <x:c r="J31" s="6" t="str">
        <x:v>待核：登录壳或聚合页摘要</x:v>
      </x:c>
      <x:c r="K31" s="6" t="str">
        <x:v>仅待核线索；采购人、供应商、成交/候选角色、金额、项目联系人尚未经正文核验，不计作实际正文记录。不采纳标签旁金额。</x:v>
      </x:c>
    </x:row>
    <x:row r="32" ht="40" customHeight="1">
      <x:c r="A32" s="6" t="str">
        <x:v>R0049</x:v>
      </x:c>
      <x:c r="B32" s="6" t="str">
        <x:v>公告线索</x:v>
      </x:c>
      <x:c r="C32" s="6" t="str">
        <x:v>比亚迪零部件配套产业（项目涉及，法人待核）</x:v>
      </x:c>
      <x:c r="D32" s="6" t="str">
        <x:v>待核</x:v>
      </x:c>
      <x:c r="E32" s="6" t="str">
        <x:v>阜南县比亚迪汽车零部件配套产业建设（二期）项目一标段机电安装工程施工中标公告</x:v>
      </x:c>
      <x:c r="F32" s="6" t="str">
        <x:v>仅剑鱼标签聚合页摘要，未取得独立公告正文。</x:v>
      </x:c>
      <x:c r="G32" s="6" t="str"/>
      <x:c r="H32" s="13" t="d">
        <x:v>2026-06-15T00:00:00.000Z</x:v>
      </x:c>
      <x:c r="I32" s="6" t="str">
        <x:v>J007</x:v>
      </x:c>
      <x:c r="J32" s="6" t="str">
        <x:v>待核：登录壳或聚合页摘要</x:v>
      </x:c>
      <x:c r="K32" s="6" t="str">
        <x:v>仅待核线索；采购人、供应商、成交/候选角色、金额、项目联系人尚未经正文核验，不计作实际正文记录。不采纳标签旁金额。</x:v>
      </x:c>
    </x:row>
    <x:row r="33" ht="40" customHeight="1">
      <x:c r="A33" s="6" t="str">
        <x:v>R0046</x:v>
      </x:c>
      <x:c r="B33" s="6" t="str">
        <x:v>公告线索</x:v>
      </x:c>
      <x:c r="C33" s="6" t="str">
        <x:v>深汕比亚迪汽车产业园（法人待核）</x:v>
      </x:c>
      <x:c r="D33" s="6" t="str">
        <x:v>待核</x:v>
      </x:c>
      <x:c r="E33" s="6" t="str">
        <x:v>2026-2028年深汕比亚迪汽车产业园计量器具检定服务项目采购公告</x:v>
      </x:c>
      <x:c r="F33" s="6" t="str">
        <x:v>仅剑鱼标签聚合页摘要，未取得独立公告正文。</x:v>
      </x:c>
      <x:c r="G33" s="6" t="str"/>
      <x:c r="H33" s="13" t="d">
        <x:v>2026-06-10T00:00:00.000Z</x:v>
      </x:c>
      <x:c r="I33" s="6" t="str">
        <x:v>J007</x:v>
      </x:c>
      <x:c r="J33" s="6" t="str">
        <x:v>待核：登录壳或聚合页摘要</x:v>
      </x:c>
      <x:c r="K33" s="6" t="str">
        <x:v>仅待核线索；采购人、供应商、成交/候选角色、金额、项目联系人尚未经正文核验，不计作实际正文记录。不采纳标签旁金额。</x:v>
      </x:c>
    </x:row>
    <x:row r="34" ht="40" customHeight="1">
      <x:c r="A34" s="6" t="str">
        <x:v>R0048</x:v>
      </x:c>
      <x:c r="B34" s="6" t="str">
        <x:v>公告线索</x:v>
      </x:c>
      <x:c r="C34" s="6" t="str">
        <x:v>比亚迪（品牌）</x:v>
      </x:c>
      <x:c r="D34" s="6" t="str">
        <x:v>待核</x:v>
      </x:c>
      <x:c r="E34" s="6" t="str">
        <x:v>浙江省海港集团2026年度比亚迪汽车采购项目【第四次】成交结果公告</x:v>
      </x:c>
      <x:c r="F34" s="6" t="str">
        <x:v>仅剑鱼标签聚合页摘要，未取得独立公告正文。</x:v>
      </x:c>
      <x:c r="G34" s="6" t="str"/>
      <x:c r="H34" s="13" t="d">
        <x:v>2026-06-05T00:00:00.000Z</x:v>
      </x:c>
      <x:c r="I34" s="6" t="str">
        <x:v>J007</x:v>
      </x:c>
      <x:c r="J34" s="6" t="str">
        <x:v>待核：登录壳或聚合页摘要</x:v>
      </x:c>
      <x:c r="K34" s="6" t="str">
        <x:v>仅待核线索；采购人、供应商、成交/候选角色、金额、项目联系人尚未经正文核验，不计作实际正文记录。不采纳标签旁金额。</x:v>
      </x:c>
    </x:row>
    <x:row r="35" ht="40" customHeight="1">
      <x:c r="A35" s="6" t="str">
        <x:v>R0050</x:v>
      </x:c>
      <x:c r="B35" s="6" t="str">
        <x:v>公告线索</x:v>
      </x:c>
      <x:c r="C35" s="6" t="str">
        <x:v>比亚迪零部件配套产业（项目涉及，法人待核）</x:v>
      </x:c>
      <x:c r="D35" s="6" t="str">
        <x:v>待核</x:v>
      </x:c>
      <x:c r="E35" s="6" t="str">
        <x:v>阜南县比亚迪汽车零部件配套产业建设（二期）项目一标段外墙保温真石漆工程施工中标公告</x:v>
      </x:c>
      <x:c r="F35" s="6" t="str">
        <x:v>仅剑鱼标签聚合页摘要，未取得独立公告正文。</x:v>
      </x:c>
      <x:c r="G35" s="6" t="str"/>
      <x:c r="H35" s="13" t="d">
        <x:v>2026-06-01T00:00:00.000Z</x:v>
      </x:c>
      <x:c r="I35" s="6" t="str">
        <x:v>J007</x:v>
      </x:c>
      <x:c r="J35" s="6" t="str">
        <x:v>待核：登录壳或聚合页摘要</x:v>
      </x:c>
      <x:c r="K35" s="6" t="str">
        <x:v>仅待核线索；采购人、供应商、成交/候选角色、金额、项目联系人尚未经正文核验，不计作实际正文记录。不采纳标签旁金额。</x:v>
      </x:c>
    </x:row>
    <x:row r="36" ht="40" customHeight="1">
      <x:c r="A36" s="6" t="str">
        <x:v>R0051</x:v>
      </x:c>
      <x:c r="B36" s="6" t="str">
        <x:v>公告线索</x:v>
      </x:c>
      <x:c r="C36" s="6" t="str">
        <x:v>比亚迪零部件配套产业（项目涉及，法人待核）</x:v>
      </x:c>
      <x:c r="D36" s="6" t="str">
        <x:v>待核</x:v>
      </x:c>
      <x:c r="E36" s="6" t="str">
        <x:v>阜南县比亚迪汽车零部件配套产业建设（二期）项目一标段金刚砂耐磨地坪工程施工中标公告</x:v>
      </x:c>
      <x:c r="F36" s="6" t="str">
        <x:v>仅剑鱼标签聚合页摘要，未取得独立公告正文。</x:v>
      </x:c>
      <x:c r="G36" s="6" t="str"/>
      <x:c r="H36" s="13" t="d">
        <x:v>2026-06-01T00:00:00.000Z</x:v>
      </x:c>
      <x:c r="I36" s="6" t="str">
        <x:v>J007</x:v>
      </x:c>
      <x:c r="J36" s="6" t="str">
        <x:v>待核：登录壳或聚合页摘要</x:v>
      </x:c>
      <x:c r="K36" s="6" t="str">
        <x:v>仅待核线索；采购人、供应商、成交/候选角色、金额、项目联系人尚未经正文核验，不计作实际正文记录。不采纳标签旁金额。</x:v>
      </x:c>
    </x:row>
    <x:row r="37" ht="40" customHeight="1">
      <x:c r="A37" s="6" t="str">
        <x:v>R0045</x:v>
      </x:c>
      <x:c r="B37" s="6" t="str">
        <x:v>公告线索</x:v>
      </x:c>
      <x:c r="C37" s="6" t="str">
        <x:v>比亚迪汽车工业有限公司</x:v>
      </x:c>
      <x:c r="D37" s="6" t="str">
        <x:v>待核</x:v>
      </x:c>
      <x:c r="E37" s="6" t="str">
        <x:v>2026年高新公交公司35台纯电公交车采购2标段成交候选人结果公示</x:v>
      </x:c>
      <x:c r="F37" s="6" t="str">
        <x:v>仅剑鱼标签聚合页摘要，未取得独立公告正文。</x:v>
      </x:c>
      <x:c r="G37" s="6" t="str"/>
      <x:c r="H37" s="13" t="d">
        <x:v>2026-05-27T00:00:00.000Z</x:v>
      </x:c>
      <x:c r="I37" s="6" t="str">
        <x:v>J007</x:v>
      </x:c>
      <x:c r="J37" s="6" t="str">
        <x:v>待核：登录壳或聚合页摘要</x:v>
      </x:c>
      <x:c r="K37" s="6" t="str">
        <x:v>仅待核线索；采购人、供应商、成交/候选角色、金额、项目联系人尚未经正文核验，不计作实际正文记录。不采纳标签旁金额。</x:v>
      </x:c>
    </x:row>
    <x:row r="38" ht="40" customHeight="1">
      <x:c r="A38" s="6" t="str">
        <x:v>R0026</x:v>
      </x:c>
      <x:c r="B38" s="6" t="str">
        <x:v>公告线索</x:v>
      </x:c>
      <x:c r="C38" s="6" t="str">
        <x:v>比亚迪（零部件配套产业项目名，法人未披露）</x:v>
      </x:c>
      <x:c r="D38" s="6" t="str">
        <x:v>间接供应链</x:v>
      </x:c>
      <x:c r="E38" s="6" t="str">
        <x:v>[安徽建工交航]阜南县比亚迪汽车零部件配套产业建设（二期）项目一标段机电安装工程施工招标公告</x:v>
      </x:c>
      <x:c r="F38" s="6" t="str">
        <x:v>预估金额1051.88万元（含9%增值税），具体以控制价为准</x:v>
      </x:c>
      <x:c r="G38" s="6" t="str"/>
      <x:c r="H38" s="13" t="d">
        <x:v>2026-04-24T00:00:00.000Z</x:v>
      </x:c>
      <x:c r="I38" s="6" t="str">
        <x:v>Q019</x:v>
      </x:c>
      <x:c r="J38" s="6" t="str">
        <x:v>关联或待核；不计比亚迪直接交易</x:v>
      </x:c>
      <x:c r="K38" s="6" t="str">
        <x:v>招标人隐藏；10万元投标保证金非项目金额；币种未独立明示。</x:v>
      </x:c>
    </x:row>
    <x:row r="39" ht="34" customHeight="1">
      <x:c r="A39" s="6" t="str">
        <x:v>R0025</x:v>
      </x:c>
      <x:c r="B39" s="6" t="str">
        <x:v>公告线索</x:v>
      </x:c>
      <x:c r="C39" s="6" t="str">
        <x:v>比亚迪（外电接入项目名，法人未披露）</x:v>
      </x:c>
      <x:c r="D39" s="6" t="str">
        <x:v>间接供应链</x:v>
      </x:c>
      <x:c r="E39" s="6" t="str">
        <x:v>比亚迪外电接入电缆及电气设施采购项目招标公告</x:v>
      </x:c>
      <x:c r="F39" s="6" t="str">
        <x:v>预算****.50元；最高限价****.50元</x:v>
      </x:c>
      <x:c r="G39" s="6" t="str"/>
      <x:c r="H39" s="13" t="d">
        <x:v>2026-04-17T00:00:00.000Z</x:v>
      </x:c>
      <x:c r="I39" s="6" t="str">
        <x:v>Q018</x:v>
      </x:c>
      <x:c r="J39" s="6" t="str">
        <x:v>关联或待核；不计比亚迪直接交易</x:v>
      </x:c>
      <x:c r="K39" s="6" t="str">
        <x:v>不得把78060元代理费当成交额；采购人正文隐藏。</x:v>
      </x:c>
    </x:row>
    <x:row r="40" ht="40" customHeight="1">
      <x:c r="A40" s="6" t="str">
        <x:v>R0032</x:v>
      </x:c>
      <x:c r="B40" s="6" t="str">
        <x:v>公告线索</x:v>
      </x:c>
      <x:c r="C40" s="6" t="str">
        <x:v>比亚迪（外电接入项目名，法人未披露）</x:v>
      </x:c>
      <x:c r="D40" s="6" t="str">
        <x:v>间接供应链</x:v>
      </x:c>
      <x:c r="E40" s="6" t="str">
        <x:v>湖南自由贸易试验区临空产业投资集团有限公司比亚迪外电接入电缆及电气设施采购项目采购需求公开</x:v>
      </x:c>
      <x:c r="F40" s="6" t="str">
        <x:v>标题采购主体为临空产业投资集团，BYD外电项目</x:v>
      </x:c>
      <x:c r="G40" s="6" t="str"/>
      <x:c r="H40" s="13" t="d">
        <x:v>2026-04-17T00:00:00.000Z</x:v>
      </x:c>
      <x:c r="I40" s="6" t="str">
        <x:v>Q026</x:v>
      </x:c>
      <x:c r="J40" s="6" t="str">
        <x:v>关联或待核；不计比亚迪直接交易</x:v>
      </x:c>
      <x:c r="K40" s="6" t="str">
        <x:v>与Q018同项目需求文件，不重复算项目；非比亚迪集团直接采购。</x:v>
      </x:c>
    </x:row>
    <x:row r="41" ht="40" customHeight="1">
      <x:c r="A41" s="6" t="str">
        <x:v>R0042</x:v>
      </x:c>
      <x:c r="B41" s="6" t="str">
        <x:v>公告线索</x:v>
      </x:c>
      <x:c r="C41" s="6" t="str">
        <x:v>比亚迪模具项目（法人待核）</x:v>
      </x:c>
      <x:c r="D41" s="6" t="str">
        <x:v>待核</x:v>
      </x:c>
      <x:c r="E41" s="6" t="str">
        <x:v>关于【比亚迪模具项目（第三批供电二期工程）业扩配套电力工程全过程造价服务】中选结果的公告</x:v>
      </x:c>
      <x:c r="F41" s="6" t="str">
        <x:v>¥（略）,（略）.（略） 至 ¥（略）,（略）</x:v>
      </x:c>
      <x:c r="G41" s="6" t="str"/>
      <x:c r="H41" s="13" t="d">
        <x:v>2026-03-17T00:00:00.000Z</x:v>
      </x:c>
      <x:c r="I41" s="6" t="str">
        <x:v>J003</x:v>
      </x:c>
      <x:c r="J41" s="6" t="str">
        <x:v>关联或待核；不计比亚迪直接交易</x:v>
      </x:c>
      <x:c r="K41" s="6" t="str">
        <x:v>旁栏冯小山伟15337289387来源为2025-12-23江门至珠海高速公路项目，与本项目无关；400-006-6655为平台客服；均不作为项目联系人。</x:v>
      </x:c>
    </x:row>
    <x:row r="42" ht="40" customHeight="1">
      <x:c r="A42" s="6" t="str">
        <x:v>R0043</x:v>
      </x:c>
      <x:c r="B42" s="6" t="str">
        <x:v>公告线索</x:v>
      </x:c>
      <x:c r="C42" s="6" t="str">
        <x:v>比亚迪模具项目（法人待核）</x:v>
      </x:c>
      <x:c r="D42" s="6" t="str">
        <x:v>待核</x:v>
      </x:c>
      <x:c r="E42" s="6" t="str">
        <x:v>关于【比亚迪模具项目（第三批供电二期工程）业扩配套电力工程设计服务】采购失败项目的公示</x:v>
      </x:c>
      <x:c r="F42" s="6" t="str">
        <x:v>项目名称涉及比亚迪模具，但项目业主全名未公开。</x:v>
      </x:c>
      <x:c r="G42" s="6" t="str"/>
      <x:c r="H42" s="13" t="d">
        <x:v>2026-03-17T00:00:00.000Z</x:v>
      </x:c>
      <x:c r="I42" s="6" t="str">
        <x:v>J004</x:v>
      </x:c>
      <x:c r="J42" s="6" t="str">
        <x:v>关联或待核；不计比亚迪直接交易</x:v>
      </x:c>
      <x:c r="K42" s="6" t="str">
        <x:v>失败类型项目取消；失败原因为项目施工需求变动，故取消本次招采。不得把模板中‘成交供应商名单’视为已成交；同一模具项目的设计服务与造价服务分别公告，不视为同一合同。</x:v>
      </x:c>
    </x:row>
    <x:row r="43" ht="56" customHeight="1">
      <x:c r="A43" s="6" t="str">
        <x:v>R0040</x:v>
      </x:c>
      <x:c r="B43" s="6" t="str">
        <x:v>公告线索</x:v>
      </x:c>
      <x:c r="C43" s="6" t="str">
        <x:v>比亚迪（品牌）</x:v>
      </x:c>
      <x:c r="D43" s="6" t="str">
        <x:v>品牌涉及</x:v>
      </x:c>
      <x:c r="E43" s="6" t="str">
        <x:v>【招标公告】华润怡宝饮料(长沙)有限公司2026年比亚迪、林德搬运车堆高车维修保养采购公告</x:v>
      </x:c>
      <x:c r="F43" s="6" t="str">
        <x:v>采购名称涉及比亚迪、林德搬运车，未披露比亚迪企业作为采购人或成交供应商。</x:v>
      </x:c>
      <x:c r="G43" s="6" t="str"/>
      <x:c r="H43" s="13" t="d">
        <x:v>2026-02-16T00:00:00.000Z</x:v>
      </x:c>
      <x:c r="I43" s="6" t="str">
        <x:v>J001, B010</x:v>
      </x:c>
      <x:c r="J43" s="6" t="str">
        <x:v>关联或待核；不计比亚迪直接交易</x:v>
      </x:c>
      <x:c r="K43" s="6" t="str">
        <x:v>姓名电话***;公告平台日期2026-02-16,正文落款2026-02-15。邮件为采购人联系邮箱,不是比亚迪联系人。；B010为疑似同公告补充来源（2026-02-15）；J001转载日2026-02-16；原发布日待核</x:v>
      </x:c>
    </x:row>
    <x:row r="44" ht="34" customHeight="1">
      <x:c r="A44" s="6" t="str">
        <x:v>R0029</x:v>
      </x:c>
      <x:c r="B44" s="6" t="str">
        <x:v>公告线索</x:v>
      </x:c>
      <x:c r="C44" s="6" t="str">
        <x:v>比亚迪品牌</x:v>
      </x:c>
      <x:c r="D44" s="6" t="str">
        <x:v>间接供应链</x:v>
      </x:c>
      <x:c r="E44" s="6" t="str">
        <x:v>佳业公司比亚迪品牌整车运输项目成交结果公告</x:v>
      </x:c>
      <x:c r="F44" s="6" t="str">
        <x:v>佳业公司采购比亚迪品牌整车运输服务</x:v>
      </x:c>
      <x:c r="G44" s="6" t="str"/>
      <x:c r="H44" s="13" t="d">
        <x:v>2026-01-07T00:00:00.000Z</x:v>
      </x:c>
      <x:c r="I44" s="6" t="str">
        <x:v>Q023</x:v>
      </x:c>
      <x:c r="J44" s="6" t="str">
        <x:v>关联或待核；不计比亚迪直接交易</x:v>
      </x:c>
      <x:c r="K44" s="6" t="str">
        <x:v>第三方整车物流服务采购；不可当集团直接采购；邮箱域名遮挡不能联系。</x:v>
      </x:c>
    </x:row>
    <x:row r="45" ht="34" customHeight="1">
      <x:c r="A45" s="6" t="str">
        <x:v>R0002</x:v>
      </x:c>
      <x:c r="B45" s="6" t="str">
        <x:v>关联或待核字段</x:v>
      </x:c>
      <x:c r="C45" s="6" t="str">
        <x:v>比亚迪汽车销售有限公司</x:v>
      </x:c>
      <x:c r="D45" s="6" t="str">
        <x:v>联系方式</x:v>
      </x:c>
      <x:c r="E45" s="6" t="str">
        <x:v>供应商联系电话</x:v>
      </x:c>
      <x:c r="F45" s="6" t="str">
        <x:v>152****8168</x:v>
      </x:c>
      <x:c r="G45" s="6" t="str"/>
      <x:c r="H45" s="13" t="d">
        <x:v>2026-06-03T00:00:00.000Z</x:v>
      </x:c>
      <x:c r="I45" s="6" t="str">
        <x:v>Q009</x:v>
      </x:c>
      <x:c r="J45" s="6" t="str">
        <x:v>部分遮挡</x:v>
      </x:c>
      <x:c r="K45" s="6" t="str">
        <x:v>遮挡，不可直接使用；不补齐号码，不是可直接拨打号码。</x:v>
      </x:c>
    </x:row>
    <x:row r="46" ht="34" customHeight="1">
      <x:c r="A46" s="6" t="str">
        <x:v>R0003</x:v>
      </x:c>
      <x:c r="B46" s="6" t="str">
        <x:v>关联或待核字段</x:v>
      </x:c>
      <x:c r="C46" s="6" t="str">
        <x:v>比亚迪汽车销售有限公司</x:v>
      </x:c>
      <x:c r="D46" s="6" t="str">
        <x:v>企业地址</x:v>
      </x:c>
      <x:c r="E46" s="6" t="str">
        <x:v>公告供应商地址</x:v>
      </x:c>
      <x:c r="F46" s="6" t="str">
        <x:v>**省**市**区**省**市**新区比亚迪路3009号</x:v>
      </x:c>
      <x:c r="G46" s="6" t="str"/>
      <x:c r="H46" s="13" t="d">
        <x:v>2026-06-03T00:00:00.000Z</x:v>
      </x:c>
      <x:c r="I46" s="6" t="str">
        <x:v>Q009</x:v>
      </x:c>
      <x:c r="J46" s="6" t="str">
        <x:v>部分遮挡</x:v>
      </x:c>
      <x:c r="K46" s="6" t="str">
        <x:v>；不得自行补成深圳坪山。</x:v>
      </x:c>
    </x:row>
    <x:row r="47" ht="34" customHeight="1">
      <x:c r="A47" s="6" t="str">
        <x:v>R0035</x:v>
      </x:c>
      <x:c r="B47" s="6" t="str">
        <x:v>关联或待核字段</x:v>
      </x:c>
      <x:c r="C47" s="6" t="str">
        <x:v>华润怡宝饮料(长沙)有限公司</x:v>
      </x:c>
      <x:c r="D47" s="6" t="str">
        <x:v>关联采购联系人</x:v>
      </x:c>
      <x:c r="E47" s="6" t="str">
        <x:v>邮箱</x:v>
      </x:c>
      <x:c r="F47" s="6" t="str">
        <x:v>zhangshining1@crbeverage.com</x:v>
      </x:c>
      <x:c r="G47" s="6" t="str"/>
      <x:c r="H47" s="13" t="d">
        <x:v>2026-02-16T00:00:00.000Z</x:v>
      </x:c>
      <x:c r="I47" s="6" t="str">
        <x:v>J001</x:v>
      </x:c>
      <x:c r="J47" s="6" t="str">
        <x:v>已核验（公开公告）</x:v>
      </x:c>
      <x:c r="K47" s="6" t="str">
        <x:v>原文公开；未验证接通或收信；比亚迪品牌设备维保采购人的邮箱，非比亚迪员工邮箱。</x:v>
      </x:c>
    </x:row>
    <x:row r="48" ht="34" customHeight="1">
      <x:c r="A48" s="6" t="str">
        <x:v>R0036</x:v>
      </x:c>
      <x:c r="B48" s="6" t="str">
        <x:v>关联或待核字段</x:v>
      </x:c>
      <x:c r="C48" s="6" t="str">
        <x:v>(略)人民检察院</x:v>
      </x:c>
      <x:c r="D48" s="6" t="str">
        <x:v>关联采购联系人</x:v>
      </x:c>
      <x:c r="E48" s="6" t="str">
        <x:v>联系人姓名</x:v>
      </x:c>
      <x:c r="F48" s="6" t="str">
        <x:v>严熠豪</x:v>
      </x:c>
      <x:c r="G48" s="6" t="str"/>
      <x:c r="H48" s="13" t="d">
        <x:v>2026-09-01T00:00:00.000Z</x:v>
      </x:c>
      <x:c r="I48" s="6" t="str">
        <x:v>J008</x:v>
      </x:c>
      <x:c r="J48" s="6" t="str">
        <x:v>已核验（公开公告）</x:v>
      </x:c>
      <x:c r="K48" s="6" t="str">
        <x:v>；采购人名称遮挡，电话不可恢复；非比亚迪员工。</x:v>
      </x:c>
    </x:row>
    <x:row r="49" ht="40" customHeight="1">
      <x:c r="A49" s="6" t="str">
        <x:v>R0052</x:v>
      </x:c>
      <x:c r="B49" s="6" t="str">
        <x:v>关联或待核字段</x:v>
      </x:c>
      <x:c r="C49" s="6" t="str">
        <x:v>比亚迪汽车工业有限公司</x:v>
      </x:c>
      <x:c r="D49" s="6" t="str">
        <x:v>企业信息</x:v>
      </x:c>
      <x:c r="E49" s="6" t="str">
        <x:v>企业性质</x:v>
      </x:c>
      <x:c r="F49" s="6" t="str">
        <x:v>中外合资</x:v>
      </x:c>
      <x:c r="G49" s="6" t="str"/>
      <x:c r="H49" s="13"/>
      <x:c r="I49" s="6" t="str">
        <x:v>B001</x:v>
      </x:c>
      <x:c r="J49" s="6" t="str">
        <x:v>待核：平台企业库未注明更新时间</x:v>
      </x:c>
      <x:c r="K49" s="6" t="str">
        <x:v>；企业库未注明更新日期,平台资料非当前工商登记确认。；企业库没有更新或登记日期，仅能确认页面这样展示，不能证明近一年或当前登记事实；截断主营内容保持节选。</x:v>
      </x:c>
    </x:row>
    <x:row r="50" ht="40" customHeight="1">
      <x:c r="A50" s="6" t="str">
        <x:v>R0053</x:v>
      </x:c>
      <x:c r="B50" s="6" t="str">
        <x:v>关联或待核字段</x:v>
      </x:c>
      <x:c r="C50" s="6" t="str">
        <x:v>比亚迪汽车工业有限公司</x:v>
      </x:c>
      <x:c r="D50" s="6" t="str">
        <x:v>企业信息</x:v>
      </x:c>
      <x:c r="E50" s="6" t="str">
        <x:v>所属行业</x:v>
      </x:c>
      <x:c r="F50" s="6" t="str">
        <x:v>交通运输</x:v>
      </x:c>
      <x:c r="G50" s="6" t="str"/>
      <x:c r="H50" s="13"/>
      <x:c r="I50" s="6" t="str">
        <x:v>B001</x:v>
      </x:c>
      <x:c r="J50" s="6" t="str">
        <x:v>待核：平台企业库未注明更新时间</x:v>
      </x:c>
      <x:c r="K50" s="6" t="str">
        <x:v>；企业库未注明更新日期,平台资料非当前工商登记确认。；企业库没有更新或登记日期，仅能确认页面这样展示，不能证明近一年或当前登记事实；截断主营内容保持节选。</x:v>
      </x:c>
    </x:row>
    <x:row r="51" ht="40" customHeight="1">
      <x:c r="A51" s="6" t="str">
        <x:v>R0054</x:v>
      </x:c>
      <x:c r="B51" s="6" t="str">
        <x:v>关联或待核字段</x:v>
      </x:c>
      <x:c r="C51" s="6" t="str">
        <x:v>比亚迪汽车工业有限公司</x:v>
      </x:c>
      <x:c r="D51" s="6" t="str">
        <x:v>企业信息</x:v>
      </x:c>
      <x:c r="E51" s="6" t="str">
        <x:v>所属地区</x:v>
      </x:c>
      <x:c r="F51" s="6" t="str">
        <x:v>中国广东省深圳市</x:v>
      </x:c>
      <x:c r="G51" s="6" t="str"/>
      <x:c r="H51" s="13"/>
      <x:c r="I51" s="6" t="str">
        <x:v>B001</x:v>
      </x:c>
      <x:c r="J51" s="6" t="str">
        <x:v>待核：平台企业库未注明更新时间</x:v>
      </x:c>
      <x:c r="K51" s="6" t="str">
        <x:v>；企业库未注明更新日期,平台资料非当前工商登记确认。；企业库没有更新或登记日期，仅能确认页面这样展示，不能证明近一年或当前登记事实；截断主营内容保持节选。</x:v>
      </x:c>
    </x:row>
    <x:row r="52" ht="40" customHeight="1">
      <x:c r="A52" s="6" t="str">
        <x:v>R0055</x:v>
      </x:c>
      <x:c r="B52" s="6" t="str">
        <x:v>关联或待核字段</x:v>
      </x:c>
      <x:c r="C52" s="6" t="str">
        <x:v>比亚迪汽车工业有限公司</x:v>
      </x:c>
      <x:c r="D52" s="6" t="str">
        <x:v>企业信息</x:v>
      </x:c>
      <x:c r="E52" s="6" t="str">
        <x:v>注册资本</x:v>
      </x:c>
      <x:c r="F52" s="16" t="n">
        <x:v>375765.45</x:v>
      </x:c>
      <x:c r="G52" s="6" t="str">
        <x:v>万美元</x:v>
      </x:c>
      <x:c r="H52" s="13"/>
      <x:c r="I52" s="6" t="str">
        <x:v>B001</x:v>
      </x:c>
      <x:c r="J52" s="6" t="str">
        <x:v>待核：平台企业库未注明更新时间</x:v>
      </x:c>
      <x:c r="K52" s="6" t="str">
        <x:v>；企业库未注明更新日期,平台资料非当前工商登记确认。；企业库没有更新或登记日期，仅能确认页面这样展示，不能证明近一年或当前登记事实；截断主营内容保持节选。</x:v>
      </x:c>
    </x:row>
    <x:row r="53" ht="40" customHeight="1">
      <x:c r="A53" s="6" t="str">
        <x:v>R0056</x:v>
      </x:c>
      <x:c r="B53" s="6" t="str">
        <x:v>关联或待核字段</x:v>
      </x:c>
      <x:c r="C53" s="6" t="str">
        <x:v>比亚迪汽车工业有限公司</x:v>
      </x:c>
      <x:c r="D53" s="6" t="str">
        <x:v>企业信息</x:v>
      </x:c>
      <x:c r="E53" s="6" t="str">
        <x:v>经营模式</x:v>
      </x:c>
      <x:c r="F53" s="6" t="str">
        <x:v>生产型</x:v>
      </x:c>
      <x:c r="G53" s="6" t="str"/>
      <x:c r="H53" s="13"/>
      <x:c r="I53" s="6" t="str">
        <x:v>B001</x:v>
      </x:c>
      <x:c r="J53" s="6" t="str">
        <x:v>待核：平台企业库未注明更新时间</x:v>
      </x:c>
      <x:c r="K53" s="6" t="str">
        <x:v>；企业库未注明更新日期,平台资料非当前工商登记确认。；企业库没有更新或登记日期，仅能确认页面这样展示，不能证明近一年或当前登记事实；截断主营内容保持节选。</x:v>
      </x:c>
    </x:row>
    <x:row r="54" ht="40" customHeight="1">
      <x:c r="A54" s="6" t="str">
        <x:v>R0057</x:v>
      </x:c>
      <x:c r="B54" s="6" t="str">
        <x:v>关联或待核字段</x:v>
      </x:c>
      <x:c r="C54" s="6" t="str">
        <x:v>比亚迪汽车工业有限公司</x:v>
      </x:c>
      <x:c r="D54" s="6" t="str">
        <x:v>企业信息</x:v>
      </x:c>
      <x:c r="E54" s="6" t="str">
        <x:v>主营产品摘要</x:v>
      </x:c>
      <x:c r="F54" s="6" t="str">
        <x:v>一般经营项目是:汽车、电动车及其零配件、汽...</x:v>
      </x:c>
      <x:c r="G54" s="6" t="str"/>
      <x:c r="H54" s="13"/>
      <x:c r="I54" s="6" t="str">
        <x:v>B001</x:v>
      </x:c>
      <x:c r="J54" s="6" t="str">
        <x:v>待核：平台企业库未注明更新时间</x:v>
      </x:c>
      <x:c r="K54" s="6" t="str">
        <x:v>；列表摘要截断,未补全;未注明资料更新时间。；企业库没有更新或登记日期，仅能确认页面这样展示，不能证明近一年或当前登记事实；截断主营内容保持节选。</x:v>
      </x:c>
    </x:row>
    <x:row r="55" ht="40" customHeight="1">
      <x:c r="A55" s="6" t="str">
        <x:v>R0058</x:v>
      </x:c>
      <x:c r="B55" s="6" t="str">
        <x:v>关联或待核字段</x:v>
      </x:c>
      <x:c r="C55" s="6" t="str">
        <x:v>比亚迪通信信号有限公司</x:v>
      </x:c>
      <x:c r="D55" s="6" t="str">
        <x:v>企业信息</x:v>
      </x:c>
      <x:c r="E55" s="6" t="str">
        <x:v>企业性质</x:v>
      </x:c>
      <x:c r="F55" s="6" t="str">
        <x:v>私营企业</x:v>
      </x:c>
      <x:c r="G55" s="6" t="str"/>
      <x:c r="H55" s="13"/>
      <x:c r="I55" s="6" t="str">
        <x:v>B001</x:v>
      </x:c>
      <x:c r="J55" s="6" t="str">
        <x:v>待核：平台企业库未注明更新时间</x:v>
      </x:c>
      <x:c r="K55" s="6" t="str">
        <x:v>；企业库未注明更新日期,平台资料非当前工商登记确认。；企业库没有更新或登记日期，仅能确认页面这样展示，不能证明近一年或当前登记事实；截断主营内容保持节选。</x:v>
      </x:c>
    </x:row>
    <x:row r="56" ht="40" customHeight="1">
      <x:c r="A56" s="6" t="str">
        <x:v>R0059</x:v>
      </x:c>
      <x:c r="B56" s="6" t="str">
        <x:v>关联或待核字段</x:v>
      </x:c>
      <x:c r="C56" s="6" t="str">
        <x:v>比亚迪通信信号有限公司</x:v>
      </x:c>
      <x:c r="D56" s="6" t="str">
        <x:v>企业信息</x:v>
      </x:c>
      <x:c r="E56" s="6" t="str">
        <x:v>所属行业</x:v>
      </x:c>
      <x:c r="F56" s="6" t="str">
        <x:v>工程建筑行业</x:v>
      </x:c>
      <x:c r="G56" s="6" t="str"/>
      <x:c r="H56" s="13"/>
      <x:c r="I56" s="6" t="str">
        <x:v>B001</x:v>
      </x:c>
      <x:c r="J56" s="6" t="str">
        <x:v>待核：平台企业库未注明更新时间</x:v>
      </x:c>
      <x:c r="K56" s="6" t="str">
        <x:v>；企业库未注明更新日期,平台资料非当前工商登记确认。；企业库没有更新或登记日期，仅能确认页面这样展示，不能证明近一年或当前登记事实；截断主营内容保持节选。</x:v>
      </x:c>
    </x:row>
    <x:row r="57" ht="40" customHeight="1">
      <x:c r="A57" s="6" t="str">
        <x:v>R0060</x:v>
      </x:c>
      <x:c r="B57" s="6" t="str">
        <x:v>关联或待核字段</x:v>
      </x:c>
      <x:c r="C57" s="6" t="str">
        <x:v>比亚迪通信信号有限公司</x:v>
      </x:c>
      <x:c r="D57" s="6" t="str">
        <x:v>企业信息</x:v>
      </x:c>
      <x:c r="E57" s="6" t="str">
        <x:v>所属地区</x:v>
      </x:c>
      <x:c r="F57" s="6" t="str">
        <x:v>中国广东省深圳市坪山区</x:v>
      </x:c>
      <x:c r="G57" s="6" t="str"/>
      <x:c r="H57" s="13"/>
      <x:c r="I57" s="6" t="str">
        <x:v>B001</x:v>
      </x:c>
      <x:c r="J57" s="6" t="str">
        <x:v>待核：平台企业库未注明更新时间</x:v>
      </x:c>
      <x:c r="K57" s="6" t="str">
        <x:v>；企业库未注明更新日期,平台资料非当前工商登记确认。；企业库没有更新或登记日期，仅能确认页面这样展示，不能证明近一年或当前登记事实；截断主营内容保持节选。</x:v>
      </x:c>
    </x:row>
    <x:row r="58" ht="40" customHeight="1">
      <x:c r="A58" s="6" t="str">
        <x:v>R0061</x:v>
      </x:c>
      <x:c r="B58" s="6" t="str">
        <x:v>关联或待核字段</x:v>
      </x:c>
      <x:c r="C58" s="6" t="str">
        <x:v>比亚迪通信信号有限公司</x:v>
      </x:c>
      <x:c r="D58" s="6" t="str">
        <x:v>企业信息</x:v>
      </x:c>
      <x:c r="E58" s="6" t="str">
        <x:v>注册资本</x:v>
      </x:c>
      <x:c r="F58" s="15" t="n">
        <x:v>11000</x:v>
      </x:c>
      <x:c r="G58" s="6" t="str">
        <x:v>万元</x:v>
      </x:c>
      <x:c r="H58" s="13"/>
      <x:c r="I58" s="6" t="str">
        <x:v>B001</x:v>
      </x:c>
      <x:c r="J58" s="6" t="str">
        <x:v>待核：平台企业库未注明更新时间</x:v>
      </x:c>
      <x:c r="K58" s="6" t="str">
        <x:v>；企业库未注明更新日期,平台资料非当前工商登记确认。；企业库没有更新或登记日期，仅能确认页面这样展示，不能证明近一年或当前登记事实；截断主营内容保持节选。</x:v>
      </x:c>
    </x:row>
    <x:row r="59" ht="40" customHeight="1">
      <x:c r="A59" s="6" t="str">
        <x:v>R0062</x:v>
      </x:c>
      <x:c r="B59" s="6" t="str">
        <x:v>关联或待核字段</x:v>
      </x:c>
      <x:c r="C59" s="6" t="str">
        <x:v>比亚迪通信信号有限公司</x:v>
      </x:c>
      <x:c r="D59" s="6" t="str">
        <x:v>企业信息</x:v>
      </x:c>
      <x:c r="E59" s="6" t="str">
        <x:v>主营产品摘要</x:v>
      </x:c>
      <x:c r="F59" s="6" t="str">
        <x:v>城市轨道信号、通信、自动售检票、综合监控、...</x:v>
      </x:c>
      <x:c r="G59" s="6" t="str"/>
      <x:c r="H59" s="13"/>
      <x:c r="I59" s="6" t="str">
        <x:v>B001</x:v>
      </x:c>
      <x:c r="J59" s="6" t="str">
        <x:v>待核：平台企业库未注明更新时间</x:v>
      </x:c>
      <x:c r="K59" s="6" t="str">
        <x:v>；列表摘要截断,未补全;未注明资料更新时间。；企业库没有更新或登记日期，仅能确认页面这样展示，不能证明近一年或当前登记事实；截断主营内容保持节选。</x:v>
      </x:c>
    </x:row>
    <x:row r="60" ht="40" customHeight="1">
      <x:c r="A60" s="6" t="str">
        <x:v>R0068</x:v>
      </x:c>
      <x:c r="B60" s="6" t="str">
        <x:v>关联或待核字段</x:v>
      </x:c>
      <x:c r="C60" s="6" t="str">
        <x:v>青岛市政务服务和公共资源交易中心</x:v>
      </x:c>
      <x:c r="D60" s="6" t="str">
        <x:v>关联方公开联系</x:v>
      </x:c>
      <x:c r="E60" s="6" t="str">
        <x:v>项目联系人电话</x:v>
      </x:c>
      <x:c r="F60" s="6" t="str">
        <x:v>阎工:66209829</x:v>
      </x:c>
      <x:c r="G60" s="6" t="str"/>
      <x:c r="H60" s="13" t="d">
        <x:v>2026-03-31T00:00:00.000Z</x:v>
      </x:c>
      <x:c r="I60" s="6" t="str">
        <x:v>G001</x:v>
      </x:c>
      <x:c r="J60" s="6" t="str">
        <x:v>已核实</x:v>
      </x:c>
      <x:c r="K60" s="6" t="str">
        <x:v>原文公开；未验证接通或收信；仅项目公开联络信息,并非比亚迪公司业务联系人。；采购代理联系人，非比亚迪员工；原号码缺区号</x:v>
      </x:c>
    </x:row>
    <x:row r="61" ht="40" customHeight="1">
      <x:c r="A61" s="6" t="str">
        <x:v>R0069</x:v>
      </x:c>
      <x:c r="B61" s="6" t="str">
        <x:v>关联或待核字段</x:v>
      </x:c>
      <x:c r="C61" s="6" t="str">
        <x:v>玉溪倡迪汽车销售有限公司</x:v>
      </x:c>
      <x:c r="D61" s="6" t="str">
        <x:v>采购与招投标</x:v>
      </x:c>
      <x:c r="E61" s="6" t="str">
        <x:v>项目角色</x:v>
      </x:c>
      <x:c r="F61" s="6" t="str">
        <x:v>品牌涉及</x:v>
      </x:c>
      <x:c r="G61" s="6" t="str"/>
      <x:c r="H61" s="13" t="d">
        <x:v>2026-08-06T00:00:00.000Z</x:v>
      </x:c>
      <x:c r="I61" s="6" t="str">
        <x:v>G002</x:v>
      </x:c>
      <x:c r="J61" s="6" t="str">
        <x:v>已核实</x:v>
      </x:c>
      <x:c r="K61" s="6" t="str">
        <x:v>；已核实官方正文;成交供应商不是比亚迪集团主体,无证据证明经销商为集团子公司。采购1辆。；采购代理或经销商信息，不是比亚迪集团自身资料</x:v>
      </x:c>
    </x:row>
    <x:row r="62" ht="40" customHeight="1">
      <x:c r="A62" s="6" t="str">
        <x:v>R0070</x:v>
      </x:c>
      <x:c r="B62" s="6" t="str">
        <x:v>关联或待核字段</x:v>
      </x:c>
      <x:c r="C62" s="6" t="str">
        <x:v>玉溪倡迪汽车销售有限公司</x:v>
      </x:c>
      <x:c r="D62" s="6" t="str">
        <x:v>采购与招投标</x:v>
      </x:c>
      <x:c r="E62" s="6" t="str">
        <x:v>成交总价</x:v>
      </x:c>
      <x:c r="F62" s="15" t="n">
        <x:v>238800</x:v>
      </x:c>
      <x:c r="G62" s="6" t="str">
        <x:v>元</x:v>
      </x:c>
      <x:c r="H62" s="13" t="d">
        <x:v>2026-08-06T00:00:00.000Z</x:v>
      </x:c>
      <x:c r="I62" s="6" t="str">
        <x:v>G002</x:v>
      </x:c>
      <x:c r="J62" s="6" t="str">
        <x:v>已核实</x:v>
      </x:c>
      <x:c r="K62" s="6" t="str">
        <x:v>；已核实官方正文;成交供应商不是比亚迪集团主体,无证据证明经销商为集团子公司。采购1辆。；采购代理或经销商信息，不是比亚迪集团自身资料</x:v>
      </x:c>
    </x:row>
    <x:row r="63" ht="40" customHeight="1">
      <x:c r="A63" s="6" t="str">
        <x:v>R0071</x:v>
      </x:c>
      <x:c r="B63" s="6" t="str">
        <x:v>关联或待核字段</x:v>
      </x:c>
      <x:c r="C63" s="6" t="str">
        <x:v>丽江市政府采购和出让中心</x:v>
      </x:c>
      <x:c r="D63" s="6" t="str">
        <x:v>公开采购联系人</x:v>
      </x:c>
      <x:c r="E63" s="6" t="str">
        <x:v>项目联系人电话</x:v>
      </x:c>
      <x:c r="F63" s="6" t="str">
        <x:v>王清艳:0888-5120808</x:v>
      </x:c>
      <x:c r="G63" s="6" t="str"/>
      <x:c r="H63" s="13" t="d">
        <x:v>2026-08-06T00:00:00.000Z</x:v>
      </x:c>
      <x:c r="I63" s="6" t="str">
        <x:v>G002</x:v>
      </x:c>
      <x:c r="J63" s="6" t="str">
        <x:v>已核实</x:v>
      </x:c>
      <x:c r="K63" s="6" t="str">
        <x:v>原文公开；未验证接通或收信；仅项目公开联络信息,并非比亚迪公司业务联系人。；采购代理或经销商信息，不是比亚迪集团自身资料</x:v>
      </x:c>
    </x:row>
    <x:row r="64" ht="34" customHeight="1">
      <x:c r="A64" s="6" t="str">
        <x:v>R0087</x:v>
      </x:c>
      <x:c r="B64" s="6" t="str">
        <x:v>关联或待核字段</x:v>
      </x:c>
      <x:c r="C64" s="6" t="str">
        <x:v>公诚管理咨询有限公司</x:v>
      </x:c>
      <x:c r="D64" s="6" t="str">
        <x:v>代理联系方式</x:v>
      </x:c>
      <x:c r="E64" s="6" t="str">
        <x:v>招标代理项目负责人</x:v>
      </x:c>
      <x:c r="F64" s="6" t="str">
        <x:v>郑沙、闵代道、何琴琴、王玮、马姗姗、孙婉超、童本锋</x:v>
      </x:c>
      <x:c r="G64" s="6" t="str"/>
      <x:c r="H64" s="13" t="d">
        <x:v>2026-07-01T00:00:00.000Z</x:v>
      </x:c>
      <x:c r="I64" s="6" t="str">
        <x:v>O001</x:v>
      </x:c>
      <x:c r="J64" s="6" t="str">
        <x:v>原文明确</x:v>
      </x:c>
      <x:c r="K64" s="6" t="str">
        <x:v>；非采购方联系人</x:v>
      </x:c>
    </x:row>
    <x:row r="65" ht="34" customHeight="1">
      <x:c r="A65" s="6" t="str">
        <x:v>R0088</x:v>
      </x:c>
      <x:c r="B65" s="6" t="str">
        <x:v>关联或待核字段</x:v>
      </x:c>
      <x:c r="C65" s="6" t="str">
        <x:v>公诚管理咨询有限公司</x:v>
      </x:c>
      <x:c r="D65" s="6" t="str">
        <x:v>代理联系方式</x:v>
      </x:c>
      <x:c r="E65" s="6" t="str">
        <x:v>招标代理联系电话</x:v>
      </x:c>
      <x:c r="F65" s="6" t="str">
        <x:v>18617187621、18126131331</x:v>
      </x:c>
      <x:c r="G65" s="6" t="str"/>
      <x:c r="H65" s="13" t="d">
        <x:v>2026-07-01T00:00:00.000Z</x:v>
      </x:c>
      <x:c r="I65" s="6" t="str">
        <x:v>O001</x:v>
      </x:c>
      <x:c r="J65" s="6" t="str">
        <x:v>原文明确</x:v>
      </x:c>
      <x:c r="K65" s="6" t="str">
        <x:v>原文公开；未验证接通或收信；非比亚迪企业联系电话</x:v>
      </x:c>
    </x:row>
    <x:row r="66" ht="40" customHeight="1">
      <x:c r="A66" s="6" t="str">
        <x:v>R0089</x:v>
      </x:c>
      <x:c r="B66" s="6" t="str">
        <x:v>关联或待核字段</x:v>
      </x:c>
      <x:c r="C66" s="6" t="str">
        <x:v>公诚管理咨询有限公司</x:v>
      </x:c>
      <x:c r="D66" s="6" t="str">
        <x:v>代理联系方式</x:v>
      </x:c>
      <x:c r="E66" s="6" t="str">
        <x:v>招标代理电子邮件(原文)</x:v>
      </x:c>
      <x:c r="F66" s="6" t="str">
        <x:v>zhengsha@chinaccs.cn、 mindd@chinaccs.cn</x:v>
      </x:c>
      <x:c r="G66" s="6" t="str"/>
      <x:c r="H66" s="13" t="d">
        <x:v>2026-07-01T00:00:00.000Z</x:v>
      </x:c>
      <x:c r="I66" s="6" t="str">
        <x:v>O001</x:v>
      </x:c>
      <x:c r="J66" s="6" t="str">
        <x:v>原文明确</x:v>
      </x:c>
      <x:c r="K66" s="6" t="str">
        <x:v>原文公开；未验证接通或收信；原文保留；mindd@@chinaccs.cn为原公告双@疑似笔误，不当作有效邮箱</x:v>
      </x:c>
    </x:row>
    <x:row r="67" ht="40" customHeight="1">
      <x:c r="A67" s="6" t="str">
        <x:v>R0091</x:v>
      </x:c>
      <x:c r="B67" s="6" t="str">
        <x:v>关联或待核字段</x:v>
      </x:c>
      <x:c r="C67" s="6" t="str">
        <x:v>深圳市比亚迪锂电池有限公司</x:v>
      </x:c>
      <x:c r="D67" s="6" t="str">
        <x:v>地址</x:v>
      </x:c>
      <x:c r="E67" s="6" t="str">
        <x:v>公告采购方联系地址</x:v>
      </x:c>
      <x:c r="F67" s="6" t="str">
        <x:v>深圳市坪由区坑梓街道秀沙路 5 号坑梓比亚迪二期</x:v>
      </x:c>
      <x:c r="G67" s="6" t="str"/>
      <x:c r="H67" s="13" t="d">
        <x:v>2026-07-14T00:00:00.000Z</x:v>
      </x:c>
      <x:c r="I67" s="6" t="str">
        <x:v>O002</x:v>
      </x:c>
      <x:c r="J67" s="6" t="str">
        <x:v>待核：原文疑似文字错误</x:v>
      </x:c>
      <x:c r="K67" s="6" t="str">
        <x:v>；公告项目联络地址,不当作工商注册地址；地址可能有文字错误，未读取原PDF图像不能自动纠正成坪山区。</x:v>
      </x:c>
    </x:row>
    <x:row r="68" ht="40" customHeight="1">
      <x:c r="A68" s="6" t="str">
        <x:v>R0102</x:v>
      </x:c>
      <x:c r="B68" s="6" t="str">
        <x:v>关联或待核字段</x:v>
      </x:c>
      <x:c r="C68" s="6" t="str">
        <x:v>公诚管理咨询有限公司</x:v>
      </x:c>
      <x:c r="D68" s="6" t="str">
        <x:v>代理联系方式</x:v>
      </x:c>
      <x:c r="E68" s="6" t="str">
        <x:v>招标代理项目负责人</x:v>
      </x:c>
      <x:c r="F68" s="6" t="str">
        <x:v>闵代道、郑沙、何琴琴、王玮、马姗姗、孙婉超、童本锋</x:v>
      </x:c>
      <x:c r="G68" s="6" t="str"/>
      <x:c r="H68" s="13" t="d">
        <x:v>2026-07-14T00:00:00.000Z</x:v>
      </x:c>
      <x:c r="I68" s="6" t="str">
        <x:v>O002</x:v>
      </x:c>
      <x:c r="J68" s="6" t="str">
        <x:v>原文明确</x:v>
      </x:c>
      <x:c r="K68" s="6" t="str">
        <x:v>；非采购方联系人；同一PDF提取行造成跨字段污染，项目负责人字段包含电话邮件、电话字段包含邮件；应按标签切分。</x:v>
      </x:c>
    </x:row>
    <x:row r="69" ht="40" customHeight="1">
      <x:c r="A69" s="6" t="str">
        <x:v>R0103</x:v>
      </x:c>
      <x:c r="B69" s="6" t="str">
        <x:v>关联或待核字段</x:v>
      </x:c>
      <x:c r="C69" s="6" t="str">
        <x:v>公诚管理咨询有限公司</x:v>
      </x:c>
      <x:c r="D69" s="6" t="str">
        <x:v>代理联系方式</x:v>
      </x:c>
      <x:c r="E69" s="6" t="str">
        <x:v>招标代理联系电话</x:v>
      </x:c>
      <x:c r="F69" s="6" t="str">
        <x:v>18126131331、18617187621</x:v>
      </x:c>
      <x:c r="G69" s="6" t="str"/>
      <x:c r="H69" s="13" t="d">
        <x:v>2026-07-14T00:00:00.000Z</x:v>
      </x:c>
      <x:c r="I69" s="6" t="str">
        <x:v>O002</x:v>
      </x:c>
      <x:c r="J69" s="6" t="str">
        <x:v>原文明确</x:v>
      </x:c>
      <x:c r="K69" s="6" t="str">
        <x:v>原文公开；未验证接通或收信；非比亚迪企业联系电话；同一PDF提取行造成跨字段污染，项目负责人字段包含电话邮件、电话字段包含邮件；应按标签切分。</x:v>
      </x:c>
    </x:row>
    <x:row r="70" ht="40" customHeight="1">
      <x:c r="A70" s="6" t="str">
        <x:v>R0104</x:v>
      </x:c>
      <x:c r="B70" s="6" t="str">
        <x:v>关联或待核字段</x:v>
      </x:c>
      <x:c r="C70" s="6" t="str">
        <x:v>公诚管理咨询有限公司</x:v>
      </x:c>
      <x:c r="D70" s="6" t="str">
        <x:v>代理联系方式</x:v>
      </x:c>
      <x:c r="E70" s="6" t="str">
        <x:v>招标代理电子邮件(原文)</x:v>
      </x:c>
      <x:c r="F70" s="6" t="str">
        <x:v>mindd@chinaccs.cn、zhengsha@chinaccs.cn</x:v>
      </x:c>
      <x:c r="G70" s="6" t="str"/>
      <x:c r="H70" s="13" t="d">
        <x:v>2026-07-14T00:00:00.000Z</x:v>
      </x:c>
      <x:c r="I70" s="6" t="str">
        <x:v>O002</x:v>
      </x:c>
      <x:c r="J70" s="6" t="str">
        <x:v>原文明确</x:v>
      </x:c>
      <x:c r="K70" s="6" t="str">
        <x:v>原文公开；未验证接通或收信；原文保留；mindd@@chinaccs.cn为原公告双@疑似笔误，不当作有效邮箱</x:v>
      </x:c>
    </x:row>
    <x:row r="71" ht="34" customHeight="1">
      <x:c r="A71" s="6" t="str">
        <x:v>R0117</x:v>
      </x:c>
      <x:c r="B71" s="6" t="str">
        <x:v>关联或待核字段</x:v>
      </x:c>
      <x:c r="C71" s="6" t="str">
        <x:v>公诚管理咨询有限公司</x:v>
      </x:c>
      <x:c r="D71" s="6" t="str">
        <x:v>代理联系方式</x:v>
      </x:c>
      <x:c r="E71" s="6" t="str">
        <x:v>招标代理项目负责人</x:v>
      </x:c>
      <x:c r="F71" s="6" t="str">
        <x:v>郑沙、闵代道、何琴琴、王玮、马姗姗、孙婉超、童本锋</x:v>
      </x:c>
      <x:c r="G71" s="6" t="str"/>
      <x:c r="H71" s="13" t="d">
        <x:v>2026-06-17T00:00:00.000Z</x:v>
      </x:c>
      <x:c r="I71" s="6" t="str">
        <x:v>O003</x:v>
      </x:c>
      <x:c r="J71" s="6" t="str">
        <x:v>原文明确</x:v>
      </x:c>
      <x:c r="K71" s="6" t="str">
        <x:v>；非采购方联系人</x:v>
      </x:c>
    </x:row>
    <x:row r="72" ht="34" customHeight="1">
      <x:c r="A72" s="6" t="str">
        <x:v>R0118</x:v>
      </x:c>
      <x:c r="B72" s="6" t="str">
        <x:v>关联或待核字段</x:v>
      </x:c>
      <x:c r="C72" s="6" t="str">
        <x:v>公诚管理咨询有限公司</x:v>
      </x:c>
      <x:c r="D72" s="6" t="str">
        <x:v>代理联系方式</x:v>
      </x:c>
      <x:c r="E72" s="6" t="str">
        <x:v>招标代理联系电话</x:v>
      </x:c>
      <x:c r="F72" s="6" t="str">
        <x:v>18617187621、18126131331</x:v>
      </x:c>
      <x:c r="G72" s="6" t="str"/>
      <x:c r="H72" s="13" t="d">
        <x:v>2026-06-17T00:00:00.000Z</x:v>
      </x:c>
      <x:c r="I72" s="6" t="str">
        <x:v>O003</x:v>
      </x:c>
      <x:c r="J72" s="6" t="str">
        <x:v>原文明确</x:v>
      </x:c>
      <x:c r="K72" s="6" t="str">
        <x:v>原文公开；未验证接通或收信；非比亚迪企业联系电话</x:v>
      </x:c>
    </x:row>
    <x:row r="73" ht="40" customHeight="1">
      <x:c r="A73" s="6" t="str">
        <x:v>R0119</x:v>
      </x:c>
      <x:c r="B73" s="6" t="str">
        <x:v>关联或待核字段</x:v>
      </x:c>
      <x:c r="C73" s="6" t="str">
        <x:v>公诚管理咨询有限公司</x:v>
      </x:c>
      <x:c r="D73" s="6" t="str">
        <x:v>代理联系方式</x:v>
      </x:c>
      <x:c r="E73" s="6" t="str">
        <x:v>招标代理电子邮件(原文)</x:v>
      </x:c>
      <x:c r="F73" s="6" t="str">
        <x:v>zhengsha@chinaccs.cn、 mindd@@chinaccs.cn</x:v>
      </x:c>
      <x:c r="G73" s="6" t="str"/>
      <x:c r="H73" s="13" t="d">
        <x:v>2026-06-17T00:00:00.000Z</x:v>
      </x:c>
      <x:c r="I73" s="6" t="str">
        <x:v>O003</x:v>
      </x:c>
      <x:c r="J73" s="6" t="str">
        <x:v>待核：原文邮箱格式异常</x:v>
      </x:c>
      <x:c r="K73" s="6" t="str">
        <x:v>格式异常，待核；原文保留;mindd@@chinaccs.cn为原公告双@疑似笔误,不当作有效邮箱；双@按原文保留，不提供可用邮箱结论</x:v>
      </x:c>
    </x:row>
    <x:row r="74" ht="34" customHeight="1">
      <x:c r="A74" s="6" t="str">
        <x:v>R0132</x:v>
      </x:c>
      <x:c r="B74" s="6" t="str">
        <x:v>关联或待核字段</x:v>
      </x:c>
      <x:c r="C74" s="6" t="str">
        <x:v>公诚管理咨询有限公司</x:v>
      </x:c>
      <x:c r="D74" s="6" t="str">
        <x:v>代理联系方式</x:v>
      </x:c>
      <x:c r="E74" s="6" t="str">
        <x:v>招标代理项目负责人</x:v>
      </x:c>
      <x:c r="F74" s="6" t="str">
        <x:v>郑沙、闵代道、何琴琴、王玮、马姗姗、孙婉超、童本锋</x:v>
      </x:c>
      <x:c r="G74" s="6" t="str"/>
      <x:c r="H74" s="13" t="d">
        <x:v>2026-08-28T00:00:00.000Z</x:v>
      </x:c>
      <x:c r="I74" s="6" t="str">
        <x:v>O004</x:v>
      </x:c>
      <x:c r="J74" s="6" t="str">
        <x:v>原文明确</x:v>
      </x:c>
      <x:c r="K74" s="6" t="str">
        <x:v>；非采购方联系人</x:v>
      </x:c>
    </x:row>
    <x:row r="75" ht="34" customHeight="1">
      <x:c r="A75" s="6" t="str">
        <x:v>R0133</x:v>
      </x:c>
      <x:c r="B75" s="6" t="str">
        <x:v>关联或待核字段</x:v>
      </x:c>
      <x:c r="C75" s="6" t="str">
        <x:v>公诚管理咨询有限公司</x:v>
      </x:c>
      <x:c r="D75" s="6" t="str">
        <x:v>代理联系方式</x:v>
      </x:c>
      <x:c r="E75" s="6" t="str">
        <x:v>招标代理联系电话</x:v>
      </x:c>
      <x:c r="F75" s="6" t="str">
        <x:v>18617187621、18126131331</x:v>
      </x:c>
      <x:c r="G75" s="6" t="str"/>
      <x:c r="H75" s="13" t="d">
        <x:v>2026-08-28T00:00:00.000Z</x:v>
      </x:c>
      <x:c r="I75" s="6" t="str">
        <x:v>O004</x:v>
      </x:c>
      <x:c r="J75" s="6" t="str">
        <x:v>原文明确</x:v>
      </x:c>
      <x:c r="K75" s="6" t="str">
        <x:v>原文公开；未验证接通或收信；非比亚迪企业联系电话</x:v>
      </x:c>
    </x:row>
    <x:row r="76" ht="40" customHeight="1">
      <x:c r="A76" s="6" t="str">
        <x:v>R0134</x:v>
      </x:c>
      <x:c r="B76" s="6" t="str">
        <x:v>关联或待核字段</x:v>
      </x:c>
      <x:c r="C76" s="6" t="str">
        <x:v>公诚管理咨询有限公司</x:v>
      </x:c>
      <x:c r="D76" s="6" t="str">
        <x:v>代理联系方式</x:v>
      </x:c>
      <x:c r="E76" s="6" t="str">
        <x:v>招标代理电子邮件(原文)</x:v>
      </x:c>
      <x:c r="F76" s="6" t="str">
        <x:v>3138458927@qq.com、 mindd@chinaccs.cn</x:v>
      </x:c>
      <x:c r="G76" s="6" t="str"/>
      <x:c r="H76" s="13" t="d">
        <x:v>2026-08-28T00:00:00.000Z</x:v>
      </x:c>
      <x:c r="I76" s="6" t="str">
        <x:v>O004</x:v>
      </x:c>
      <x:c r="J76" s="6" t="str">
        <x:v>原文明确</x:v>
      </x:c>
      <x:c r="K76" s="6" t="str">
        <x:v>原文公开；未验证接通或收信；原文保留；mindd@@chinaccs.cn为原公告双@疑似笔误，不当作有效邮箱</x:v>
      </x:c>
    </x:row>
    <x:row r="77" ht="34" customHeight="1">
      <x:c r="A77" s="6" t="str">
        <x:v>R0140</x:v>
      </x:c>
      <x:c r="B77" s="6" t="str">
        <x:v>关联或待核字段</x:v>
      </x:c>
      <x:c r="C77" s="6" t="str">
        <x:v>公诚管理咨询有限公司</x:v>
      </x:c>
      <x:c r="D77" s="6" t="str">
        <x:v>代理联系方式</x:v>
      </x:c>
      <x:c r="E77" s="6" t="str">
        <x:v>招标代理项目负责人</x:v>
      </x:c>
      <x:c r="F77" s="6" t="str">
        <x:v>闵代道</x:v>
      </x:c>
      <x:c r="G77" s="6" t="str"/>
      <x:c r="H77" s="13" t="d">
        <x:v>2026-07-10T00:00:00.000Z</x:v>
      </x:c>
      <x:c r="I77" s="6" t="str">
        <x:v>O005</x:v>
      </x:c>
      <x:c r="J77" s="6" t="str">
        <x:v>原文明确</x:v>
      </x:c>
      <x:c r="K77" s="6" t="str">
        <x:v>；非采购方联系人</x:v>
      </x:c>
    </x:row>
    <x:row r="78" ht="34" customHeight="1">
      <x:c r="A78" s="6" t="str">
        <x:v>R0141</x:v>
      </x:c>
      <x:c r="B78" s="6" t="str">
        <x:v>关联或待核字段</x:v>
      </x:c>
      <x:c r="C78" s="6" t="str">
        <x:v>公诚管理咨询有限公司</x:v>
      </x:c>
      <x:c r="D78" s="6" t="str">
        <x:v>代理联系方式</x:v>
      </x:c>
      <x:c r="E78" s="6" t="str">
        <x:v>招标代理联系电话</x:v>
      </x:c>
      <x:c r="F78" s="14" t="str">
        <x:v>18126131331</x:v>
      </x:c>
      <x:c r="G78" s="6" t="str"/>
      <x:c r="H78" s="13" t="d">
        <x:v>2026-07-10T00:00:00.000Z</x:v>
      </x:c>
      <x:c r="I78" s="6" t="str">
        <x:v>O005</x:v>
      </x:c>
      <x:c r="J78" s="6" t="str">
        <x:v>原文明确</x:v>
      </x:c>
      <x:c r="K78" s="6" t="str">
        <x:v>原文公开；未验证接通或收信；非比亚迪企业联系电话</x:v>
      </x:c>
    </x:row>
    <x:row r="79" ht="34" customHeight="1">
      <x:c r="A79" s="6" t="str">
        <x:v>R0154</x:v>
      </x:c>
      <x:c r="B79" s="6" t="str">
        <x:v>关联或待核字段</x:v>
      </x:c>
      <x:c r="C79" s="6" t="str">
        <x:v>公诚管理咨询有限公司</x:v>
      </x:c>
      <x:c r="D79" s="6" t="str">
        <x:v>代理联系方式</x:v>
      </x:c>
      <x:c r="E79" s="6" t="str">
        <x:v>招标代理项目负责人</x:v>
      </x:c>
      <x:c r="F79" s="6" t="str">
        <x:v>闵代道、郑沙、何琴琴、王玮、马姗姗、孙婉超、童本锋</x:v>
      </x:c>
      <x:c r="G79" s="6" t="str"/>
      <x:c r="H79" s="13" t="d">
        <x:v>2026-06-25T00:00:00.000Z</x:v>
      </x:c>
      <x:c r="I79" s="6" t="str">
        <x:v>O006</x:v>
      </x:c>
      <x:c r="J79" s="6" t="str">
        <x:v>原文明确</x:v>
      </x:c>
      <x:c r="K79" s="6" t="str">
        <x:v>；非采购方联系人</x:v>
      </x:c>
    </x:row>
    <x:row r="80" ht="34" customHeight="1">
      <x:c r="A80" s="6" t="str">
        <x:v>R0155</x:v>
      </x:c>
      <x:c r="B80" s="6" t="str">
        <x:v>关联或待核字段</x:v>
      </x:c>
      <x:c r="C80" s="6" t="str">
        <x:v>公诚管理咨询有限公司</x:v>
      </x:c>
      <x:c r="D80" s="6" t="str">
        <x:v>代理联系方式</x:v>
      </x:c>
      <x:c r="E80" s="6" t="str">
        <x:v>招标代理联系电话</x:v>
      </x:c>
      <x:c r="F80" s="6" t="str">
        <x:v>18126131331、18617187621</x:v>
      </x:c>
      <x:c r="G80" s="6" t="str"/>
      <x:c r="H80" s="13" t="d">
        <x:v>2026-06-25T00:00:00.000Z</x:v>
      </x:c>
      <x:c r="I80" s="6" t="str">
        <x:v>O006</x:v>
      </x:c>
      <x:c r="J80" s="6" t="str">
        <x:v>原文明确</x:v>
      </x:c>
      <x:c r="K80" s="6" t="str">
        <x:v>原文公开；未验证接通或收信；非比亚迪企业联系电话</x:v>
      </x:c>
    </x:row>
    <x:row r="81" ht="40" customHeight="1">
      <x:c r="A81" s="6" t="str">
        <x:v>R0156</x:v>
      </x:c>
      <x:c r="B81" s="6" t="str">
        <x:v>关联或待核字段</x:v>
      </x:c>
      <x:c r="C81" s="6" t="str">
        <x:v>公诚管理咨询有限公司</x:v>
      </x:c>
      <x:c r="D81" s="6" t="str">
        <x:v>代理联系方式</x:v>
      </x:c>
      <x:c r="E81" s="6" t="str">
        <x:v>招标代理电子邮件(原文)</x:v>
      </x:c>
      <x:c r="F81" s="6" t="str">
        <x:v>mindd@chinaccs.cn、zhengsha@chinaccs.cn</x:v>
      </x:c>
      <x:c r="G81" s="6" t="str"/>
      <x:c r="H81" s="13" t="d">
        <x:v>2026-06-25T00:00:00.000Z</x:v>
      </x:c>
      <x:c r="I81" s="6" t="str">
        <x:v>O006</x:v>
      </x:c>
      <x:c r="J81" s="6" t="str">
        <x:v>原文明确</x:v>
      </x:c>
      <x:c r="K81" s="6" t="str">
        <x:v>原文公开；未验证接通或收信；原文保留；mindd@@chinaccs.cn为原公告双@疑似笔误，不当作有效邮箱</x:v>
      </x:c>
    </x:row>
    <x:row r="82" ht="34" customHeight="1">
      <x:c r="A82" s="6" t="str">
        <x:v>R0169</x:v>
      </x:c>
      <x:c r="B82" s="6" t="str">
        <x:v>关联或待核字段</x:v>
      </x:c>
      <x:c r="C82" s="6" t="str">
        <x:v>公诚管理咨询有限公司</x:v>
      </x:c>
      <x:c r="D82" s="6" t="str">
        <x:v>代理联系方式</x:v>
      </x:c>
      <x:c r="E82" s="6" t="str">
        <x:v>招标代理项目负责人</x:v>
      </x:c>
      <x:c r="F82" s="6" t="str">
        <x:v>郑沙、闵代道、何琴琴、王玮、马姗姗、孙婉超、童本锋</x:v>
      </x:c>
      <x:c r="G82" s="6" t="str"/>
      <x:c r="H82" s="13" t="d">
        <x:v>2026-07-28T00:00:00.000Z</x:v>
      </x:c>
      <x:c r="I82" s="6" t="str">
        <x:v>O007</x:v>
      </x:c>
      <x:c r="J82" s="6" t="str">
        <x:v>原文明确</x:v>
      </x:c>
      <x:c r="K82" s="6" t="str">
        <x:v>；非采购方联系人</x:v>
      </x:c>
    </x:row>
    <x:row r="83" ht="34" customHeight="1">
      <x:c r="A83" s="6" t="str">
        <x:v>R0170</x:v>
      </x:c>
      <x:c r="B83" s="6" t="str">
        <x:v>关联或待核字段</x:v>
      </x:c>
      <x:c r="C83" s="6" t="str">
        <x:v>公诚管理咨询有限公司</x:v>
      </x:c>
      <x:c r="D83" s="6" t="str">
        <x:v>代理联系方式</x:v>
      </x:c>
      <x:c r="E83" s="6" t="str">
        <x:v>招标代理联系电话</x:v>
      </x:c>
      <x:c r="F83" s="6" t="str">
        <x:v>18617187621、18126131331</x:v>
      </x:c>
      <x:c r="G83" s="6" t="str"/>
      <x:c r="H83" s="13" t="d">
        <x:v>2026-07-28T00:00:00.000Z</x:v>
      </x:c>
      <x:c r="I83" s="6" t="str">
        <x:v>O007</x:v>
      </x:c>
      <x:c r="J83" s="6" t="str">
        <x:v>原文明确</x:v>
      </x:c>
      <x:c r="K83" s="6" t="str">
        <x:v>原文公开；未验证接通或收信；非比亚迪企业联系电话</x:v>
      </x:c>
    </x:row>
    <x:row r="84" ht="40" customHeight="1">
      <x:c r="A84" s="6" t="str">
        <x:v>R0171</x:v>
      </x:c>
      <x:c r="B84" s="6" t="str">
        <x:v>关联或待核字段</x:v>
      </x:c>
      <x:c r="C84" s="6" t="str">
        <x:v>公诚管理咨询有限公司</x:v>
      </x:c>
      <x:c r="D84" s="6" t="str">
        <x:v>代理联系方式</x:v>
      </x:c>
      <x:c r="E84" s="6" t="str">
        <x:v>招标代理电子邮件(原文)</x:v>
      </x:c>
      <x:c r="F84" s="6" t="str">
        <x:v>zhengsha@chinaccs.cn、mindd@chinaccs.cn</x:v>
      </x:c>
      <x:c r="G84" s="6" t="str"/>
      <x:c r="H84" s="13" t="d">
        <x:v>2026-07-28T00:00:00.000Z</x:v>
      </x:c>
      <x:c r="I84" s="6" t="str">
        <x:v>O007</x:v>
      </x:c>
      <x:c r="J84" s="6" t="str">
        <x:v>原文明确</x:v>
      </x:c>
      <x:c r="K84" s="6" t="str">
        <x:v>原文公开；未验证接通或收信；原文保留；mindd@@chinaccs.cn为原公告双@疑似笔误，不当作有效邮箱</x:v>
      </x:c>
    </x:row>
    <x:row r="85" ht="40" customHeight="1">
      <x:c r="A85" s="6" t="str">
        <x:v>R0177</x:v>
      </x:c>
      <x:c r="B85" s="6" t="str">
        <x:v>关联或待核字段</x:v>
      </x:c>
      <x:c r="C85" s="6" t="str">
        <x:v>公诚管理咨询有限公司</x:v>
      </x:c>
      <x:c r="D85" s="6" t="str">
        <x:v>代理联系方式</x:v>
      </x:c>
      <x:c r="E85" s="6" t="str">
        <x:v>招标代理电子邮件(原文)</x:v>
      </x:c>
      <x:c r="F85" s="6" t="str">
        <x:v>mindd@chinaccs.cn</x:v>
      </x:c>
      <x:c r="G85" s="6" t="str"/>
      <x:c r="H85" s="13" t="d">
        <x:v>2026-08-19T00:00:00.000Z</x:v>
      </x:c>
      <x:c r="I85" s="6" t="str">
        <x:v>O008</x:v>
      </x:c>
      <x:c r="J85" s="6" t="str">
        <x:v>原文明确</x:v>
      </x:c>
      <x:c r="K85" s="6" t="str">
        <x:v>原文公开；未验证接通或收信；原文保留；mindd@@chinaccs.cn为原公告双@疑似笔误，不当作有效邮箱</x:v>
      </x:c>
    </x:row>
    <x:row r="86" ht="40" customHeight="1">
      <x:c r="A86" s="6" t="str">
        <x:v>R0183</x:v>
      </x:c>
      <x:c r="B86" s="6" t="str">
        <x:v>关联或待核字段</x:v>
      </x:c>
      <x:c r="C86" s="6" t="str">
        <x:v>公诚管理咨询有限公司</x:v>
      </x:c>
      <x:c r="D86" s="6" t="str">
        <x:v>代理联系方式</x:v>
      </x:c>
      <x:c r="E86" s="6" t="str">
        <x:v>招标代理电子邮件(原文)</x:v>
      </x:c>
      <x:c r="F86" s="6" t="str">
        <x:v>mindd@chinaccs.cn</x:v>
      </x:c>
      <x:c r="G86" s="6" t="str"/>
      <x:c r="H86" s="13" t="d">
        <x:v>2026-07-07T00:00:00.000Z</x:v>
      </x:c>
      <x:c r="I86" s="6" t="str">
        <x:v>O010</x:v>
      </x:c>
      <x:c r="J86" s="6" t="str">
        <x:v>原文明确</x:v>
      </x:c>
      <x:c r="K86" s="6" t="str">
        <x:v>原文公开；未验证接通或收信；原文保留；mindd@@chinaccs.cn为原公告双@疑似笔误，不当作有效邮箱</x:v>
      </x:c>
    </x:row>
    <x:row r="87" ht="40" customHeight="1">
      <x:c r="A87" s="6" t="str">
        <x:v>R0189</x:v>
      </x:c>
      <x:c r="B87" s="6" t="str">
        <x:v>关联或待核字段</x:v>
      </x:c>
      <x:c r="C87" s="6" t="str">
        <x:v>公诚管理咨询有限公司</x:v>
      </x:c>
      <x:c r="D87" s="6" t="str">
        <x:v>代理联系方式</x:v>
      </x:c>
      <x:c r="E87" s="6" t="str">
        <x:v>招标代理电子邮件(原文)</x:v>
      </x:c>
      <x:c r="F87" s="6" t="str">
        <x:v>mindd@chinaccs.cn</x:v>
      </x:c>
      <x:c r="G87" s="6" t="str"/>
      <x:c r="H87" s="13" t="d">
        <x:v>2026-09-01T00:00:00.000Z</x:v>
      </x:c>
      <x:c r="I87" s="6" t="str">
        <x:v>O011</x:v>
      </x:c>
      <x:c r="J87" s="6" t="str">
        <x:v>原文明确</x:v>
      </x:c>
      <x:c r="K87" s="6" t="str">
        <x:v>原文公开；未验证接通或收信；原文保留;mindd@@chinaccs.cn为原公告双@疑似笔误,不当作有效邮箱；原PDF落款2026-09-01；网页发布日期2026-09-02，分列保留</x:v>
      </x:c>
    </x:row>
    <x:row r="88" ht="40" customHeight="1">
      <x:c r="A88" s="6" t="str">
        <x:v>R0195</x:v>
      </x:c>
      <x:c r="B88" s="6" t="str">
        <x:v>关联或待核字段</x:v>
      </x:c>
      <x:c r="C88" s="6" t="str">
        <x:v>公诚管理咨询有限公司</x:v>
      </x:c>
      <x:c r="D88" s="6" t="str">
        <x:v>代理联系方式</x:v>
      </x:c>
      <x:c r="E88" s="6" t="str">
        <x:v>招标代理电子邮件(原文)</x:v>
      </x:c>
      <x:c r="F88" s="6" t="str">
        <x:v>mindd@gcbidding.com</x:v>
      </x:c>
      <x:c r="G88" s="6" t="str"/>
      <x:c r="H88" s="13" t="d">
        <x:v>2026-06-03T00:00:00.000Z</x:v>
      </x:c>
      <x:c r="I88" s="6" t="str">
        <x:v>O013</x:v>
      </x:c>
      <x:c r="J88" s="6" t="str">
        <x:v>原文明确</x:v>
      </x:c>
      <x:c r="K88" s="6" t="str">
        <x:v>原文公开；未验证接通或收信；原文保留；mindd@@chinaccs.cn为原公告双@疑似笔误，不当作有效邮箱</x:v>
      </x:c>
    </x:row>
    <x:row r="89" ht="34" customHeight="1">
      <x:c r="A89" s="6" t="str">
        <x:v>R0207</x:v>
      </x:c>
      <x:c r="B89" s="6" t="str">
        <x:v>关联或待核字段</x:v>
      </x:c>
      <x:c r="C89" s="6" t="str">
        <x:v>公诚管理咨询有限公司</x:v>
      </x:c>
      <x:c r="D89" s="6" t="str">
        <x:v>代理联系方式</x:v>
      </x:c>
      <x:c r="E89" s="6" t="str">
        <x:v>招标代理项目负责人</x:v>
      </x:c>
      <x:c r="F89" s="6" t="str">
        <x:v>闵代道、郑沙、王子怡、何琴琴、王玮、马姗姗、孙婉超、童本锋</x:v>
      </x:c>
      <x:c r="G89" s="6" t="str"/>
      <x:c r="H89" s="13" t="d">
        <x:v>2026-05-13T00:00:00.000Z</x:v>
      </x:c>
      <x:c r="I89" s="6" t="str">
        <x:v>O014</x:v>
      </x:c>
      <x:c r="J89" s="6" t="str">
        <x:v>原文明确</x:v>
      </x:c>
      <x:c r="K89" s="6" t="str">
        <x:v>；非采购方联系人</x:v>
      </x:c>
    </x:row>
    <x:row r="90" ht="34" customHeight="1">
      <x:c r="A90" s="6" t="str">
        <x:v>R0208</x:v>
      </x:c>
      <x:c r="B90" s="6" t="str">
        <x:v>关联或待核字段</x:v>
      </x:c>
      <x:c r="C90" s="6" t="str">
        <x:v>公诚管理咨询有限公司</x:v>
      </x:c>
      <x:c r="D90" s="6" t="str">
        <x:v>代理联系方式</x:v>
      </x:c>
      <x:c r="E90" s="6" t="str">
        <x:v>招标代理联系电话</x:v>
      </x:c>
      <x:c r="F90" s="6" t="str">
        <x:v>18126131331、 18617187621</x:v>
      </x:c>
      <x:c r="G90" s="6" t="str"/>
      <x:c r="H90" s="13" t="d">
        <x:v>2026-05-13T00:00:00.000Z</x:v>
      </x:c>
      <x:c r="I90" s="6" t="str">
        <x:v>O014</x:v>
      </x:c>
      <x:c r="J90" s="6" t="str">
        <x:v>原文明确</x:v>
      </x:c>
      <x:c r="K90" s="6" t="str">
        <x:v>原文公开；未验证接通或收信；非比亚迪企业联系电话</x:v>
      </x:c>
    </x:row>
    <x:row r="91" ht="40" customHeight="1">
      <x:c r="A91" s="6" t="str">
        <x:v>R0209</x:v>
      </x:c>
      <x:c r="B91" s="6" t="str">
        <x:v>关联或待核字段</x:v>
      </x:c>
      <x:c r="C91" s="6" t="str">
        <x:v>公诚管理咨询有限公司</x:v>
      </x:c>
      <x:c r="D91" s="6" t="str">
        <x:v>代理联系方式</x:v>
      </x:c>
      <x:c r="E91" s="6" t="str">
        <x:v>招标代理电子邮件(原文)</x:v>
      </x:c>
      <x:c r="F91" s="6" t="str">
        <x:v>mindd@gcbidding.com (heqq@gcbidding.com)、 zhengsha@gcbidding.com</x:v>
      </x:c>
      <x:c r="G91" s="6" t="str"/>
      <x:c r="H91" s="13" t="d">
        <x:v>2026-05-13T00:00:00.000Z</x:v>
      </x:c>
      <x:c r="I91" s="6" t="str">
        <x:v>O014</x:v>
      </x:c>
      <x:c r="J91" s="6" t="str">
        <x:v>原文明确</x:v>
      </x:c>
      <x:c r="K91" s="6" t="str">
        <x:v>原文公开；未验证接通或收信；原文保留；mindd@@chinaccs.cn为原公告双@疑似笔误，不当作有效邮箱</x:v>
      </x:c>
    </x:row>
    <x:row r="92" ht="56" customHeight="1">
      <x:c r="A92" s="6" t="str">
        <x:v>R0364</x:v>
      </x:c>
      <x:c r="B92" s="6" t="str">
        <x:v>关联或待核字段</x:v>
      </x:c>
      <x:c r="C92" s="6" t="str">
        <x:v>广西弗迪电池有限公司</x:v>
      </x:c>
      <x:c r="D92" s="6" t="str">
        <x:v>母子实体</x:v>
      </x:c>
      <x:c r="E92" s="6" t="str">
        <x:v>母子关系</x:v>
      </x:c>
      <x:c r="F92" s="6" t="str">
        <x:v>比亚迪股份有限公司重要子公司</x:v>
      </x:c>
      <x:c r="G92" s="6" t="str"/>
      <x:c r="H92" s="13" t="d">
        <x:v>2026-08-29T00:00:00.000Z</x:v>
      </x:c>
      <x:c r="I92" s="6" t="str">
        <x:v>F002</x:v>
      </x:c>
      <x:c r="J92" s="6" t="str">
        <x:v>官方披露已核验</x:v>
      </x:c>
      <x:c r="K92"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93" ht="56" customHeight="1">
      <x:c r="A93" s="6" t="str">
        <x:v>R0365</x:v>
      </x:c>
      <x:c r="B93" s="6" t="str">
        <x:v>关联或待核字段</x:v>
      </x:c>
      <x:c r="C93" s="6" t="str">
        <x:v>广西弗迪电池有限公司</x:v>
      </x:c>
      <x:c r="D93" s="6" t="str">
        <x:v>母子实体</x:v>
      </x:c>
      <x:c r="E93" s="6" t="str">
        <x:v>主要经营地及注册地</x:v>
      </x:c>
      <x:c r="F93" s="6" t="str">
        <x:v>南宁</x:v>
      </x:c>
      <x:c r="G93" s="6" t="str"/>
      <x:c r="H93" s="13" t="d">
        <x:v>2026-08-29T00:00:00.000Z</x:v>
      </x:c>
      <x:c r="I93" s="6" t="str">
        <x:v>F002</x:v>
      </x:c>
      <x:c r="J93" s="6" t="str">
        <x:v>官方披露已核验</x:v>
      </x:c>
      <x:c r="K93"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94" ht="56" customHeight="1">
      <x:c r="A94" s="6" t="str">
        <x:v>R0366</x:v>
      </x:c>
      <x:c r="B94" s="6" t="str">
        <x:v>关联或待核字段</x:v>
      </x:c>
      <x:c r="C94" s="6" t="str">
        <x:v>广西弗迪电池有限公司</x:v>
      </x:c>
      <x:c r="D94" s="6" t="str">
        <x:v>母子实体</x:v>
      </x:c>
      <x:c r="E94" s="6" t="str">
        <x:v>业务性质</x:v>
      </x:c>
      <x:c r="F94" s="6" t="str">
        <x:v>制造</x:v>
      </x:c>
      <x:c r="G94" s="6" t="str"/>
      <x:c r="H94" s="13" t="d">
        <x:v>2026-08-29T00:00:00.000Z</x:v>
      </x:c>
      <x:c r="I94" s="6" t="str">
        <x:v>F002</x:v>
      </x:c>
      <x:c r="J94" s="6" t="str">
        <x:v>官方披露已核验</x:v>
      </x:c>
      <x:c r="K94"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95" ht="56" customHeight="1">
      <x:c r="A95" s="6" t="str">
        <x:v>R0367</x:v>
      </x:c>
      <x:c r="B95" s="6" t="str">
        <x:v>关联或待核字段</x:v>
      </x:c>
      <x:c r="C95" s="6" t="str">
        <x:v>广西弗迪电池有限公司</x:v>
      </x:c>
      <x:c r="D95" s="6" t="str">
        <x:v>母子实体</x:v>
      </x:c>
      <x:c r="E95" s="6" t="str">
        <x:v>注册资本/股本</x:v>
      </x:c>
      <x:c r="F95" s="15" t="n">
        <x:v>50000000</x:v>
      </x:c>
      <x:c r="G95" s="6" t="str">
        <x:v>人民币元</x:v>
      </x:c>
      <x:c r="H95" s="13" t="d">
        <x:v>2026-08-29T00:00:00.000Z</x:v>
      </x:c>
      <x:c r="I95" s="6" t="str">
        <x:v>F002</x:v>
      </x:c>
      <x:c r="J95" s="6" t="str">
        <x:v>官方披露已核验</x:v>
      </x:c>
      <x:c r="K95"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row r="96" ht="56" customHeight="1">
      <x:c r="A96" s="6" t="str">
        <x:v>R0368</x:v>
      </x:c>
      <x:c r="B96" s="6" t="str">
        <x:v>关联或待核字段</x:v>
      </x:c>
      <x:c r="C96" s="6" t="str">
        <x:v>广西弗迪电池有限公司</x:v>
      </x:c>
      <x:c r="D96" s="6" t="str">
        <x:v>母子实体</x:v>
      </x:c>
      <x:c r="E96" s="6" t="str">
        <x:v>比亚迪股份间接持股比例</x:v>
      </x:c>
      <x:c r="F96" s="15" t="n">
        <x:v>100</x:v>
      </x:c>
      <x:c r="G96" s="6" t="str">
        <x:v>%</x:v>
      </x:c>
      <x:c r="H96" s="13" t="d">
        <x:v>2026-08-29T00:00:00.000Z</x:v>
      </x:c>
      <x:c r="I96" s="6" t="str">
        <x:v>F002</x:v>
      </x:c>
      <x:c r="J96" s="6" t="str">
        <x:v>官方披露已核验</x:v>
      </x:c>
      <x:c r="K96" s="6" t="str">
        <x:v>；集团2026半年报列示的重要子公司,数字是比亚迪股份直接/间接持股比例。比亚迪电子为独立上市子公司,其独立财务不得另加到集团财务。 核查日期:2026-10-08。；披露日期依据巨潮发布目录；报告批准日另列，不混同</x:v>
      </x:c>
    </x:row>
  </x:sheetData>
  <x:conditionalFormatting sqref="J6:J96">
    <x:cfRule type="containsText" dxfId="0" priority="1" operator="containsText" text="待核"/>
  </x:conditionalFormatting>
  <x:pageMargins left="0.7" right="0.7" top="0.75" bottom="0.75" header="0.3" footer="0.3"/>
  <x:tableParts count="1">
    <x:tablePart xmlns:r="http://schemas.openxmlformats.org/officeDocument/2006/relationships" r:id="R9698e7bed60744da"/>
  </x:tableParts>
</x:worksheet>
</file>

<file path=xl/worksheets/sheet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4" hidden="0" customWidth="1"/>
    <x:col min="2" max="2" width="12" hidden="0" customWidth="1"/>
    <x:col min="3" max="3" width="10" hidden="0" customWidth="1"/>
    <x:col min="4" max="4" width="35" hidden="0" customWidth="1"/>
    <x:col min="5" max="5" width="51" hidden="0" customWidth="1"/>
    <x:col min="6" max="6" width="75" hidden="0" customWidth="1"/>
    <x:col min="7" max="7" width="19" hidden="0" customWidth="1"/>
    <x:col min="8" max="8" width="19" hidden="0" customWidth="1"/>
    <x:col min="9" max="9" width="95" hidden="0" customWidth="1"/>
    <x:col min="10" max="10" width="14" hidden="0" customWidth="1"/>
    <x:col min="11" max="11" width="27" hidden="0" customWidth="1"/>
    <x:col min="12" max="12" width="55" hidden="0" customWidth="1"/>
  </x:cols>
  <x:sheetData>
    <x:row r="2" ht="26" customHeight="1">
      <x:c r="A2" s="2" t="str">
        <x:v>采集原值与证据引句</x:v>
      </x:c>
      <x:c r="B2" s="2"/>
      <x:c r="C2" s="2"/>
      <x:c r="D2" s="2"/>
      <x:c r="E2" s="2"/>
      <x:c r="F2" s="2"/>
      <x:c r="G2" s="2"/>
      <x:c r="H2" s="2"/>
      <x:c r="I2" s="2"/>
      <x:c r="J2" s="2"/>
      <x:c r="K2" s="2"/>
      <x:c r="L2" s="2"/>
    </x:row>
    <x:row r="3" ht="24" customHeight="1">
      <x:c r="A3" s="3" t="str">
        <x:v>共429条原始独立记录；长内容分段完整保留，未覆盖纠错前原值。</x:v>
      </x:c>
      <x:c r="B3" s="3"/>
      <x:c r="C3" s="3"/>
      <x:c r="D3" s="3"/>
      <x:c r="E3" s="3"/>
      <x:c r="F3" s="3"/>
      <x:c r="G3" s="3"/>
      <x:c r="H3" s="3"/>
      <x:c r="I3" s="3"/>
      <x:c r="J3" s="3"/>
      <x:c r="K3" s="3"/>
      <x:c r="L3" s="3"/>
    </x:row>
    <x:row r="5" ht="34" customHeight="1">
      <x:c r="A5" s="10" t="str">
        <x:v>原始记录ID</x:v>
      </x:c>
      <x:c r="B5" s="11" t="str">
        <x:v>类型</x:v>
      </x:c>
      <x:c r="C5" s="11" t="str">
        <x:v>分段号</x:v>
      </x:c>
      <x:c r="D5" s="11" t="str">
        <x:v>原始主体</x:v>
      </x:c>
      <x:c r="E5" s="11" t="str">
        <x:v>原始项目或字段</x:v>
      </x:c>
      <x:c r="F5" s="11" t="str">
        <x:v>原值或金额</x:v>
      </x:c>
      <x:c r="G5" s="11" t="str">
        <x:v>原单位</x:v>
      </x:c>
      <x:c r="H5" s="11" t="str">
        <x:v>原始发布日期</x:v>
      </x:c>
      <x:c r="I5" s="11" t="str">
        <x:v>原始证据引句</x:v>
      </x:c>
      <x:c r="J5" s="11" t="str">
        <x:v>来源编号</x:v>
      </x:c>
      <x:c r="K5" s="11" t="str">
        <x:v>清洗结论</x:v>
      </x:c>
      <x:c r="L5" s="12" t="str">
        <x:v>原因</x:v>
      </x:c>
    </x:row>
    <x:row r="6" ht="34" customHeight="1">
      <x:c r="A6" s="6" t="str">
        <x:v>R0001</x:v>
      </x:c>
      <x:c r="B6" s="6" t="str">
        <x:v>字段</x:v>
      </x:c>
      <x:c r="C6" s="18" t="n">
        <x:v>1</x:v>
      </x:c>
      <x:c r="D6" s="6" t="str">
        <x:v>比亚迪汽车销售有限公司</x:v>
      </x:c>
      <x:c r="E6" s="6" t="str">
        <x:v>供应商联系人</x:v>
      </x:c>
      <x:c r="F6" s="6" t="str">
        <x:v>周晓州</x:v>
      </x:c>
      <x:c r="G6" s="6" t="str"/>
      <x:c r="H6" s="13" t="d">
        <x:v>2026-06-03T00:00:00.000Z</x:v>
      </x:c>
      <x:c r="I6" s="6" t="str">
        <x:v>供应商联系人和联系方式：周晓州-152****8168</x:v>
      </x:c>
      <x:c r="J6" s="6" t="str">
        <x:v>Q009</x:v>
      </x:c>
      <x:c r="K6" s="6" t="str">
        <x:v>纳入核验字段</x:v>
      </x:c>
      <x:c r="L6" s="6" t="str">
        <x:v>公开可读，时效未验证</x:v>
      </x:c>
    </x:row>
    <x:row r="7" ht="34" customHeight="1">
      <x:c r="A7" s="6" t="str">
        <x:v>R0002</x:v>
      </x:c>
      <x:c r="B7" s="6" t="str">
        <x:v>字段</x:v>
      </x:c>
      <x:c r="C7" s="18" t="n">
        <x:v>1</x:v>
      </x:c>
      <x:c r="D7" s="6" t="str">
        <x:v>比亚迪汽车销售有限公司</x:v>
      </x:c>
      <x:c r="E7" s="6" t="str">
        <x:v>供应商联系电话</x:v>
      </x:c>
      <x:c r="F7" s="6" t="str">
        <x:v>152****8168</x:v>
      </x:c>
      <x:c r="G7" s="6" t="str"/>
      <x:c r="H7" s="13" t="d">
        <x:v>2026-06-03T00:00:00.000Z</x:v>
      </x:c>
      <x:c r="I7" s="6" t="str">
        <x:v>供应商联系人和联系方式：周晓州-152****8168</x:v>
      </x:c>
      <x:c r="J7" s="6" t="str">
        <x:v>Q009</x:v>
      </x:c>
      <x:c r="K7" s="6" t="str">
        <x:v>关联或待核</x:v>
      </x:c>
      <x:c r="L7" s="6" t="str">
        <x:v>部分遮挡</x:v>
      </x:c>
    </x:row>
    <x:row r="8" ht="34" customHeight="1">
      <x:c r="A8" s="6" t="str">
        <x:v>R0003</x:v>
      </x:c>
      <x:c r="B8" s="6" t="str">
        <x:v>字段</x:v>
      </x:c>
      <x:c r="C8" s="18" t="n">
        <x:v>1</x:v>
      </x:c>
      <x:c r="D8" s="6" t="str">
        <x:v>比亚迪汽车销售有限公司</x:v>
      </x:c>
      <x:c r="E8" s="6" t="str">
        <x:v>公告供应商地址</x:v>
      </x:c>
      <x:c r="F8" s="6" t="str">
        <x:v>**省**市**区**省**市**新区比亚迪路3009号</x:v>
      </x:c>
      <x:c r="G8" s="6" t="str"/>
      <x:c r="H8" s="13" t="d">
        <x:v>2026-06-03T00:00:00.000Z</x:v>
      </x:c>
      <x:c r="I8" s="6" t="str">
        <x:v>供应商地址： **省**市**区**省**市**新区比亚迪路3009号</x:v>
      </x:c>
      <x:c r="J8" s="6" t="str">
        <x:v>Q009</x:v>
      </x:c>
      <x:c r="K8" s="6" t="str">
        <x:v>关联或待核</x:v>
      </x:c>
      <x:c r="L8" s="6" t="str">
        <x:v>部分遮挡</x:v>
      </x:c>
    </x:row>
    <x:row r="9" ht="34" customHeight="1">
      <x:c r="A9" s="6" t="str">
        <x:v>R0004</x:v>
      </x:c>
      <x:c r="B9" s="6" t="str">
        <x:v>字段</x:v>
      </x:c>
      <x:c r="C9" s="18" t="n">
        <x:v>1</x:v>
      </x:c>
      <x:c r="D9" s="6" t="str">
        <x:v>比亚迪汽车销售有限公司</x:v>
      </x:c>
      <x:c r="E9" s="6" t="str">
        <x:v>2026上海新能源公务车框架协议入围</x:v>
      </x:c>
      <x:c r="F9" s="6" t="str">
        <x:v>框架入围供应商</x:v>
      </x:c>
      <x:c r="G9" s="6" t="str"/>
      <x:c r="H9" s="13" t="d">
        <x:v>2026-06-03T00:00:00.000Z</x:v>
      </x:c>
      <x:c r="I9" s="6" t="str">
        <x:v>比亚迪汽车销售有限公司入围上海市2026年新能源公务用车框架协议采购的结果公告；（三）入围供应商</x:v>
      </x:c>
      <x:c r="J9" s="6" t="str">
        <x:v>Q009</x:v>
      </x:c>
      <x:c r="K9" s="6" t="str">
        <x:v>纳入核验字段</x:v>
      </x:c>
      <x:c r="L9" s="6" t="str">
        <x:v>标题与正文结构一致</x:v>
      </x:c>
    </x:row>
    <x:row r="10" ht="34" customHeight="1">
      <x:c r="A10" s="6" t="str">
        <x:v>R0005</x:v>
      </x:c>
      <x:c r="B10" s="6" t="str">
        <x:v>字段</x:v>
      </x:c>
      <x:c r="C10" s="18" t="n">
        <x:v>1</x:v>
      </x:c>
      <x:c r="D10" s="6" t="str">
        <x:v>比亚迪汽车销售有限公司</x:v>
      </x:c>
      <x:c r="E10" s="6" t="str">
        <x:v>夏218km超越型商品单价</x:v>
      </x:c>
      <x:c r="F10" s="14" t="str">
        <x:v>246800</x:v>
      </x:c>
      <x:c r="G10" s="6" t="str">
        <x:v>元/车</x:v>
      </x:c>
      <x:c r="H10" s="13" t="d">
        <x:v>2026-06-03T00:00:00.000Z</x:v>
      </x:c>
      <x:c r="I10" s="6" t="str">
        <x:v>品牌:比亚迪/byd 型号:2026款夏 218km超越型...246800元</x:v>
      </x:c>
      <x:c r="J10" s="6" t="str">
        <x:v>Q009</x:v>
      </x:c>
      <x:c r="K10" s="6" t="str">
        <x:v>纳入核验字段</x:v>
      </x:c>
      <x:c r="L10" s="6" t="str">
        <x:v>公开可读</x:v>
      </x:c>
    </x:row>
    <x:row r="11" ht="34" customHeight="1">
      <x:c r="A11" s="6" t="str">
        <x:v>R0006</x:v>
      </x:c>
      <x:c r="B11" s="6" t="str">
        <x:v>字段</x:v>
      </x:c>
      <x:c r="C11" s="18" t="n">
        <x:v>1</x:v>
      </x:c>
      <x:c r="D11" s="6" t="str">
        <x:v>比亚迪汽车销售有限公司</x:v>
      </x:c>
      <x:c r="E11" s="6" t="str">
        <x:v>宋Pro DM-i220km超越型商品单价</x:v>
      </x:c>
      <x:c r="F11" s="14" t="str">
        <x:v>122800</x:v>
      </x:c>
      <x:c r="G11" s="6" t="str">
        <x:v>元/车</x:v>
      </x:c>
      <x:c r="H11" s="13" t="d">
        <x:v>2026-06-03T00:00:00.000Z</x:v>
      </x:c>
      <x:c r="I11" s="6" t="str">
        <x:v>品牌:比亚迪/byd 型号:2026款宋Pro DM-i 220km超越型...122800元</x:v>
      </x:c>
      <x:c r="J11" s="6" t="str">
        <x:v>Q009</x:v>
      </x:c>
      <x:c r="K11" s="6" t="str">
        <x:v>纳入核验字段</x:v>
      </x:c>
      <x:c r="L11" s="6" t="str">
        <x:v>公开可读</x:v>
      </x:c>
    </x:row>
    <x:row r="12" ht="34" customHeight="1">
      <x:c r="A12" s="6" t="str">
        <x:v>R0007</x:v>
      </x:c>
      <x:c r="B12" s="6" t="str">
        <x:v>字段</x:v>
      </x:c>
      <x:c r="C12" s="18" t="n">
        <x:v>1</x:v>
      </x:c>
      <x:c r="D12" s="6" t="str">
        <x:v>比亚迪汽车销售有限公司</x:v>
      </x:c>
      <x:c r="E12" s="6" t="str">
        <x:v>秦PLUS DM-i210KM超越版商品单价</x:v>
      </x:c>
      <x:c r="F12" s="14" t="str">
        <x:v>99800</x:v>
      </x:c>
      <x:c r="G12" s="6" t="str">
        <x:v>元/车</x:v>
      </x:c>
      <x:c r="H12" s="13" t="d">
        <x:v>2026-06-03T00:00:00.000Z</x:v>
      </x:c>
      <x:c r="I12" s="6" t="str">
        <x:v>品牌:比亚迪/byd 型号:2026款秦PLUS DM-i 210KM超越版...99800元</x:v>
      </x:c>
      <x:c r="J12" s="6" t="str">
        <x:v>Q009</x:v>
      </x:c>
      <x:c r="K12" s="6" t="str">
        <x:v>纳入核验字段</x:v>
      </x:c>
      <x:c r="L12" s="6" t="str">
        <x:v>公开可读</x:v>
      </x:c>
    </x:row>
    <x:row r="13" ht="40" customHeight="1">
      <x:c r="A13" s="6" t="str">
        <x:v>R0008</x:v>
      </x:c>
      <x:c r="B13" s="6" t="str">
        <x:v>公告</x:v>
      </x:c>
      <x:c r="C13" s="18" t="n">
        <x:v>1</x:v>
      </x:c>
      <x:c r="D13" s="6" t="str">
        <x:v>成都比亚迪晶圆厂（项目名，法人未披露）</x:v>
      </x:c>
      <x:c r="E13" s="6" t="str">
        <x:v>26196,成都比亚迪晶圆厂扩容机电包,临建平台协议采购,成交公告</x:v>
      </x:c>
      <x:c r="F13" s="6" t="str">
        <x:v>成交价￥168334.57 (元)</x:v>
      </x:c>
      <x:c r="G13" s="6" t="str"/>
      <x:c r="H13" s="13" t="d">
        <x:v>2026-09-20T00:00:00.000Z</x:v>
      </x:c>
      <x:c r="I13" s="6" t="str">
        <x:v>26196,**比亚迪晶圆厂扩容机电包,临**台协议采购,成交公告；****，成交价￥168334.57 (元)</x:v>
      </x:c>
      <x:c r="J13" s="6" t="str">
        <x:v>Q001</x:v>
      </x:c>
      <x:c r="K13" s="6" t="str">
        <x:v>关联或待核</x:v>
      </x:c>
      <x:c r="L13" s="6" t="str">
        <x:v>关联或待核；不计比亚迪直接交易</x:v>
      </x:c>
    </x:row>
    <x:row r="14" ht="34" customHeight="1">
      <x:c r="A14" s="6" t="str">
        <x:v>R0009</x:v>
      </x:c>
      <x:c r="B14" s="6" t="str">
        <x:v>公告</x:v>
      </x:c>
      <x:c r="C14" s="18" t="n">
        <x:v>1</x:v>
      </x:c>
      <x:c r="D14" s="6" t="str">
        <x:v>比亚迪（项目名，法人未披露）</x:v>
      </x:c>
      <x:c r="E14" s="6" t="str">
        <x:v>新能源比亚迪项目用加工箱体询价采购中标公告</x:v>
      </x:c>
      <x:c r="F14" s="6" t="str"/>
      <x:c r="G14" s="6" t="str"/>
      <x:c r="H14" s="13" t="d">
        <x:v>2026-08-21T00:00:00.000Z</x:v>
      </x:c>
      <x:c r="I14" s="6" t="str">
        <x:v>****就新能源比亚迪项目用加工箱体询价在**松正采购系统进行了网上电子招标；中标单位：****</x:v>
      </x:c>
      <x:c r="J14" s="6" t="str">
        <x:v>Q002</x:v>
      </x:c>
      <x:c r="K14" s="6" t="str">
        <x:v>关联或待核</x:v>
      </x:c>
      <x:c r="L14" s="6" t="str">
        <x:v>关联或待核；不计比亚迪直接交易</x:v>
      </x:c>
    </x:row>
    <x:row r="15" ht="56" customHeight="1">
      <x:c r="A15" s="6" t="str">
        <x:v>R0010</x:v>
      </x:c>
      <x:c r="B15" s="6" t="str">
        <x:v>公告</x:v>
      </x:c>
      <x:c r="C15" s="18" t="n">
        <x:v>1</x:v>
      </x:c>
      <x:c r="D15" s="6" t="str">
        <x:v>宜昌比亚迪电池有限公司</x:v>
      </x:c>
      <x:c r="E15" s="6" t="str">
        <x:v>宜昌姚家港化工园（宝林片区）基础设施及综合管廊建设项目宜昌比亚迪电池有限公司10KV线路工程（主供）甲供材采购成交公告</x:v>
      </x:c>
      <x:c r="F15" s="6" t="str">
        <x:v>预算178.65万元；成交总价****850.00元（大写：壹佰柒拾肆万伍仟捌佰伍拾元整）；单价1030.00元/米</x:v>
      </x:c>
      <x:c r="G15" s="6" t="str"/>
      <x:c r="H15" s="13" t="d">
        <x:v>2026-09-22T00:00:00.000Z</x:v>
      </x:c>
      <x:c r="I15" s="6" t="str">
        <x:v>采购内容：采购一批10kV线路工程电缆；项目预算（最高限价）：178.65万元（包含税金及本项目有关一切费用）；采购人：****；联系人：董群民</x:v>
      </x:c>
      <x:c r="J15" s="6" t="str">
        <x:v>Q003</x:v>
      </x:c>
      <x:c r="K15" s="6" t="str">
        <x:v>关联或待核</x:v>
      </x:c>
      <x:c r="L15" s="6" t="str">
        <x:v>关联或待核；不计比亚迪直接交易</x:v>
      </x:c>
    </x:row>
    <x:row r="16" ht="40" customHeight="1">
      <x:c r="A16" s="6" t="str">
        <x:v>R0011</x:v>
      </x:c>
      <x:c r="B16" s="6" t="str">
        <x:v>公告</x:v>
      </x:c>
      <x:c r="C16" s="18" t="n">
        <x:v>1</x:v>
      </x:c>
      <x:c r="D16" s="6" t="str">
        <x:v>比亚迪公司（公告简称，完整法人待核）</x:v>
      </x:c>
      <x:c r="E16" s="6" t="str">
        <x:v>比亚迪公司流化床采购项目（二次）中标候选人公示</x:v>
      </x:c>
      <x:c r="F16" s="6" t="str">
        <x:v>不含税投标总价：****548.67元，含税投标总价：****000.00元</x:v>
      </x:c>
      <x:c r="G16" s="6" t="str"/>
      <x:c r="H16" s="13" t="d">
        <x:v>2026-08-19T00:00:00.000Z</x:v>
      </x:c>
      <x:c r="I16" s="6" t="str">
        <x:v>****公司流化床采购项目（二次）中标候选人公示；招标人：****；公示期：2026年8月19日至2026年8月24日12时00分。</x:v>
      </x:c>
      <x:c r="J16" s="6" t="str">
        <x:v>Q004</x:v>
      </x:c>
      <x:c r="K16" s="6" t="str">
        <x:v>跨平台同公告去重</x:v>
      </x:c>
      <x:c r="L16" s="6" t="str">
        <x:v>与O008同标题、同日、同公示期；优先原始公告</x:v>
      </x:c>
    </x:row>
    <x:row r="17" ht="40" customHeight="1">
      <x:c r="A17" s="6" t="str">
        <x:v>R0012</x:v>
      </x:c>
      <x:c r="B17" s="6" t="str">
        <x:v>公告</x:v>
      </x:c>
      <x:c r="C17" s="18" t="n">
        <x:v>1</x:v>
      </x:c>
      <x:c r="D17" s="6" t="str">
        <x:v>比亚迪公司（公告简称，完整法人待核）</x:v>
      </x:c>
      <x:c r="E17" s="6" t="str">
        <x:v>比亚迪公司分级机采购项目（二次）中标候选人公示</x:v>
      </x:c>
      <x:c r="F17" s="6" t="str">
        <x:v>不含税投标总价：319000.00元，含税投标总价：360470.00元</x:v>
      </x:c>
      <x:c r="G17" s="6" t="str"/>
      <x:c r="H17" s="13" t="d">
        <x:v>2026-08-18T00:00:00.000Z</x:v>
      </x:c>
      <x:c r="I17" s="6" t="str">
        <x:v>（2）不含税投标总价：319000.00元，含税投标总价：360470.00元；经评审，****综合排名第一。</x:v>
      </x:c>
      <x:c r="J17" s="6" t="str">
        <x:v>Q005</x:v>
      </x:c>
      <x:c r="K17" s="6" t="str">
        <x:v>关联或待核</x:v>
      </x:c>
      <x:c r="L17" s="6" t="str">
        <x:v>关联或待核；不计比亚迪直接交易</x:v>
      </x:c>
    </x:row>
    <x:row r="18" ht="40" customHeight="1">
      <x:c r="A18" s="6" t="str">
        <x:v>R0013</x:v>
      </x:c>
      <x:c r="B18" s="6" t="str">
        <x:v>公告</x:v>
      </x:c>
      <x:c r="C18" s="18" t="n">
        <x:v>1</x:v>
      </x:c>
      <x:c r="D18" s="6" t="str">
        <x:v>比亚迪公司（公告简称，完整法人待核）</x:v>
      </x:c>
      <x:c r="E18" s="6" t="str">
        <x:v>比亚迪公司除铁器采购项目中标候选人公示</x:v>
      </x:c>
      <x:c r="F18" s="6" t="str">
        <x:v>不含税投标总价：126371.68元，含税投标总价：142800.00元</x:v>
      </x:c>
      <x:c r="G18" s="6" t="str"/>
      <x:c r="H18" s="13" t="d">
        <x:v>2026-08-18T00:00:00.000Z</x:v>
      </x:c>
      <x:c r="I18" s="6" t="str">
        <x:v>（2）不含税投标总价：126371.68元，含税投标总价：142800.00元；（3）交货期：签订合同后44天内交货。</x:v>
      </x:c>
      <x:c r="J18" s="6" t="str">
        <x:v>Q006</x:v>
      </x:c>
      <x:c r="K18" s="6" t="str">
        <x:v>关联或待核</x:v>
      </x:c>
      <x:c r="L18" s="6" t="str">
        <x:v>关联或待核；不计比亚迪直接交易</x:v>
      </x:c>
    </x:row>
    <x:row r="19" ht="40" customHeight="1">
      <x:c r="A19" s="6" t="str">
        <x:v>R0014</x:v>
      </x:c>
      <x:c r="B19" s="6" t="str">
        <x:v>公告</x:v>
      </x:c>
      <x:c r="C19" s="18" t="n">
        <x:v>1</x:v>
      </x:c>
      <x:c r="D19" s="6" t="str">
        <x:v>比亚迪（闪充站项目名，法人未披露）</x:v>
      </x:c>
      <x:c r="E19" s="6" t="str">
        <x:v>比亚迪1.5万个站中站闪充站建设东北站中站建设项目劳务采购中标候选人公示</x:v>
      </x:c>
      <x:c r="F19" s="6" t="str">
        <x:v>001合同包第一候选2,558,141.46 CNY-元；002合同包第一候选3,421,551.61 CNY-元</x:v>
      </x:c>
      <x:c r="G19" s="6" t="str"/>
      <x:c r="H19" s="13" t="d">
        <x:v>2026-08-18T00:00:00.000Z</x:v>
      </x:c>
      <x:c r="I19" s="6" t="str">
        <x:v>JTGC-2026-103-001合同包；第1中标候选人；投标报价(CNY-元) 2,558,141.46；JTGC-2026-103-002合同包 3,421,551.61</x:v>
      </x:c>
      <x:c r="J19" s="6" t="str">
        <x:v>Q007</x:v>
      </x:c>
      <x:c r="K19" s="6" t="str">
        <x:v>关联或待核</x:v>
      </x:c>
      <x:c r="L19" s="6" t="str">
        <x:v>关联或待核；不计比亚迪直接交易</x:v>
      </x:c>
    </x:row>
    <x:row r="20" ht="40" customHeight="1">
      <x:c r="A20" s="6" t="str">
        <x:v>R0015</x:v>
      </x:c>
      <x:c r="B20" s="6" t="str">
        <x:v>公告</x:v>
      </x:c>
      <x:c r="C20" s="18" t="n">
        <x:v>1</x:v>
      </x:c>
      <x:c r="D20" s="6" t="str">
        <x:v>汕尾弗迪电池有限公司</x:v>
      </x:c>
      <x:c r="E20" s="6" t="str">
        <x:v>汕尾弗迪电池有限公司中压业扩配套电缆管道工程结果公告</x:v>
      </x:c>
      <x:c r="F20" s="6" t="str">
        <x:v>2,955,708.66元</x:v>
      </x:c>
      <x:c r="G20" s="6" t="str"/>
      <x:c r="H20" s="13" t="d">
        <x:v>2026-08-20T00:00:00.000Z</x:v>
      </x:c>
      <x:c r="I20" s="6" t="str">
        <x:v>合同包1(****公司中压业扩配套电缆管道工程)；中标（成交）金额 2,955,708.66元；附件：中小企业或残疾人福利单位声明函（湖南华邦建设有限公司）.pdf</x:v>
      </x:c>
      <x:c r="J20" s="6" t="str">
        <x:v>Q008</x:v>
      </x:c>
      <x:c r="K20" s="6" t="str">
        <x:v>关联或待核</x:v>
      </x:c>
      <x:c r="L20" s="6" t="str">
        <x:v>关联或待核；不计比亚迪直接交易</x:v>
      </x:c>
    </x:row>
    <x:row r="21" ht="40" customHeight="1">
      <x:c r="A21" s="6" t="str">
        <x:v>R0016</x:v>
      </x:c>
      <x:c r="B21" s="6" t="str">
        <x:v>公告</x:v>
      </x:c>
      <x:c r="C21" s="18" t="n">
        <x:v>1</x:v>
      </x:c>
      <x:c r="D21" s="6" t="str">
        <x:v>比亚迪汽车销售有限公司</x:v>
      </x:c>
      <x:c r="E21" s="6" t="str">
        <x:v>比亚迪汽车销售有限公司入围上海市2026年新能源公务用车框架协议采购的结果公告</x:v>
      </x:c>
      <x:c r="F21" s="6" t="str">
        <x:v>入围商品单价：夏218km超越型246800元；宋Pro DM-i220km超越型122800元；秦PLUS DM-i210KM超越版99800元</x:v>
      </x:c>
      <x:c r="G21" s="6" t="str"/>
      <x:c r="H21" s="13" t="d">
        <x:v>2026-06-03T00:00:00.000Z</x:v>
      </x:c>
      <x:c r="I21" s="6" t="str">
        <x:v>（三）入围供应商；供应商联系人和联系方式：周晓州-152****8168；（四）入围产品；246800元；122800元；99800元</x:v>
      </x:c>
      <x:c r="J21" s="6" t="str">
        <x:v>Q009</x:v>
      </x:c>
      <x:c r="K21" s="6" t="str">
        <x:v>纳入直接招采</x:v>
      </x:c>
      <x:c r="L21" s="6" t="str">
        <x:v>已核验主体角色和公告正文</x:v>
      </x:c>
    </x:row>
    <x:row r="22" ht="40" customHeight="1">
      <x:c r="A22" s="6" t="str">
        <x:v>R0017</x:v>
      </x:c>
      <x:c r="B22" s="6" t="str">
        <x:v>公告</x:v>
      </x:c>
      <x:c r="C22" s="18" t="n">
        <x:v>1</x:v>
      </x:c>
      <x:c r="D22" s="6" t="str">
        <x:v>比亚迪（闪充站项目名，法人未披露）</x:v>
      </x:c>
      <x:c r="E22" s="6" t="str">
        <x:v>比亚迪1.5万个站中站闪充站建设西北站中站建设项目劳务采购中标候选人公示</x:v>
      </x:c>
      <x:c r="F22" s="6" t="str">
        <x:v>001包第一候选2,227,320.00 CNY-元；002包第一候选3,959,251.20 CNY-元；003包3,958,740.00（原排版缺列名）</x:v>
      </x:c>
      <x:c r="G22" s="6" t="str"/>
      <x:c r="H22" s="13" t="d">
        <x:v>2026-08-19T00:00:00.000Z</x:v>
      </x:c>
      <x:c r="I22" s="6" t="str">
        <x:v>JTGC-2026-102-001合同包；投标报价(CNY-元) 2,227,320.00；JTGC-2026-102-002合同包 3,959,251.20</x:v>
      </x:c>
      <x:c r="J22" s="6" t="str">
        <x:v>Q010</x:v>
      </x:c>
      <x:c r="K22" s="6" t="str">
        <x:v>关联或待核</x:v>
      </x:c>
      <x:c r="L22" s="6" t="str">
        <x:v>关联或待核；不计比亚迪直接交易</x:v>
      </x:c>
    </x:row>
    <x:row r="23" ht="34" customHeight="1">
      <x:c r="A23" s="6" t="str">
        <x:v>R0018</x:v>
      </x:c>
      <x:c r="B23" s="6" t="str">
        <x:v>公告</x:v>
      </x:c>
      <x:c r="C23" s="18" t="n">
        <x:v>1</x:v>
      </x:c>
      <x:c r="D23" s="6" t="str">
        <x:v>比亚迪公司（公告简称，完整法人待核）</x:v>
      </x:c>
      <x:c r="E23" s="6" t="str">
        <x:v>比亚迪公司空压机采购项目（二次）-（标包一）招标公告</x:v>
      </x:c>
      <x:c r="F23" s="6" t="str">
        <x:v>项目不含税预算金额100万元</x:v>
      </x:c>
      <x:c r="G23" s="6" t="str"/>
      <x:c r="H23" s="13" t="d">
        <x:v>2026-09-21T00:00:00.000Z</x:v>
      </x:c>
      <x:c r="I23" s="6" t="str">
        <x:v>拟拟选定一家供应商为招标人提供1套微油变频螺杆空压机及后处理设备；项目不含税预算金额100万元。</x:v>
      </x:c>
      <x:c r="J23" s="6" t="str">
        <x:v>Q011</x:v>
      </x:c>
      <x:c r="K23" s="6" t="str">
        <x:v>关联或待核</x:v>
      </x:c>
      <x:c r="L23" s="6" t="str">
        <x:v>关联或待核；不计比亚迪直接交易</x:v>
      </x:c>
    </x:row>
    <x:row r="24" ht="40" customHeight="1">
      <x:c r="A24" s="6" t="str">
        <x:v>R0019</x:v>
      </x:c>
      <x:c r="B24" s="6" t="str">
        <x:v>公告</x:v>
      </x:c>
      <x:c r="C24" s="18" t="n">
        <x:v>1</x:v>
      </x:c>
      <x:c r="D24" s="6" t="str">
        <x:v>比亚迪公司（公告简称，完整法人待核）</x:v>
      </x:c>
      <x:c r="E24" s="6" t="str">
        <x:v>比亚迪公司空压机采购项目（标包一）招标公告</x:v>
      </x:c>
      <x:c r="F24" s="6" t="str">
        <x:v>项目不含税预算金额100万元</x:v>
      </x:c>
      <x:c r="G24" s="6" t="str"/>
      <x:c r="H24" s="13" t="d">
        <x:v>2026-08-31T00:00:00.000Z</x:v>
      </x:c>
      <x:c r="I24" s="6" t="str">
        <x:v>2.3项目预算及付款条件：项目不含税预算金额100万元。付款条件：预付30%,发货前凭票付30%，验收合格后付30%，质保1年满付10%。</x:v>
      </x:c>
      <x:c r="J24" s="6" t="str">
        <x:v>Q012</x:v>
      </x:c>
      <x:c r="K24" s="6" t="str">
        <x:v>关联或待核</x:v>
      </x:c>
      <x:c r="L24" s="6" t="str">
        <x:v>关联或待核；不计比亚迪直接交易</x:v>
      </x:c>
    </x:row>
    <x:row r="25" ht="40" customHeight="1">
      <x:c r="A25" s="6" t="str">
        <x:v>R0020</x:v>
      </x:c>
      <x:c r="B25" s="6" t="str">
        <x:v>公告</x:v>
      </x:c>
      <x:c r="C25" s="18" t="n">
        <x:v>1</x:v>
      </x:c>
      <x:c r="D25" s="6" t="str">
        <x:v>BYD（汽车滚装项目名，法人未披露）</x:v>
      </x:c>
      <x:c r="E25" s="6" t="str">
        <x:v>【询价公告】BYD汽车滚装作业外包服务项目（第二次）</x:v>
      </x:c>
      <x:c r="F25" s="6" t="str">
        <x:v>项目预算：76.38万元；最高单价限价7元/m3</x:v>
      </x:c>
      <x:c r="G25" s="6" t="str"/>
      <x:c r="H25" s="13" t="d">
        <x:v>2026-09-01T00:00:00.000Z</x:v>
      </x:c>
      <x:c r="I25" s="6" t="str">
        <x:v>项目地点：吕四港物流基地及吕四港区；投标截止时间为：【2026】年【09】月【04】日【9】时【30】分。</x:v>
      </x:c>
      <x:c r="J25" s="6" t="str">
        <x:v>Q013</x:v>
      </x:c>
      <x:c r="K25" s="6" t="str">
        <x:v>关联或待核</x:v>
      </x:c>
      <x:c r="L25" s="6" t="str">
        <x:v>关联或待核；不计比亚迪直接交易</x:v>
      </x:c>
    </x:row>
    <x:row r="26" ht="40" customHeight="1">
      <x:c r="A26" s="6" t="str">
        <x:v>R0021</x:v>
      </x:c>
      <x:c r="B26" s="6" t="str">
        <x:v>公告</x:v>
      </x:c>
      <x:c r="C26" s="18" t="n">
        <x:v>1</x:v>
      </x:c>
      <x:c r="D26" s="6" t="str">
        <x:v>比亚迪（闪充站项目名，法人未披露）</x:v>
      </x:c>
      <x:c r="E26" s="6" t="str">
        <x:v>比亚迪1.5万个站中站闪充站建设华东+华北站中站建设项目06包镀锌钢管、扁铁、桥架物资采购</x:v>
      </x:c>
      <x:c r="F26" s="6" t="str"/>
      <x:c r="G26" s="6" t="str"/>
      <x:c r="H26" s="13" t="d">
        <x:v>2026-08-07T00:00:00.000Z</x:v>
      </x:c>
      <x:c r="I26" s="6" t="str">
        <x:v>2.1工程概况：比亚迪华东+华北片区827处充电站中站建设；2.2工程地点：浙江省、上海市；2.3...JTGC-2026-101-006合同包</x:v>
      </x:c>
      <x:c r="J26" s="6" t="str">
        <x:v>Q014</x:v>
      </x:c>
      <x:c r="K26" s="6" t="str">
        <x:v>关联或待核</x:v>
      </x:c>
      <x:c r="L26" s="6" t="str">
        <x:v>关联或待核；不计比亚迪直接交易</x:v>
      </x:c>
    </x:row>
    <x:row r="27" ht="40" customHeight="1">
      <x:c r="A27" s="6" t="str">
        <x:v>R0022</x:v>
      </x:c>
      <x:c r="B27" s="6" t="str">
        <x:v>公告</x:v>
      </x:c>
      <x:c r="C27" s="18" t="n">
        <x:v>1</x:v>
      </x:c>
      <x:c r="D27" s="6" t="str">
        <x:v>比亚迪（闪充站项目名，法人未披露）</x:v>
      </x:c>
      <x:c r="E27" s="6" t="str">
        <x:v>比亚迪1.5万个站中站闪充站建设西北站中站建设项目04包镀锌钢管、扁铁、桥架物资采购</x:v>
      </x:c>
      <x:c r="F27" s="6" t="str"/>
      <x:c r="G27" s="6" t="str"/>
      <x:c r="H27" s="13" t="d">
        <x:v>2026-08-07T00:00:00.000Z</x:v>
      </x:c>
      <x:c r="I27" s="6" t="str">
        <x:v>建设规模：西北片区205处充电站中站建设；JTGC-2026-102-004合同包为镀锌钢管、扁铁、桥架采购</x:v>
      </x:c>
      <x:c r="J27" s="6" t="str">
        <x:v>Q015</x:v>
      </x:c>
      <x:c r="K27" s="6" t="str">
        <x:v>关联或待核</x:v>
      </x:c>
      <x:c r="L27" s="6" t="str">
        <x:v>关联或待核；不计比亚迪直接交易</x:v>
      </x:c>
    </x:row>
    <x:row r="28" ht="40" customHeight="1">
      <x:c r="A28" s="6" t="str">
        <x:v>R0023</x:v>
      </x:c>
      <x:c r="B28" s="6" t="str">
        <x:v>公告</x:v>
      </x:c>
      <x:c r="C28" s="18" t="n">
        <x:v>1</x:v>
      </x:c>
      <x:c r="D28" s="6" t="str">
        <x:v>比亚迪品牌；弗迪动力电池品牌</x:v>
      </x:c>
      <x:c r="E28" s="6" t="str">
        <x:v>15辆比亚迪BYD6810LZEV4型纯电公交车动力电池更换及电机、电控延保项目询比采购公告</x:v>
      </x:c>
      <x:c r="F28" s="6" t="str">
        <x:v>最高限价214.4688万元</x:v>
      </x:c>
      <x:c r="G28" s="6" t="str"/>
      <x:c r="H28" s="13" t="d">
        <x:v>2026-08-06T00:00:00.000Z</x:v>
      </x:c>
      <x:c r="I28" s="6" t="str">
        <x:v>2017年购置的比亚迪牌BYD6810LZEV4型15辆，原车动力电池品牌为弗迪...1.3最高限价：214.4688万元。</x:v>
      </x:c>
      <x:c r="J28" s="6" t="str">
        <x:v>Q016</x:v>
      </x:c>
      <x:c r="K28" s="6" t="str">
        <x:v>关联或待核</x:v>
      </x:c>
      <x:c r="L28" s="6" t="str">
        <x:v>关联或待核；不计比亚迪直接交易</x:v>
      </x:c>
    </x:row>
    <x:row r="29" ht="40" customHeight="1">
      <x:c r="A29" s="6" t="str">
        <x:v>R0024</x:v>
      </x:c>
      <x:c r="B29" s="6" t="str">
        <x:v>公告</x:v>
      </x:c>
      <x:c r="C29" s="18" t="n">
        <x:v>1</x:v>
      </x:c>
      <x:c r="D29" s="6" t="str">
        <x:v>比亚迪厂区（具体企业未披露）</x:v>
      </x:c>
      <x:c r="E29" s="6" t="str">
        <x:v>比亚迪厂区周边停车场一期项目工程总承包-公开招标公告</x:v>
      </x:c>
      <x:c r="F29" s="6" t="str"/>
      <x:c r="G29" s="6" t="str"/>
      <x:c r="H29" s="13" t="d">
        <x:v>2026-07-31T00:00:00.000Z</x:v>
      </x:c>
      <x:c r="I29" s="6" t="str">
        <x:v>比亚迪厂区周边停车场一期项目工程总承包竞争性磋商公告；监督部门：陕西西咸新区秦汉城市发展集团有限公司成本合约部</x:v>
      </x:c>
      <x:c r="J29" s="6" t="str">
        <x:v>Q017</x:v>
      </x:c>
      <x:c r="K29" s="6" t="str">
        <x:v>关联或待核</x:v>
      </x:c>
      <x:c r="L29" s="6" t="str">
        <x:v>关联或待核；不计比亚迪直接交易</x:v>
      </x:c>
    </x:row>
    <x:row r="30" ht="34" customHeight="1">
      <x:c r="A30" s="6" t="str">
        <x:v>R0025</x:v>
      </x:c>
      <x:c r="B30" s="6" t="str">
        <x:v>公告</x:v>
      </x:c>
      <x:c r="C30" s="18" t="n">
        <x:v>1</x:v>
      </x:c>
      <x:c r="D30" s="6" t="str">
        <x:v>比亚迪（外电接入项目名，法人未披露）</x:v>
      </x:c>
      <x:c r="E30" s="6" t="str">
        <x:v>比亚迪外电接入电缆及电气设施采购项目招标公告</x:v>
      </x:c>
      <x:c r="F30" s="6" t="str">
        <x:v>预算****.50元；最高限价****.50元</x:v>
      </x:c>
      <x:c r="G30" s="6" t="str"/>
      <x:c r="H30" s="13" t="d">
        <x:v>2026-04-17T00:00:00.000Z</x:v>
      </x:c>
      <x:c r="I30" s="6" t="str">
        <x:v>政府采购编号：****；采购标段预算：****.50元；采购标段最高限价...****.50元</x:v>
      </x:c>
      <x:c r="J30" s="6" t="str">
        <x:v>Q018</x:v>
      </x:c>
      <x:c r="K30" s="6" t="str">
        <x:v>关联或待核</x:v>
      </x:c>
      <x:c r="L30" s="6" t="str">
        <x:v>关联或待核；不计比亚迪直接交易</x:v>
      </x:c>
    </x:row>
    <x:row r="31" ht="40" customHeight="1">
      <x:c r="A31" s="6" t="str">
        <x:v>R0026</x:v>
      </x:c>
      <x:c r="B31" s="6" t="str">
        <x:v>公告</x:v>
      </x:c>
      <x:c r="C31" s="18" t="n">
        <x:v>1</x:v>
      </x:c>
      <x:c r="D31" s="6" t="str">
        <x:v>比亚迪（零部件配套产业项目名，法人未披露）</x:v>
      </x:c>
      <x:c r="E31" s="6" t="str">
        <x:v>[安徽建工交航]阜南县比亚迪汽车零部件配套产业建设（二期）项目一标段机电安装工程施工招标公告</x:v>
      </x:c>
      <x:c r="F31" s="6" t="str">
        <x:v>预估金额1051.88万元（含9%增值税），具体以控制价为准</x:v>
      </x:c>
      <x:c r="G31" s="6" t="str"/>
      <x:c r="H31" s="13" t="d">
        <x:v>2026-04-24T00:00:00.000Z</x:v>
      </x:c>
      <x:c r="I31" s="6" t="str">
        <x:v>本次招标内容为机电安装工程施工...全部机电安装工程专业分包内容；预估金额：1051.88万元（含9%增值税）</x:v>
      </x:c>
      <x:c r="J31" s="6" t="str">
        <x:v>Q019</x:v>
      </x:c>
      <x:c r="K31" s="6" t="str">
        <x:v>关联或待核</x:v>
      </x:c>
      <x:c r="L31" s="6" t="str">
        <x:v>关联或待核；不计比亚迪直接交易</x:v>
      </x:c>
    </x:row>
    <x:row r="32" ht="34" customHeight="1">
      <x:c r="A32" s="6" t="str">
        <x:v>R0027</x:v>
      </x:c>
      <x:c r="B32" s="6" t="str">
        <x:v>公告</x:v>
      </x:c>
      <x:c r="C32" s="18" t="n">
        <x:v>1</x:v>
      </x:c>
      <x:c r="D32" s="6" t="str">
        <x:v>比亚迪（运输项目名，法人未披露）</x:v>
      </x:c>
      <x:c r="E32" s="6" t="str">
        <x:v>2026年陕西比亚迪运输项目招采招标公告</x:v>
      </x:c>
      <x:c r="F32" s="6" t="str"/>
      <x:c r="G32" s="6" t="str"/>
      <x:c r="H32" s="13" t="d">
        <x:v>2026-06-25T00:00:00.000Z</x:v>
      </x:c>
      <x:c r="I32" s="6" t="str">
        <x:v>招标名称：2026年陕西比亚迪运输项目招采；招标总线路数：1；区域：西北</x:v>
      </x:c>
      <x:c r="J32" s="6" t="str">
        <x:v>Q020</x:v>
      </x:c>
      <x:c r="K32" s="6" t="str">
        <x:v>关联或待核</x:v>
      </x:c>
      <x:c r="L32" s="6" t="str">
        <x:v>关联或待核；不计比亚迪直接交易</x:v>
      </x:c>
    </x:row>
    <x:row r="33" ht="40" customHeight="1">
      <x:c r="A33" s="6" t="str">
        <x:v>R0028</x:v>
      </x:c>
      <x:c r="B33" s="6" t="str">
        <x:v>公告</x:v>
      </x:c>
      <x:c r="C33" s="18" t="n">
        <x:v>1</x:v>
      </x:c>
      <x:c r="D33" s="6" t="str">
        <x:v>比亚迪SC6EBU（铸件相关产品名）</x:v>
      </x:c>
      <x:c r="E33" s="6" t="str">
        <x:v>中信戴卡股份有限公司铸件刀具-byd采购结果公告</x:v>
      </x:c>
      <x:c r="F33" s="6" t="str"/>
      <x:c r="G33" s="6" t="str"/>
      <x:c r="H33" s="13" t="d">
        <x:v>2026-09-18T00:00:00.000Z</x:v>
      </x:c>
      <x:c r="I33" s="6" t="str">
        <x:v>项目名称：铸件刀具-byd；物料描述：直柄直槽钻;****608_比亚迪SC6EBU后转;T16-01;D12.6;合金；成交供应商：****</x:v>
      </x:c>
      <x:c r="J33" s="6" t="str">
        <x:v>Q021</x:v>
      </x:c>
      <x:c r="K33" s="6" t="str">
        <x:v>关联或待核</x:v>
      </x:c>
      <x:c r="L33" s="6" t="str">
        <x:v>关联或待核；不计比亚迪直接交易</x:v>
      </x:c>
    </x:row>
    <x:row r="34" ht="40" customHeight="1">
      <x:c r="A34" s="6" t="str">
        <x:v>R0029</x:v>
      </x:c>
      <x:c r="B34" s="6" t="str">
        <x:v>公告</x:v>
      </x:c>
      <x:c r="C34" s="18" t="n">
        <x:v>1</x:v>
      </x:c>
      <x:c r="D34" s="6" t="str">
        <x:v>比亚迪品牌</x:v>
      </x:c>
      <x:c r="E34" s="6" t="str">
        <x:v>佳业公司比亚迪品牌整车运输项目成交结果公告</x:v>
      </x:c>
      <x:c r="F34" s="6" t="str"/>
      <x:c r="G34" s="6" t="str"/>
      <x:c r="H34" s="13" t="d">
        <x:v>2026-01-07T00:00:00.000Z</x:v>
      </x:c>
      <x:c r="I34" s="6" t="str">
        <x:v>采购方式：直接采购；采购项目名称：佳业公司比亚迪品牌整车运输项目；采购人联系人：郑伟；电子邮箱：zhengweiwl_yqwl@faw.****.cn</x:v>
      </x:c>
      <x:c r="J34" s="6" t="str">
        <x:v>Q023</x:v>
      </x:c>
      <x:c r="K34" s="6" t="str">
        <x:v>关联或待核</x:v>
      </x:c>
      <x:c r="L34" s="6" t="str">
        <x:v>关联或待核；不计比亚迪直接交易</x:v>
      </x:c>
    </x:row>
    <x:row r="35" ht="40" customHeight="1">
      <x:c r="A35" s="6" t="str">
        <x:v>R0030</x:v>
      </x:c>
      <x:c r="B35" s="6" t="str">
        <x:v>公告</x:v>
      </x:c>
      <x:c r="C35" s="18" t="n">
        <x:v>1</x:v>
      </x:c>
      <x:c r="D35" s="6" t="str">
        <x:v>比亚迪新能源公交车品牌</x:v>
      </x:c>
      <x:c r="E35" s="6" t="str">
        <x:v>江苏金湖公共交通有限公司关于31台比亚迪新能源公交车动力电池更新采购项目竞争性磋商成交公告</x:v>
      </x:c>
      <x:c r="F35" s="6" t="str">
        <x:v>人民币叁佰捌拾贰万元整（****000元）</x:v>
      </x:c>
      <x:c r="G35" s="6" t="str"/>
      <x:c r="H35" s="13" t="d">
        <x:v>2026-08-18T00:00:00.000Z</x:v>
      </x:c>
      <x:c r="I35" s="6" t="str">
        <x:v>供应商名称：****；供应商地址：**市**区柘塘镇滨淮大道369号；中标（成交）金额：人民币叁佰捌拾贰万元整</x:v>
      </x:c>
      <x:c r="J35" s="6" t="str">
        <x:v>Q024</x:v>
      </x:c>
      <x:c r="K35" s="6" t="str">
        <x:v>关联或待核</x:v>
      </x:c>
      <x:c r="L35" s="6" t="str">
        <x:v>关联或待核；不计比亚迪直接交易</x:v>
      </x:c>
    </x:row>
    <x:row r="36" ht="40" customHeight="1">
      <x:c r="A36" s="6" t="str">
        <x:v>R0031</x:v>
      </x:c>
      <x:c r="B36" s="6" t="str">
        <x:v>公告</x:v>
      </x:c>
      <x:c r="C36" s="18" t="n">
        <x:v>1</x:v>
      </x:c>
      <x:c r="D36" s="6" t="str">
        <x:v>比亚迪公司（公告简称，完整法人待核）</x:v>
      </x:c>
      <x:c r="E36" s="6" t="str">
        <x:v>比亚迪公司场发射扫描电子显微镜采购项目（二次）招标公告</x:v>
      </x:c>
      <x:c r="F36" s="6" t="str">
        <x:v>项目不含税预算金额390万元</x:v>
      </x:c>
      <x:c r="G36" s="6" t="str"/>
      <x:c r="H36" s="13" t="d">
        <x:v>2026-09-01T00:00:00.000Z</x:v>
      </x:c>
      <x:c r="I36" s="6" t="str">
        <x:v>拟选定一家供应商为招标人提供场发射扫描电子显微镜1台；项目不含税预算金额390万元；交货期限：签订合同后180天内交货。</x:v>
      </x:c>
      <x:c r="J36" s="6" t="str">
        <x:v>Q025</x:v>
      </x:c>
      <x:c r="K36" s="6" t="str">
        <x:v>关联或待核</x:v>
      </x:c>
      <x:c r="L36" s="6" t="str">
        <x:v>关联或待核；不计比亚迪直接交易</x:v>
      </x:c>
    </x:row>
    <x:row r="37" ht="40" customHeight="1">
      <x:c r="A37" s="6" t="str">
        <x:v>R0032</x:v>
      </x:c>
      <x:c r="B37" s="6" t="str">
        <x:v>公告</x:v>
      </x:c>
      <x:c r="C37" s="18" t="n">
        <x:v>1</x:v>
      </x:c>
      <x:c r="D37" s="6" t="str">
        <x:v>比亚迪（外电接入项目名，法人未披露）</x:v>
      </x:c>
      <x:c r="E37" s="6" t="str">
        <x:v>湖南自由贸易试验区临空产业投资集团有限公司比亚迪外电接入电缆及电气设施采购项目采购需求公开</x:v>
      </x:c>
      <x:c r="F37" s="6" t="str"/>
      <x:c r="G37" s="6" t="str"/>
      <x:c r="H37" s="13" t="d">
        <x:v>2026-04-17T00:00:00.000Z</x:v>
      </x:c>
      <x:c r="I37" s="6" t="str">
        <x:v>本项目为比亚迪外电接入电缆及电气设施采购项目...电力电缆、中间熔接头、防火堵料等材料的采购与供货，以及上述设施的安装、调试、送电、验收等全部工作。</x:v>
      </x:c>
      <x:c r="J37" s="6" t="str">
        <x:v>Q026</x:v>
      </x:c>
      <x:c r="K37" s="6" t="str">
        <x:v>关联或待核</x:v>
      </x:c>
      <x:c r="L37" s="6" t="str">
        <x:v>关联或待核；不计比亚迪直接交易</x:v>
      </x:c>
    </x:row>
    <x:row r="38" ht="34" customHeight="1">
      <x:c r="A38" s="6" t="str">
        <x:v>R0033</x:v>
      </x:c>
      <x:c r="B38" s="6" t="str">
        <x:v>公告</x:v>
      </x:c>
      <x:c r="C38" s="18" t="n">
        <x:v>1</x:v>
      </x:c>
      <x:c r="D38" s="6" t="str">
        <x:v>比亚迪领汇E7品牌</x:v>
      </x:c>
      <x:c r="E38" s="6" t="str">
        <x:v>采购5台比亚迪领汇E7网约车预成交公示</x:v>
      </x:c>
      <x:c r="F38" s="6" t="str">
        <x:v>人民币（元）519000.00</x:v>
      </x:c>
      <x:c r="G38" s="6" t="str"/>
      <x:c r="H38" s="13" t="d">
        <x:v>2026-09-19T00:00:00.000Z</x:v>
      </x:c>
      <x:c r="I38" s="6" t="str">
        <x:v>预成交单位：徐州宇隆汽车销售服务有限公司；人民币（元）519000.00；排名1</x:v>
      </x:c>
      <x:c r="J38" s="6" t="str">
        <x:v>Q027</x:v>
      </x:c>
      <x:c r="K38" s="6" t="str">
        <x:v>关联或待核</x:v>
      </x:c>
      <x:c r="L38" s="6" t="str">
        <x:v>关联或待核；不计比亚迪直接交易</x:v>
      </x:c>
    </x:row>
    <x:row r="39" ht="34" customHeight="1">
      <x:c r="A39" s="6" t="str">
        <x:v>R0034</x:v>
      </x:c>
      <x:c r="B39" s="6" t="str">
        <x:v>公告</x:v>
      </x:c>
      <x:c r="C39" s="18" t="n">
        <x:v>1</x:v>
      </x:c>
      <x:c r="D39" s="6" t="str">
        <x:v>BYD叉车电池总成品牌</x:v>
      </x:c>
      <x:c r="E39" s="6" t="str">
        <x:v>叉车电池总成BYD中标结果</x:v>
      </x:c>
      <x:c r="F39" s="6" t="str"/>
      <x:c r="G39" s="6" t="str"/>
      <x:c r="H39" s="13" t="d">
        <x:v>2026-08-30T00:00:00.000Z</x:v>
      </x:c>
      <x:c r="I39" s="6" t="str">
        <x:v>叉车电池总成（BYD）-26-08-12；广州佛朗斯股份有限公司深圳分公司；排名3；是否中选：是</x:v>
      </x:c>
      <x:c r="J39" s="6" t="str">
        <x:v>Q028</x:v>
      </x:c>
      <x:c r="K39" s="6" t="str">
        <x:v>关联或待核</x:v>
      </x:c>
      <x:c r="L39" s="6" t="str">
        <x:v>关联或待核；不计比亚迪直接交易</x:v>
      </x:c>
    </x:row>
    <x:row r="40" ht="40" customHeight="1">
      <x:c r="A40" s="6" t="str">
        <x:v>R0035</x:v>
      </x:c>
      <x:c r="B40" s="6" t="str">
        <x:v>字段</x:v>
      </x:c>
      <x:c r="C40" s="18" t="n">
        <x:v>1</x:v>
      </x:c>
      <x:c r="D40" s="6" t="str">
        <x:v>华润怡宝饮料（长沙）有限公司</x:v>
      </x:c>
      <x:c r="E40" s="6" t="str">
        <x:v>邮箱</x:v>
      </x:c>
      <x:c r="F40" s="6" t="str">
        <x:v>zhangshining1@crbeverage.com</x:v>
      </x:c>
      <x:c r="G40" s="6" t="str"/>
      <x:c r="H40" s="13" t="d">
        <x:v>2026-02-16T00:00:00.000Z</x:v>
      </x:c>
      <x:c r="I40" s="6" t="str">
        <x:v>五、采购人联系方式 联系人：*** 电话：*** 邮箱：zhangshining1@crbeverage.com</x:v>
      </x:c>
      <x:c r="J40" s="6" t="str">
        <x:v>J001</x:v>
      </x:c>
      <x:c r="K40" s="6" t="str">
        <x:v>关联或待核</x:v>
      </x:c>
      <x:c r="L40" s="6" t="str">
        <x:v>已核验（公开公告）</x:v>
      </x:c>
    </x:row>
    <x:row r="41" ht="34" customHeight="1">
      <x:c r="A41" s="6" t="str">
        <x:v>R0036</x:v>
      </x:c>
      <x:c r="B41" s="6" t="str">
        <x:v>字段</x:v>
      </x:c>
      <x:c r="C41" s="18" t="n">
        <x:v>1</x:v>
      </x:c>
      <x:c r="D41" s="6" t="str">
        <x:v>（略）人民检察院</x:v>
      </x:c>
      <x:c r="E41" s="6" t="str">
        <x:v>联系人姓名</x:v>
      </x:c>
      <x:c r="F41" s="6" t="str">
        <x:v>严熠豪</x:v>
      </x:c>
      <x:c r="G41" s="6" t="str"/>
      <x:c r="H41" s="13" t="d">
        <x:v>2026-09-01T00:00:00.000Z</x:v>
      </x:c>
      <x:c r="I41" s="6" t="str">
        <x:v>1、采购人名称：（略）人民检察院；联系人：（略）ong&gt; 严熠豪；联系电话：（略）****</x:v>
      </x:c>
      <x:c r="J41" s="6" t="str">
        <x:v>J008</x:v>
      </x:c>
      <x:c r="K41" s="6" t="str">
        <x:v>关联或待核</x:v>
      </x:c>
      <x:c r="L41" s="6" t="str">
        <x:v>已核验（公开公告）</x:v>
      </x:c>
    </x:row>
    <x:row r="42" ht="40" customHeight="1">
      <x:c r="A42" s="6" t="str">
        <x:v>R0037</x:v>
      </x:c>
      <x:c r="B42" s="6" t="str">
        <x:v>字段</x:v>
      </x:c>
      <x:c r="C42" s="18" t="n">
        <x:v>1</x:v>
      </x:c>
      <x:c r="D42" s="6" t="str">
        <x:v>比亚迪汽车工业有限公司</x:v>
      </x:c>
      <x:c r="E42" s="6" t="str">
        <x:v>登记成立日期</x:v>
      </x:c>
      <x:c r="F42" s="6" t="str">
        <x:v>2006-08-03</x:v>
      </x:c>
      <x:c r="G42" s="6" t="str"/>
      <x:c r="H42" s="13" t="d">
        <x:v>2025-04-23T00:00:00.000Z</x:v>
      </x:c>
      <x:c r="I42" s="6" t="str">
        <x:v>比亚迪汽车工业有限公司于2006年08月03日在深圳市市场监督管理局坪山局登记成立。法定代表人王传福，公司经营范围包括汽车、电动车及其零配件、汽车模具及其相关附件等。</x:v>
      </x:c>
      <x:c r="J42" s="6" t="str">
        <x:v>J010</x:v>
      </x:c>
      <x:c r="K42" s="6" t="str">
        <x:v>排除</x:v>
      </x:c>
      <x:c r="L42" s="6" t="str">
        <x:v>来源发布于一年窗口之外；留存历史原文</x:v>
      </x:c>
    </x:row>
    <x:row r="43" ht="40" customHeight="1">
      <x:c r="A43" s="6" t="str">
        <x:v>R0038</x:v>
      </x:c>
      <x:c r="B43" s="6" t="str">
        <x:v>字段</x:v>
      </x:c>
      <x:c r="C43" s="18" t="n">
        <x:v>1</x:v>
      </x:c>
      <x:c r="D43" s="6" t="str">
        <x:v>比亚迪汽车工业有限公司</x:v>
      </x:c>
      <x:c r="E43" s="6" t="str">
        <x:v>法定代表人</x:v>
      </x:c>
      <x:c r="F43" s="6" t="str">
        <x:v>王传福</x:v>
      </x:c>
      <x:c r="G43" s="6" t="str"/>
      <x:c r="H43" s="13" t="d">
        <x:v>2025-04-23T00:00:00.000Z</x:v>
      </x:c>
      <x:c r="I43" s="6" t="str">
        <x:v>比亚迪汽车工业有限公司于2006年08月03日在深圳市市场监督管理局坪山局登记成立。法定代表人王传福，公司经营范围包括汽车、电动车及其零配件、汽车模具及其相关附件等。</x:v>
      </x:c>
      <x:c r="J43" s="6" t="str">
        <x:v>J010</x:v>
      </x:c>
      <x:c r="K43" s="6" t="str">
        <x:v>排除</x:v>
      </x:c>
      <x:c r="L43" s="6" t="str">
        <x:v>来源发布于一年窗口之外；留存历史原文</x:v>
      </x:c>
    </x:row>
    <x:row r="44" ht="40" customHeight="1">
      <x:c r="A44" s="6" t="str">
        <x:v>R0039</x:v>
      </x:c>
      <x:c r="B44" s="6" t="str">
        <x:v>字段</x:v>
      </x:c>
      <x:c r="C44" s="18" t="n">
        <x:v>1</x:v>
      </x:c>
      <x:c r="D44" s="6" t="str">
        <x:v>比亚迪汽车工业有限公司</x:v>
      </x:c>
      <x:c r="E44" s="6" t="str">
        <x:v>经营范围（节选）</x:v>
      </x:c>
      <x:c r="F44" s="6" t="str">
        <x:v>汽车、电动车及其零配件、汽车模具及其相关附件等</x:v>
      </x:c>
      <x:c r="G44" s="6" t="str"/>
      <x:c r="H44" s="13" t="d">
        <x:v>2025-04-23T00:00:00.000Z</x:v>
      </x:c>
      <x:c r="I44" s="6" t="str">
        <x:v>比亚迪汽车工业有限公司于2006年08月03日在深圳市市场监督管理局坪山局登记成立。法定代表人王传福，公司经营范围包括汽车、电动车及其零配件、汽车模具及其相关附件等。</x:v>
      </x:c>
      <x:c r="J44" s="6" t="str">
        <x:v>J010</x:v>
      </x:c>
      <x:c r="K44" s="6" t="str">
        <x:v>排除</x:v>
      </x:c>
      <x:c r="L44" s="6" t="str">
        <x:v>来源发布于一年窗口之外；留存历史原文</x:v>
      </x:c>
    </x:row>
    <x:row r="45" ht="56" customHeight="1">
      <x:c r="A45" s="6" t="str">
        <x:v>R0040</x:v>
      </x:c>
      <x:c r="B45" s="6" t="str">
        <x:v>公告</x:v>
      </x:c>
      <x:c r="C45" s="18" t="n">
        <x:v>1</x:v>
      </x:c>
      <x:c r="D45" s="6" t="str">
        <x:v>比亚迪（品牌）</x:v>
      </x:c>
      <x:c r="E45" s="6" t="str">
        <x:v>【招标公告】华润怡宝饮料(长沙)有限公司2026年比亚迪、林德搬运车堆高车维修保养采购公告</x:v>
      </x:c>
      <x:c r="F45" s="6" t="str"/>
      <x:c r="G45" s="6" t="str"/>
      <x:c r="H45" s="13" t="d">
        <x:v>2026-02-16T00:00:00.000Z</x:v>
      </x:c>
      <x:c r="I45" s="6" t="str">
        <x:v>采购项目编号：YBCGXY202602110004 采购项目名称：2026年比亚迪、林德搬运车堆高车维修保养采购；五、采购人联系方式 联系人：*** 电话：*** 邮箱：zhangshining1@crbeverage.com</x:v>
      </x:c>
      <x:c r="J45" s="6" t="str">
        <x:v>J001</x:v>
      </x:c>
      <x:c r="K45" s="6" t="str">
        <x:v>关联或待核</x:v>
      </x:c>
      <x:c r="L45" s="6" t="str">
        <x:v>关联或待核；不计比亚迪直接交易</x:v>
      </x:c>
    </x:row>
    <x:row r="46" ht="40" customHeight="1">
      <x:c r="A46" s="6" t="str">
        <x:v>R0041</x:v>
      </x:c>
      <x:c r="B46" s="6" t="str">
        <x:v>公告</x:v>
      </x:c>
      <x:c r="C46" s="18" t="n">
        <x:v>1</x:v>
      </x:c>
      <x:c r="D46" s="6" t="str">
        <x:v>比亚迪公司（具体法人待核）</x:v>
      </x:c>
      <x:c r="E46" s="6" t="str">
        <x:v>比亚迪公司空压机采购项目（标包二）招标公告</x:v>
      </x:c>
      <x:c r="F46" s="6" t="str">
        <x:v>项目不含税预算金额（略）</x:v>
      </x:c>
      <x:c r="G46" s="6" t="str"/>
      <x:c r="H46" s="13" t="d">
        <x:v>2026-08-31T00:00:00.000Z</x:v>
      </x:c>
      <x:c r="I46" s="6" t="str">
        <x:v>2.1项目名称：比亚迪公司空压机采购项目（标包二）2.2招标内容：拟拟选定一家供应商为招标人提供1套微油变频螺杆空压机及后处理设备；项目不含税预算金额（略）；地 址：（略）惠州比亚迪工业园二期</x:v>
      </x:c>
      <x:c r="J46" s="6" t="str">
        <x:v>J002</x:v>
      </x:c>
      <x:c r="K46" s="6" t="str">
        <x:v>关联或待核</x:v>
      </x:c>
      <x:c r="L46" s="6" t="str">
        <x:v>关联或待核；不计比亚迪直接交易</x:v>
      </x:c>
    </x:row>
    <x:row r="47" ht="40" customHeight="1">
      <x:c r="A47" s="6" t="str">
        <x:v>R0042</x:v>
      </x:c>
      <x:c r="B47" s="6" t="str">
        <x:v>公告</x:v>
      </x:c>
      <x:c r="C47" s="18" t="n">
        <x:v>1</x:v>
      </x:c>
      <x:c r="D47" s="6" t="str">
        <x:v>比亚迪模具项目（法人待核）</x:v>
      </x:c>
      <x:c r="E47" s="6" t="str">
        <x:v>关于【比亚迪模具项目（第三批供电二期工程）业扩配套电力工程全过程造价服务】中选结果的公告</x:v>
      </x:c>
      <x:c r="F47" s="6" t="str">
        <x:v>¥（略）,（略）.（略） 至 ¥（略）,（略）</x:v>
      </x:c>
      <x:c r="G47" s="6" t="str"/>
      <x:c r="H47" s="13" t="d">
        <x:v>2026-03-17T00:00:00.000Z</x:v>
      </x:c>
      <x:c r="I47" s="6" t="str">
        <x:v>采购项目名称 | 比亚迪模具项目（第三批（略））业扩（略）全过程造价服务；服务金额 | ¥（略）,（略）.（略） 至 ¥（略）,（略）</x:v>
      </x:c>
      <x:c r="J47" s="6" t="str">
        <x:v>J003</x:v>
      </x:c>
      <x:c r="K47" s="6" t="str">
        <x:v>关联或待核</x:v>
      </x:c>
      <x:c r="L47" s="6" t="str">
        <x:v>关联或待核；不计比亚迪直接交易</x:v>
      </x:c>
    </x:row>
    <x:row r="48" ht="40" customHeight="1">
      <x:c r="A48" s="6" t="str">
        <x:v>R0043</x:v>
      </x:c>
      <x:c r="B48" s="6" t="str">
        <x:v>公告</x:v>
      </x:c>
      <x:c r="C48" s="18" t="n">
        <x:v>1</x:v>
      </x:c>
      <x:c r="D48" s="6" t="str">
        <x:v>比亚迪模具项目（法人待核）</x:v>
      </x:c>
      <x:c r="E48" s="6" t="str">
        <x:v>关于【比亚迪模具项目（第三批供电二期工程）业扩配套电力工程设计服务】采购失败项目的公示</x:v>
      </x:c>
      <x:c r="F48" s="6" t="str"/>
      <x:c r="G48" s="6" t="str"/>
      <x:c r="H48" s="13" t="d">
        <x:v>2026-03-17T00:00:00.000Z</x:v>
      </x:c>
      <x:c r="I48" s="6" t="str">
        <x:v>项目名称 | 比亚迪模具项目（第三批（略））业扩（略）设计服务；失败类型 | 项目取消；失败原因 | 项目施工需求变动，故取消本次招采。</x:v>
      </x:c>
      <x:c r="J48" s="6" t="str">
        <x:v>J004</x:v>
      </x:c>
      <x:c r="K48" s="6" t="str">
        <x:v>关联或待核</x:v>
      </x:c>
      <x:c r="L48" s="6" t="str">
        <x:v>关联或待核；不计比亚迪直接交易</x:v>
      </x:c>
    </x:row>
    <x:row r="49" ht="40" customHeight="1">
      <x:c r="A49" s="6" t="str">
        <x:v>R0044</x:v>
      </x:c>
      <x:c r="B49" s="6" t="str">
        <x:v>公告</x:v>
      </x:c>
      <x:c r="C49" s="18" t="n">
        <x:v>1</x:v>
      </x:c>
      <x:c r="D49" s="6" t="str">
        <x:v>比亚迪（品牌）</x:v>
      </x:c>
      <x:c r="E49" s="6" t="str">
        <x:v>关于多用途乘用车（MPV）的协议供货合同公告</x:v>
      </x:c>
      <x:c r="F49" s="6" t="str"/>
      <x:c r="G49" s="6" t="str"/>
      <x:c r="H49" s="13" t="d">
        <x:v>2026-09-01T00:00:00.000Z</x:v>
      </x:c>
      <x:c r="I49" s="6" t="str">
        <x:v>比亚迪 M9 领汇M9 （略）款（略）豪华领航版 | 比亚迪/BYDM9；采购人名称：（略）人民检察院；联系人：（略）ong&gt; 严熠豪；联系电话：（略）****</x:v>
      </x:c>
      <x:c r="J49" s="6" t="str">
        <x:v>J008</x:v>
      </x:c>
      <x:c r="K49" s="6" t="str">
        <x:v>关联或待核</x:v>
      </x:c>
      <x:c r="L49" s="6" t="str">
        <x:v>关联或待核；不计比亚迪直接交易</x:v>
      </x:c>
    </x:row>
    <x:row r="50" ht="40" customHeight="1">
      <x:c r="A50" s="6" t="str">
        <x:v>R0045</x:v>
      </x:c>
      <x:c r="B50" s="6" t="str">
        <x:v>公告</x:v>
      </x:c>
      <x:c r="C50" s="18" t="n">
        <x:v>1</x:v>
      </x:c>
      <x:c r="D50" s="6" t="str">
        <x:v>比亚迪汽车工业有限公司</x:v>
      </x:c>
      <x:c r="E50" s="6" t="str">
        <x:v>2026年高新公交公司35台纯电公交车采购2标段成交候选人结果公示</x:v>
      </x:c>
      <x:c r="F50" s="6" t="str"/>
      <x:c r="G50" s="6" t="str"/>
      <x:c r="H50" s="13" t="d">
        <x:v>2026-05-27T00:00:00.000Z</x:v>
      </x:c>
      <x:c r="I50" s="6" t="str">
        <x:v>2026年5月27日2026年高新公交公司35台纯电公交车采购2标段成交候选人结果公示如下：第一成交候选人名称：比亚迪汽车工业有限公司地址：深圳市坪山新区坪山横坪公路3001、3007号响应报价</x:v>
      </x:c>
      <x:c r="J50" s="6" t="str">
        <x:v>J007</x:v>
      </x:c>
      <x:c r="K50" s="6" t="str">
        <x:v>关联或待核</x:v>
      </x:c>
      <x:c r="L50" s="6" t="str">
        <x:v>待核：登录壳或聚合页摘要</x:v>
      </x:c>
    </x:row>
    <x:row r="51" ht="40" customHeight="1">
      <x:c r="A51" s="6" t="str">
        <x:v>R0046</x:v>
      </x:c>
      <x:c r="B51" s="6" t="str">
        <x:v>公告</x:v>
      </x:c>
      <x:c r="C51" s="18" t="n">
        <x:v>1</x:v>
      </x:c>
      <x:c r="D51" s="6" t="str">
        <x:v>深汕比亚迪汽车产业园（法人待核）</x:v>
      </x:c>
      <x:c r="E51" s="6" t="str">
        <x:v>2026-2028年深汕比亚迪汽车产业园计量器具检定服务项目采购公告</x:v>
      </x:c>
      <x:c r="F51" s="6" t="str"/>
      <x:c r="G51" s="6" t="str"/>
      <x:c r="H51" s="13" t="d">
        <x:v>2026-06-10T00:00:00.000Z</x:v>
      </x:c>
      <x:c r="I51" s="6" t="str">
        <x:v>2028年深汕比亚迪汽车产业园计量器具检定服务项目采购公告2026-2028年深汕比亚迪汽车产业园计量器具检定服务项目（项目编号：SSCG2026015）已具备采购条件</x:v>
      </x:c>
      <x:c r="J51" s="6" t="str">
        <x:v>J007</x:v>
      </x:c>
      <x:c r="K51" s="6" t="str">
        <x:v>关联或待核</x:v>
      </x:c>
      <x:c r="L51" s="6" t="str">
        <x:v>待核：登录壳或聚合页摘要</x:v>
      </x:c>
    </x:row>
    <x:row r="52" ht="40" customHeight="1">
      <x:c r="A52" s="6" t="str">
        <x:v>R0047</x:v>
      </x:c>
      <x:c r="B52" s="6" t="str">
        <x:v>公告</x:v>
      </x:c>
      <x:c r="C52" s="18" t="n">
        <x:v>1</x:v>
      </x:c>
      <x:c r="D52" s="6" t="str">
        <x:v>深圳比亚迪汽车实业有限公司</x:v>
      </x:c>
      <x:c r="E52" s="6" t="str">
        <x:v>深圳比亚迪汽车实业有限公司智能制造能力成熟度评估询比采购成交公示</x:v>
      </x:c>
      <x:c r="F52" s="6" t="str"/>
      <x:c r="G52" s="6" t="str"/>
      <x:c r="H52" s="13" t="d">
        <x:v>2026-06-15T00:00:00.000Z</x:v>
      </x:c>
      <x:c r="I52" s="6" t="str">
        <x:v>中机生产力促进中心有限公司深圳比亚迪汽车实业有限公司智能制造能力成熟度评估询比采购成交公示中机生产力促进中心有限公司2026年06月15日1．项目名称</x:v>
      </x:c>
      <x:c r="J52" s="6" t="str">
        <x:v>J007</x:v>
      </x:c>
      <x:c r="K52" s="6" t="str">
        <x:v>关联或待核</x:v>
      </x:c>
      <x:c r="L52" s="6" t="str">
        <x:v>待核：登录壳或聚合页摘要</x:v>
      </x:c>
    </x:row>
    <x:row r="53" ht="40" customHeight="1">
      <x:c r="A53" s="6" t="str">
        <x:v>R0048</x:v>
      </x:c>
      <x:c r="B53" s="6" t="str">
        <x:v>公告</x:v>
      </x:c>
      <x:c r="C53" s="18" t="n">
        <x:v>1</x:v>
      </x:c>
      <x:c r="D53" s="6" t="str">
        <x:v>比亚迪（品牌）</x:v>
      </x:c>
      <x:c r="E53" s="6" t="str">
        <x:v>浙江省海港集团2026年度比亚迪汽车采购项目【第四次】成交结果公告</x:v>
      </x:c>
      <x:c r="F53" s="6" t="str"/>
      <x:c r="G53" s="6" t="str"/>
      <x:c r="H53" s="13" t="d">
        <x:v>2026-06-05T00:00:00.000Z</x:v>
      </x:c>
      <x:c r="I53" s="6" t="str">
        <x:v>[浙江省海港集团2026年度比亚迪汽车采购项目【第四次】]成交结果公告来源：浙江海港阳光采购有限公司发布时间：2026-06-05</x:v>
      </x:c>
      <x:c r="J53" s="6" t="str">
        <x:v>J007</x:v>
      </x:c>
      <x:c r="K53" s="6" t="str">
        <x:v>关联或待核</x:v>
      </x:c>
      <x:c r="L53" s="6" t="str">
        <x:v>待核：登录壳或聚合页摘要</x:v>
      </x:c>
    </x:row>
    <x:row r="54" ht="40" customHeight="1">
      <x:c r="A54" s="6" t="str">
        <x:v>R0049</x:v>
      </x:c>
      <x:c r="B54" s="6" t="str">
        <x:v>公告</x:v>
      </x:c>
      <x:c r="C54" s="18" t="n">
        <x:v>1</x:v>
      </x:c>
      <x:c r="D54" s="6" t="str">
        <x:v>比亚迪零部件配套产业（项目涉及，法人待核）</x:v>
      </x:c>
      <x:c r="E54" s="6" t="str">
        <x:v>阜南县比亚迪汽车零部件配套产业建设（二期）项目一标段机电安装工程施工中标公告</x:v>
      </x:c>
      <x:c r="F54" s="6" t="str"/>
      <x:c r="G54" s="6" t="str"/>
      <x:c r="H54" s="13" t="d">
        <x:v>2026-06-15T00:00:00.000Z</x:v>
      </x:c>
      <x:c r="I54" s="6" t="str">
        <x:v>阜南县比亚迪汽车零部件配套产业建设（二期）项目一标段机电安装工程施工招标，中标候选人公示期满无异议。一、招标编号：ACEG-202605174001001</x:v>
      </x:c>
      <x:c r="J54" s="6" t="str">
        <x:v>J007</x:v>
      </x:c>
      <x:c r="K54" s="6" t="str">
        <x:v>关联或待核</x:v>
      </x:c>
      <x:c r="L54" s="6" t="str">
        <x:v>待核：登录壳或聚合页摘要</x:v>
      </x:c>
    </x:row>
    <x:row r="55" ht="40" customHeight="1">
      <x:c r="A55" s="6" t="str">
        <x:v>R0050</x:v>
      </x:c>
      <x:c r="B55" s="6" t="str">
        <x:v>公告</x:v>
      </x:c>
      <x:c r="C55" s="18" t="n">
        <x:v>1</x:v>
      </x:c>
      <x:c r="D55" s="6" t="str">
        <x:v>比亚迪零部件配套产业（项目涉及，法人待核）</x:v>
      </x:c>
      <x:c r="E55" s="6" t="str">
        <x:v>阜南县比亚迪汽车零部件配套产业建设（二期）项目一标段外墙保温真石漆工程施工中标公告</x:v>
      </x:c>
      <x:c r="F55" s="6" t="str"/>
      <x:c r="G55" s="6" t="str"/>
      <x:c r="H55" s="13" t="d">
        <x:v>2026-06-01T00:00:00.000Z</x:v>
      </x:c>
      <x:c r="I55" s="6" t="str">
        <x:v>阜南县比亚迪汽车零部件配套产业建设（二期）项目一标段外墙保温真石漆工程施工招标，中标候选人公示期满无异议。一、招标编号：ACEG-202605929001001</x:v>
      </x:c>
      <x:c r="J55" s="6" t="str">
        <x:v>J007</x:v>
      </x:c>
      <x:c r="K55" s="6" t="str">
        <x:v>关联或待核</x:v>
      </x:c>
      <x:c r="L55" s="6" t="str">
        <x:v>待核：登录壳或聚合页摘要</x:v>
      </x:c>
    </x:row>
    <x:row r="56" ht="40" customHeight="1">
      <x:c r="A56" s="6" t="str">
        <x:v>R0051</x:v>
      </x:c>
      <x:c r="B56" s="6" t="str">
        <x:v>公告</x:v>
      </x:c>
      <x:c r="C56" s="18" t="n">
        <x:v>1</x:v>
      </x:c>
      <x:c r="D56" s="6" t="str">
        <x:v>比亚迪零部件配套产业（项目涉及，法人待核）</x:v>
      </x:c>
      <x:c r="E56" s="6" t="str">
        <x:v>阜南县比亚迪汽车零部件配套产业建设（二期）项目一标段金刚砂耐磨地坪工程施工中标公告</x:v>
      </x:c>
      <x:c r="F56" s="6" t="str"/>
      <x:c r="G56" s="6" t="str"/>
      <x:c r="H56" s="13" t="d">
        <x:v>2026-06-01T00:00:00.000Z</x:v>
      </x:c>
      <x:c r="I56" s="6" t="str">
        <x:v>阜南县比亚迪汽车零部件配套产业建设（二期）项目一标段金刚砂耐磨地坪工程施工招标，中标候选人公示期满无异议。一、招标编号：ACEG-202605928001001</x:v>
      </x:c>
      <x:c r="J56" s="6" t="str">
        <x:v>J007</x:v>
      </x:c>
      <x:c r="K56" s="6" t="str">
        <x:v>关联或待核</x:v>
      </x:c>
      <x:c r="L56" s="6" t="str">
        <x:v>待核：登录壳或聚合页摘要</x:v>
      </x:c>
    </x:row>
    <x:row r="57" ht="34" customHeight="1">
      <x:c r="A57" s="6" t="str">
        <x:v>R0052</x:v>
      </x:c>
      <x:c r="B57" s="6" t="str">
        <x:v>字段</x:v>
      </x:c>
      <x:c r="C57" s="18" t="n">
        <x:v>1</x:v>
      </x:c>
      <x:c r="D57" s="6" t="str">
        <x:v>比亚迪汽车工业有限公司</x:v>
      </x:c>
      <x:c r="E57" s="6" t="str">
        <x:v>企业性质</x:v>
      </x:c>
      <x:c r="F57" s="6" t="str">
        <x:v>中外合资</x:v>
      </x:c>
      <x:c r="G57" s="6" t="str"/>
      <x:c r="H57" s="13"/>
      <x:c r="I57" s="6" t="str">
        <x:v>企业性质：中外合资</x:v>
      </x:c>
      <x:c r="J57" s="6" t="str">
        <x:v>B001</x:v>
      </x:c>
      <x:c r="K57" s="6" t="str">
        <x:v>关联或待核</x:v>
      </x:c>
      <x:c r="L57" s="6" t="str">
        <x:v>待核：平台企业库未注明更新时间</x:v>
      </x:c>
    </x:row>
    <x:row r="58" ht="34" customHeight="1">
      <x:c r="A58" s="6" t="str">
        <x:v>R0053</x:v>
      </x:c>
      <x:c r="B58" s="6" t="str">
        <x:v>字段</x:v>
      </x:c>
      <x:c r="C58" s="18" t="n">
        <x:v>1</x:v>
      </x:c>
      <x:c r="D58" s="6" t="str">
        <x:v>比亚迪汽车工业有限公司</x:v>
      </x:c>
      <x:c r="E58" s="6" t="str">
        <x:v>所属行业</x:v>
      </x:c>
      <x:c r="F58" s="6" t="str">
        <x:v>交通运输</x:v>
      </x:c>
      <x:c r="G58" s="6" t="str"/>
      <x:c r="H58" s="13"/>
      <x:c r="I58" s="6" t="str">
        <x:v>所属行业：交通运输</x:v>
      </x:c>
      <x:c r="J58" s="6" t="str">
        <x:v>B001</x:v>
      </x:c>
      <x:c r="K58" s="6" t="str">
        <x:v>关联或待核</x:v>
      </x:c>
      <x:c r="L58" s="6" t="str">
        <x:v>待核：平台企业库未注明更新时间</x:v>
      </x:c>
    </x:row>
    <x:row r="59" ht="34" customHeight="1">
      <x:c r="A59" s="6" t="str">
        <x:v>R0054</x:v>
      </x:c>
      <x:c r="B59" s="6" t="str">
        <x:v>字段</x:v>
      </x:c>
      <x:c r="C59" s="18" t="n">
        <x:v>1</x:v>
      </x:c>
      <x:c r="D59" s="6" t="str">
        <x:v>比亚迪汽车工业有限公司</x:v>
      </x:c>
      <x:c r="E59" s="6" t="str">
        <x:v>所属地区</x:v>
      </x:c>
      <x:c r="F59" s="6" t="str">
        <x:v>中国广东省深圳市</x:v>
      </x:c>
      <x:c r="G59" s="6" t="str"/>
      <x:c r="H59" s="13"/>
      <x:c r="I59" s="6" t="str">
        <x:v>所属地区：中国广东省深圳市</x:v>
      </x:c>
      <x:c r="J59" s="6" t="str">
        <x:v>B001</x:v>
      </x:c>
      <x:c r="K59" s="6" t="str">
        <x:v>关联或待核</x:v>
      </x:c>
      <x:c r="L59" s="6" t="str">
        <x:v>待核：平台企业库未注明更新时间</x:v>
      </x:c>
    </x:row>
    <x:row r="60" ht="34" customHeight="1">
      <x:c r="A60" s="6" t="str">
        <x:v>R0055</x:v>
      </x:c>
      <x:c r="B60" s="6" t="str">
        <x:v>字段</x:v>
      </x:c>
      <x:c r="C60" s="18" t="n">
        <x:v>1</x:v>
      </x:c>
      <x:c r="D60" s="6" t="str">
        <x:v>比亚迪汽车工业有限公司</x:v>
      </x:c>
      <x:c r="E60" s="6" t="str">
        <x:v>注册资本</x:v>
      </x:c>
      <x:c r="F60" s="6" t="str">
        <x:v>375765.45</x:v>
      </x:c>
      <x:c r="G60" s="6" t="str">
        <x:v>万美元</x:v>
      </x:c>
      <x:c r="H60" s="13"/>
      <x:c r="I60" s="6" t="str">
        <x:v>注册资本：375765.45 万美元</x:v>
      </x:c>
      <x:c r="J60" s="6" t="str">
        <x:v>B001</x:v>
      </x:c>
      <x:c r="K60" s="6" t="str">
        <x:v>关联或待核</x:v>
      </x:c>
      <x:c r="L60" s="6" t="str">
        <x:v>待核：平台企业库未注明更新时间</x:v>
      </x:c>
    </x:row>
    <x:row r="61" ht="34" customHeight="1">
      <x:c r="A61" s="6" t="str">
        <x:v>R0056</x:v>
      </x:c>
      <x:c r="B61" s="6" t="str">
        <x:v>字段</x:v>
      </x:c>
      <x:c r="C61" s="18" t="n">
        <x:v>1</x:v>
      </x:c>
      <x:c r="D61" s="6" t="str">
        <x:v>比亚迪汽车工业有限公司</x:v>
      </x:c>
      <x:c r="E61" s="6" t="str">
        <x:v>经营模式</x:v>
      </x:c>
      <x:c r="F61" s="6" t="str">
        <x:v>生产型</x:v>
      </x:c>
      <x:c r="G61" s="6" t="str"/>
      <x:c r="H61" s="13"/>
      <x:c r="I61" s="6" t="str">
        <x:v>经营模式：生产型</x:v>
      </x:c>
      <x:c r="J61" s="6" t="str">
        <x:v>B001</x:v>
      </x:c>
      <x:c r="K61" s="6" t="str">
        <x:v>关联或待核</x:v>
      </x:c>
      <x:c r="L61" s="6" t="str">
        <x:v>待核：平台企业库未注明更新时间</x:v>
      </x:c>
    </x:row>
    <x:row r="62" ht="34" customHeight="1">
      <x:c r="A62" s="6" t="str">
        <x:v>R0057</x:v>
      </x:c>
      <x:c r="B62" s="6" t="str">
        <x:v>字段</x:v>
      </x:c>
      <x:c r="C62" s="18" t="n">
        <x:v>1</x:v>
      </x:c>
      <x:c r="D62" s="6" t="str">
        <x:v>比亚迪汽车工业有限公司</x:v>
      </x:c>
      <x:c r="E62" s="6" t="str">
        <x:v>主营产品摘要</x:v>
      </x:c>
      <x:c r="F62" s="6" t="str">
        <x:v>一般经营项目是：汽车、电动车及其零配件、汽...</x:v>
      </x:c>
      <x:c r="G62" s="6" t="str"/>
      <x:c r="H62" s="13"/>
      <x:c r="I62" s="6" t="str">
        <x:v>主营产品：一般经营项目是：汽车、电动车及其零配件、汽...</x:v>
      </x:c>
      <x:c r="J62" s="6" t="str">
        <x:v>B001</x:v>
      </x:c>
      <x:c r="K62" s="6" t="str">
        <x:v>关联或待核</x:v>
      </x:c>
      <x:c r="L62" s="6" t="str">
        <x:v>待核：平台企业库未注明更新时间</x:v>
      </x:c>
    </x:row>
    <x:row r="63" ht="34" customHeight="1">
      <x:c r="A63" s="6" t="str">
        <x:v>R0058</x:v>
      </x:c>
      <x:c r="B63" s="6" t="str">
        <x:v>字段</x:v>
      </x:c>
      <x:c r="C63" s="18" t="n">
        <x:v>1</x:v>
      </x:c>
      <x:c r="D63" s="6" t="str">
        <x:v>比亚迪通信信号有限公司</x:v>
      </x:c>
      <x:c r="E63" s="6" t="str">
        <x:v>企业性质</x:v>
      </x:c>
      <x:c r="F63" s="6" t="str">
        <x:v>私营企业</x:v>
      </x:c>
      <x:c r="G63" s="6" t="str"/>
      <x:c r="H63" s="13"/>
      <x:c r="I63" s="6" t="str">
        <x:v>企业性质：私营企业</x:v>
      </x:c>
      <x:c r="J63" s="6" t="str">
        <x:v>B001</x:v>
      </x:c>
      <x:c r="K63" s="6" t="str">
        <x:v>关联或待核</x:v>
      </x:c>
      <x:c r="L63" s="6" t="str">
        <x:v>待核：平台企业库未注明更新时间</x:v>
      </x:c>
    </x:row>
    <x:row r="64" ht="34" customHeight="1">
      <x:c r="A64" s="6" t="str">
        <x:v>R0059</x:v>
      </x:c>
      <x:c r="B64" s="6" t="str">
        <x:v>字段</x:v>
      </x:c>
      <x:c r="C64" s="18" t="n">
        <x:v>1</x:v>
      </x:c>
      <x:c r="D64" s="6" t="str">
        <x:v>比亚迪通信信号有限公司</x:v>
      </x:c>
      <x:c r="E64" s="6" t="str">
        <x:v>所属行业</x:v>
      </x:c>
      <x:c r="F64" s="6" t="str">
        <x:v>工程建筑行业</x:v>
      </x:c>
      <x:c r="G64" s="6" t="str"/>
      <x:c r="H64" s="13"/>
      <x:c r="I64" s="6" t="str">
        <x:v>所属行业：工程建筑行业</x:v>
      </x:c>
      <x:c r="J64" s="6" t="str">
        <x:v>B001</x:v>
      </x:c>
      <x:c r="K64" s="6" t="str">
        <x:v>关联或待核</x:v>
      </x:c>
      <x:c r="L64" s="6" t="str">
        <x:v>待核：平台企业库未注明更新时间</x:v>
      </x:c>
    </x:row>
    <x:row r="65" ht="34" customHeight="1">
      <x:c r="A65" s="6" t="str">
        <x:v>R0060</x:v>
      </x:c>
      <x:c r="B65" s="6" t="str">
        <x:v>字段</x:v>
      </x:c>
      <x:c r="C65" s="18" t="n">
        <x:v>1</x:v>
      </x:c>
      <x:c r="D65" s="6" t="str">
        <x:v>比亚迪通信信号有限公司</x:v>
      </x:c>
      <x:c r="E65" s="6" t="str">
        <x:v>所属地区</x:v>
      </x:c>
      <x:c r="F65" s="6" t="str">
        <x:v>中国广东省深圳市坪山区</x:v>
      </x:c>
      <x:c r="G65" s="6" t="str"/>
      <x:c r="H65" s="13"/>
      <x:c r="I65" s="6" t="str">
        <x:v>所属地区：中国广东省深圳市坪山区</x:v>
      </x:c>
      <x:c r="J65" s="6" t="str">
        <x:v>B001</x:v>
      </x:c>
      <x:c r="K65" s="6" t="str">
        <x:v>关联或待核</x:v>
      </x:c>
      <x:c r="L65" s="6" t="str">
        <x:v>待核：平台企业库未注明更新时间</x:v>
      </x:c>
    </x:row>
    <x:row r="66" ht="34" customHeight="1">
      <x:c r="A66" s="6" t="str">
        <x:v>R0061</x:v>
      </x:c>
      <x:c r="B66" s="6" t="str">
        <x:v>字段</x:v>
      </x:c>
      <x:c r="C66" s="18" t="n">
        <x:v>1</x:v>
      </x:c>
      <x:c r="D66" s="6" t="str">
        <x:v>比亚迪通信信号有限公司</x:v>
      </x:c>
      <x:c r="E66" s="6" t="str">
        <x:v>注册资本</x:v>
      </x:c>
      <x:c r="F66" s="14" t="str">
        <x:v>11000</x:v>
      </x:c>
      <x:c r="G66" s="6" t="str">
        <x:v>万元</x:v>
      </x:c>
      <x:c r="H66" s="13"/>
      <x:c r="I66" s="6" t="str">
        <x:v>注册资本：11000.00 万元</x:v>
      </x:c>
      <x:c r="J66" s="6" t="str">
        <x:v>B001</x:v>
      </x:c>
      <x:c r="K66" s="6" t="str">
        <x:v>关联或待核</x:v>
      </x:c>
      <x:c r="L66" s="6" t="str">
        <x:v>待核：平台企业库未注明更新时间</x:v>
      </x:c>
    </x:row>
    <x:row r="67" ht="34" customHeight="1">
      <x:c r="A67" s="6" t="str">
        <x:v>R0062</x:v>
      </x:c>
      <x:c r="B67" s="6" t="str">
        <x:v>字段</x:v>
      </x:c>
      <x:c r="C67" s="18" t="n">
        <x:v>1</x:v>
      </x:c>
      <x:c r="D67" s="6" t="str">
        <x:v>比亚迪通信信号有限公司</x:v>
      </x:c>
      <x:c r="E67" s="6" t="str">
        <x:v>主营产品摘要</x:v>
      </x:c>
      <x:c r="F67" s="6" t="str">
        <x:v>城市轨道信号、通信、自动售检票、综合监控、...</x:v>
      </x:c>
      <x:c r="G67" s="6" t="str"/>
      <x:c r="H67" s="13"/>
      <x:c r="I67" s="6" t="str">
        <x:v>主营产品：城市轨道信号、通信、自动售检票、综合监控、...</x:v>
      </x:c>
      <x:c r="J67" s="6" t="str">
        <x:v>B001</x:v>
      </x:c>
      <x:c r="K67" s="6" t="str">
        <x:v>关联或待核</x:v>
      </x:c>
      <x:c r="L67" s="6" t="str">
        <x:v>待核：平台企业库未注明更新时间</x:v>
      </x:c>
    </x:row>
    <x:row r="68" ht="40" customHeight="1">
      <x:c r="A68" s="6" t="str">
        <x:v>R0063</x:v>
      </x:c>
      <x:c r="B68" s="6" t="str">
        <x:v>公告</x:v>
      </x:c>
      <x:c r="C68" s="18" t="n">
        <x:v>1</x:v>
      </x:c>
      <x:c r="D68" s="6" t="str">
        <x:v>比亚迪汽车工业有限公司</x:v>
      </x:c>
      <x:c r="E68" s="6" t="str">
        <x:v>华润新能源云南宜良绿电智造200MW（400MWh）集中式共享储能电站项目储能系统设备采购中标结果公告</x:v>
      </x:c>
      <x:c r="F68" s="6" t="str">
        <x:v>*********.**元</x:v>
      </x:c>
      <x:c r="G68" s="6" t="str"/>
      <x:c r="H68" s="13" t="d">
        <x:v>2026-04-08T00:00:00.000Z</x:v>
      </x:c>
      <x:c r="I68" s="6" t="str">
        <x:v>必联网发布时间：2026-04-08 10:09；中标人名称：比亚迪汽车工业有限公司；中标价格：*********.**元；招标人：华润风电（宜良）有限公司；招标机构：华润守正招标有限公司</x:v>
      </x:c>
      <x:c r="J68" s="6" t="str">
        <x:v>B003</x:v>
      </x:c>
      <x:c r="K68" s="6" t="str">
        <x:v>纳入直接招采</x:v>
      </x:c>
      <x:c r="L68" s="6" t="str">
        <x:v>已核验主体角色和公告正文</x:v>
      </x:c>
    </x:row>
    <x:row r="69" ht="56" customHeight="1">
      <x:c r="A69" s="6" t="str">
        <x:v>R0064</x:v>
      </x:c>
      <x:c r="B69" s="6" t="str">
        <x:v>公告</x:v>
      </x:c>
      <x:c r="C69" s="18" t="n">
        <x:v>1</x:v>
      </x:c>
      <x:c r="D69" s="6" t="str">
        <x:v>比亚迪汽车工业有限公司</x:v>
      </x:c>
      <x:c r="E69" s="6" t="str">
        <x:v>华润新能源云南宜良绿电智造200MW（400MWh）集中式共享储能电站项目储能系统设备采购中标候选人公示</x:v>
      </x:c>
      <x:c r="F69" s="6" t="str">
        <x:v>*********.**元</x:v>
      </x:c>
      <x:c r="G69" s="6" t="str"/>
      <x:c r="H69" s="13" t="d">
        <x:v>2026-04-03T00:00:00.000Z</x:v>
      </x:c>
      <x:c r="I69" s="6" t="str">
        <x:v>必联网发布时间：2026-04-03 15:43；招标人：华润风电（宜良）有限公司；招标代理机构：华润守正招标有限公司；第一中标候选人：比亚迪汽车工业有限公司；投标价格：*********.**元；项目经理/监督人：令狐浚通/朱玉生</x:v>
      </x:c>
      <x:c r="J69" s="6" t="str">
        <x:v>B004</x:v>
      </x:c>
      <x:c r="K69" s="6" t="str">
        <x:v>纳入直接招采</x:v>
      </x:c>
      <x:c r="L69" s="6" t="str">
        <x:v>已核验主体角色和公告正文</x:v>
      </x:c>
    </x:row>
    <x:row r="70" ht="56" customHeight="1">
      <x:c r="A70" s="6" t="str">
        <x:v>R0065</x:v>
      </x:c>
      <x:c r="B70" s="6" t="str">
        <x:v>公告</x:v>
      </x:c>
      <x:c r="C70" s="18" t="n">
        <x:v>1</x:v>
      </x:c>
      <x:c r="D70" s="6" t="str">
        <x:v>比亚迪汽车工业有限公司</x:v>
      </x:c>
      <x:c r="E70" s="6" t="str">
        <x:v>启赫新能源河南宝丰200MW/400MWh储能电站项目EPC总承包储能系统设备成交候选人公示</x:v>
      </x:c>
      <x:c r="F70" s="6" t="str">
        <x:v>*********.**元</x:v>
      </x:c>
      <x:c r="G70" s="6" t="str"/>
      <x:c r="H70" s="13" t="d">
        <x:v>2026-01-14T00:00:00.000Z</x:v>
      </x:c>
      <x:c r="I70" s="6" t="str">
        <x:v>必联网发布时间：2026-01-14 15:36；委托人：宝丰县启赫新能源有限公司；招标代理公司：中金泰富工程管理有限公司；第三成交候选人：比亚迪汽车工业有限公司；成交价：*********.**元；联系人：王冰；代理联系人：郭女士、张先生、刘先生</x:v>
      </x:c>
      <x:c r="J70" s="6" t="str">
        <x:v>B005</x:v>
      </x:c>
      <x:c r="K70" s="6" t="str">
        <x:v>纳入直接招采</x:v>
      </x:c>
      <x:c r="L70" s="6" t="str">
        <x:v>已核验主体角色和公告正文</x:v>
      </x:c>
    </x:row>
    <x:row r="71" ht="40" customHeight="1">
      <x:c r="A71" s="6" t="str">
        <x:v>R0066</x:v>
      </x:c>
      <x:c r="B71" s="6" t="str">
        <x:v>字段</x:v>
      </x:c>
      <x:c r="C71" s="18" t="n">
        <x:v>1</x:v>
      </x:c>
      <x:c r="D71" s="6" t="str">
        <x:v>比亚迪汽车工业有限公司</x:v>
      </x:c>
      <x:c r="E71" s="6" t="str">
        <x:v>项目角色</x:v>
      </x:c>
      <x:c r="F71" s="6" t="str">
        <x:v>入围供应商</x:v>
      </x:c>
      <x:c r="G71" s="6" t="str"/>
      <x:c r="H71" s="13" t="d">
        <x:v>2026-03-31T00:00:00.000Z</x:v>
      </x:c>
      <x:c r="I71" s="6" t="str">
        <x:v>中标供应商名称：比亚迪汽车工业有限公司；中标金额(元)：132000.0；BYD6450ALBEV2；1辆；单价（元）：132000.000000</x:v>
      </x:c>
      <x:c r="J71" s="6" t="str">
        <x:v>G001</x:v>
      </x:c>
      <x:c r="K71" s="6" t="str">
        <x:v>纳入核验字段</x:v>
      </x:c>
      <x:c r="L71" s="6" t="str">
        <x:v>已核实</x:v>
      </x:c>
    </x:row>
    <x:row r="72" ht="40" customHeight="1">
      <x:c r="A72" s="6" t="str">
        <x:v>R0067</x:v>
      </x:c>
      <x:c r="B72" s="6" t="str">
        <x:v>字段</x:v>
      </x:c>
      <x:c r="C72" s="18" t="n">
        <x:v>1</x:v>
      </x:c>
      <x:c r="D72" s="6" t="str">
        <x:v>比亚迪汽车工业有限公司</x:v>
      </x:c>
      <x:c r="E72" s="6" t="str">
        <x:v>框架入围车型单价（非实际采购总额）</x:v>
      </x:c>
      <x:c r="F72" s="14" t="str">
        <x:v>132000</x:v>
      </x:c>
      <x:c r="G72" s="6" t="str">
        <x:v>元</x:v>
      </x:c>
      <x:c r="H72" s="13" t="d">
        <x:v>2026-03-31T00:00:00.000Z</x:v>
      </x:c>
      <x:c r="I72" s="6" t="str">
        <x:v>中标供应商名称：比亚迪汽车工业有限公司；中标金额(元)：132000.0；BYD6450ALBEV2；1辆；单价（元）：132000.000000</x:v>
      </x:c>
      <x:c r="J72" s="6" t="str">
        <x:v>G001</x:v>
      </x:c>
      <x:c r="K72" s="6" t="str">
        <x:v>纳入核验字段</x:v>
      </x:c>
      <x:c r="L72" s="6" t="str">
        <x:v>已核实</x:v>
      </x:c>
    </x:row>
    <x:row r="73" ht="34" customHeight="1">
      <x:c r="A73" s="6" t="str">
        <x:v>R0068</x:v>
      </x:c>
      <x:c r="B73" s="6" t="str">
        <x:v>字段</x:v>
      </x:c>
      <x:c r="C73" s="18" t="n">
        <x:v>1</x:v>
      </x:c>
      <x:c r="D73" s="6" t="str">
        <x:v>比亚迪汽车工业有限公司</x:v>
      </x:c>
      <x:c r="E73" s="6" t="str">
        <x:v>项目联系人电话</x:v>
      </x:c>
      <x:c r="F73" s="6" t="str">
        <x:v>阎工：66209829</x:v>
      </x:c>
      <x:c r="G73" s="6" t="str"/>
      <x:c r="H73" s="13" t="d">
        <x:v>2026-03-31T00:00:00.000Z</x:v>
      </x:c>
      <x:c r="I73" s="6" t="str">
        <x:v>代理机构：青岛市政务服务和公共资源交易中心；联系人：阎工；联系方式：66209829</x:v>
      </x:c>
      <x:c r="J73" s="6" t="str">
        <x:v>G001</x:v>
      </x:c>
      <x:c r="K73" s="6" t="str">
        <x:v>关联或待核</x:v>
      </x:c>
      <x:c r="L73" s="6" t="str">
        <x:v>已核实</x:v>
      </x:c>
    </x:row>
    <x:row r="74" ht="40" customHeight="1">
      <x:c r="A74" s="6" t="str">
        <x:v>R0069</x:v>
      </x:c>
      <x:c r="B74" s="6" t="str">
        <x:v>字段</x:v>
      </x:c>
      <x:c r="C74" s="18" t="n">
        <x:v>1</x:v>
      </x:c>
      <x:c r="D74" s="6" t="str">
        <x:v>比亚迪品牌</x:v>
      </x:c>
      <x:c r="E74" s="6" t="str">
        <x:v>项目角色</x:v>
      </x:c>
      <x:c r="F74" s="6" t="str">
        <x:v>品牌涉及</x:v>
      </x:c>
      <x:c r="G74" s="6" t="str"/>
      <x:c r="H74" s="13" t="d">
        <x:v>2026-08-06T00:00:00.000Z</x:v>
      </x:c>
      <x:c r="I74" s="6" t="str">
        <x:v>玉溪倡迪汽车销售有限公司；总报价：238800（元）；公务用车 | 比亚迪 | 方程豹钛72026款EV675KM四驱闪充版 | 1 | 238800</x:v>
      </x:c>
      <x:c r="J74" s="6" t="str">
        <x:v>G002</x:v>
      </x:c>
      <x:c r="K74" s="6" t="str">
        <x:v>关联或待核</x:v>
      </x:c>
      <x:c r="L74" s="6" t="str">
        <x:v>已核实</x:v>
      </x:c>
    </x:row>
    <x:row r="75" ht="40" customHeight="1">
      <x:c r="A75" s="6" t="str">
        <x:v>R0070</x:v>
      </x:c>
      <x:c r="B75" s="6" t="str">
        <x:v>字段</x:v>
      </x:c>
      <x:c r="C75" s="18" t="n">
        <x:v>1</x:v>
      </x:c>
      <x:c r="D75" s="6" t="str">
        <x:v>比亚迪品牌</x:v>
      </x:c>
      <x:c r="E75" s="6" t="str">
        <x:v>成交总价</x:v>
      </x:c>
      <x:c r="F75" s="14" t="str">
        <x:v>238800</x:v>
      </x:c>
      <x:c r="G75" s="6" t="str">
        <x:v>元</x:v>
      </x:c>
      <x:c r="H75" s="13" t="d">
        <x:v>2026-08-06T00:00:00.000Z</x:v>
      </x:c>
      <x:c r="I75" s="6" t="str">
        <x:v>玉溪倡迪汽车销售有限公司；总报价：238800（元）；公务用车 | 比亚迪 | 方程豹钛72026款EV675KM四驱闪充版 | 1 | 238800</x:v>
      </x:c>
      <x:c r="J75" s="6" t="str">
        <x:v>G002</x:v>
      </x:c>
      <x:c r="K75" s="6" t="str">
        <x:v>关联或待核</x:v>
      </x:c>
      <x:c r="L75" s="6" t="str">
        <x:v>已核实</x:v>
      </x:c>
    </x:row>
    <x:row r="76" ht="34" customHeight="1">
      <x:c r="A76" s="6" t="str">
        <x:v>R0071</x:v>
      </x:c>
      <x:c r="B76" s="6" t="str">
        <x:v>字段</x:v>
      </x:c>
      <x:c r="C76" s="18" t="n">
        <x:v>1</x:v>
      </x:c>
      <x:c r="D76" s="6" t="str">
        <x:v>比亚迪品牌</x:v>
      </x:c>
      <x:c r="E76" s="6" t="str">
        <x:v>项目联系人电话</x:v>
      </x:c>
      <x:c r="F76" s="6" t="str">
        <x:v>王清艳：0888-5120808</x:v>
      </x:c>
      <x:c r="G76" s="6" t="str"/>
      <x:c r="H76" s="13" t="d">
        <x:v>2026-08-06T00:00:00.000Z</x:v>
      </x:c>
      <x:c r="I76" s="6" t="str">
        <x:v>项目联系人：王清艳；电 话：0888-5120808</x:v>
      </x:c>
      <x:c r="J76" s="6" t="str">
        <x:v>G002</x:v>
      </x:c>
      <x:c r="K76" s="6" t="str">
        <x:v>关联或待核</x:v>
      </x:c>
      <x:c r="L76" s="6" t="str">
        <x:v>已核实</x:v>
      </x:c>
    </x:row>
    <x:row r="77" ht="56" customHeight="1">
      <x:c r="A77" s="6" t="str">
        <x:v>R0072</x:v>
      </x:c>
      <x:c r="B77" s="6" t="str">
        <x:v>公告</x:v>
      </x:c>
      <x:c r="C77" s="18" t="n">
        <x:v>1</x:v>
      </x:c>
      <x:c r="D77" s="6" t="str">
        <x:v>比亚迪汽车工业有限公司</x:v>
      </x:c>
      <x:c r="E77" s="6" t="str">
        <x:v>青岛市机关事务服务中心青岛市党政机关事业单位2026年度公务用车框架协议采购项目入围结果公告（其他小型客车19）</x:v>
      </x:c>
      <x:c r="F77" s="6" t="str">
        <x:v>132000.0元；单价132000.000000元/辆</x:v>
      </x:c>
      <x:c r="G77" s="6" t="str"/>
      <x:c r="H77" s="13" t="d">
        <x:v>2026-03-31T00:00:00.000Z</x:v>
      </x:c>
      <x:c r="I77" s="6" t="str">
        <x:v>中标供应商名称：比亚迪汽车工业有限公司；中标金额(元)：132000.0；BYD6450ALBEV2；1辆；单价（元）：132000.000000</x:v>
      </x:c>
      <x:c r="J77" s="6" t="str">
        <x:v>G001</x:v>
      </x:c>
      <x:c r="K77" s="6" t="str">
        <x:v>纳入直接招采</x:v>
      </x:c>
      <x:c r="L77" s="6" t="str">
        <x:v>已核验主体角色和公告正文</x:v>
      </x:c>
    </x:row>
    <x:row r="78" ht="40" customHeight="1">
      <x:c r="A78" s="6" t="str">
        <x:v>R0073</x:v>
      </x:c>
      <x:c r="B78" s="6" t="str">
        <x:v>公告</x:v>
      </x:c>
      <x:c r="C78" s="18" t="n">
        <x:v>1</x:v>
      </x:c>
      <x:c r="D78" s="6" t="str">
        <x:v>比亚迪品牌</x:v>
      </x:c>
      <x:c r="E78" s="6" t="str">
        <x:v>世界文化遗产丽江古城保护管理局业务用车询价采购项目成交公告</x:v>
      </x:c>
      <x:c r="F78" s="6" t="str">
        <x:v>总报价：238800（元）</x:v>
      </x:c>
      <x:c r="G78" s="6" t="str"/>
      <x:c r="H78" s="13" t="d">
        <x:v>2026-08-06T00:00:00.000Z</x:v>
      </x:c>
      <x:c r="I78" s="6" t="str">
        <x:v>玉溪倡迪汽车销售有限公司；总报价：238800（元）；公务用车 | 比亚迪 | 方程豹钛72026款EV675KM四驱闪充版 | 1 | 238800</x:v>
      </x:c>
      <x:c r="J78" s="6" t="str">
        <x:v>G002</x:v>
      </x:c>
      <x:c r="K78" s="6" t="str">
        <x:v>关联或待核</x:v>
      </x:c>
      <x:c r="L78" s="6" t="str">
        <x:v>关联或待核；不计比亚迪直接交易</x:v>
      </x:c>
    </x:row>
    <x:row r="79" ht="40" customHeight="1">
      <x:c r="A79" s="6" t="str">
        <x:v>R0074</x:v>
      </x:c>
      <x:c r="B79" s="6" t="str">
        <x:v>公告</x:v>
      </x:c>
      <x:c r="C79" s="18" t="n">
        <x:v>1</x:v>
      </x:c>
      <x:c r="D79" s="6" t="str">
        <x:v>比亚迪汽车工业有限公司</x:v>
      </x:c>
      <x:c r="E79" s="6" t="str">
        <x:v>长沙公交运营有限公司100台11米级纯电动公交车采购中标候选人公示（待官方核验）</x:v>
      </x:c>
      <x:c r="F79" s="6" t="str">
        <x:v>投标报价69980000元</x:v>
      </x:c>
      <x:c r="G79" s="6" t="str"/>
      <x:c r="H79" s="13" t="d">
        <x:v>2026-07-17T00:00:00.000Z</x:v>
      </x:c>
      <x:c r="I79" s="6" t="str">
        <x:v>推荐了以下3名中标候选人（排序）……比亚迪汽车工业有限公司 宇通客车股份有限公司 厦门金龙联合汽车工业有限公司 投标报价 69980000元 69950000元 69870000元</x:v>
      </x:c>
      <x:c r="J79" s="6" t="str">
        <x:v>G003</x:v>
      </x:c>
      <x:c r="K79" s="6" t="str">
        <x:v>关联或待核</x:v>
      </x:c>
      <x:c r="L79" s="6" t="str">
        <x:v>待核：二手标题与候选阶段冲突</x:v>
      </x:c>
    </x:row>
    <x:row r="80" ht="56" customHeight="1">
      <x:c r="A80" s="6" t="str">
        <x:v>R0075</x:v>
      </x:c>
      <x:c r="B80" s="6" t="str">
        <x:v>字段</x:v>
      </x:c>
      <x:c r="C80" s="18" t="n">
        <x:v>1</x:v>
      </x:c>
      <x:c r="D80" s="6" t="str">
        <x:v>惠州比亚迪电池有限公司</x:v>
      </x:c>
      <x:c r="E80" s="6" t="str">
        <x:v>实际采购主体</x:v>
      </x:c>
      <x:c r="F80" s="6" t="str">
        <x:v>惠州比亚迪电池有限公司</x:v>
      </x:c>
      <x:c r="G80" s="6" t="str"/>
      <x:c r="H80" s="13" t="d">
        <x:v>2026-07-01T00:00:00.000Z</x:v>
      </x:c>
      <x:c r="I80" s="6" t="str">
        <x:v>惠州比亚迪电池有限公司（以下简称“招标人”）委托公诚管理咨询有限公司（以下简称“招标代理机构”）就比亚迪公司流化床采购项目（招标代理项目编号： SZ-05-04A-2026-D-F-E17466）进行公开招标采购</x:v>
      </x:c>
      <x:c r="J80" s="6" t="str">
        <x:v>O001</x:v>
      </x:c>
      <x:c r="K80" s="6" t="str">
        <x:v>纳入核验字段</x:v>
      </x:c>
      <x:c r="L80" s="6" t="str">
        <x:v>原文明确</x:v>
      </x:c>
    </x:row>
    <x:row r="81" ht="34" customHeight="1">
      <x:c r="A81" s="6" t="str">
        <x:v>R0076</x:v>
      </x:c>
      <x:c r="B81" s="6" t="str">
        <x:v>字段</x:v>
      </x:c>
      <x:c r="C81" s="18" t="n">
        <x:v>1</x:v>
      </x:c>
      <x:c r="D81" s="6" t="str">
        <x:v>惠州比亚迪电池有限公司</x:v>
      </x:c>
      <x:c r="E81" s="6" t="str">
        <x:v>公告采购方联系地址</x:v>
      </x:c>
      <x:c r="F81" s="6" t="str">
        <x:v>深圳市坪山区坑梓比亚迪一期</x:v>
      </x:c>
      <x:c r="G81" s="6" t="str"/>
      <x:c r="H81" s="13" t="d">
        <x:v>2026-07-01T00:00:00.000Z</x:v>
      </x:c>
      <x:c r="I81" s="6" t="str">
        <x:v>地 址：深圳市坪山区坑梓比亚迪一期</x:v>
      </x:c>
      <x:c r="J81" s="6" t="str">
        <x:v>O001</x:v>
      </x:c>
      <x:c r="K81" s="6" t="str">
        <x:v>纳入核验字段</x:v>
      </x:c>
      <x:c r="L81" s="6" t="str">
        <x:v>原文明确</x:v>
      </x:c>
    </x:row>
    <x:row r="82" ht="40" customHeight="1">
      <x:c r="A82" s="6" t="str">
        <x:v>R0077</x:v>
      </x:c>
      <x:c r="B82" s="6" t="str">
        <x:v>字段</x:v>
      </x:c>
      <x:c r="C82" s="18" t="n">
        <x:v>1</x:v>
      </x:c>
      <x:c r="D82" s="6" t="str">
        <x:v>惠州比亚迪电池有限公司</x:v>
      </x:c>
      <x:c r="E82" s="6" t="str">
        <x:v>采购方联系人</x:v>
      </x:c>
      <x:c r="F82" s="6" t="str">
        <x:v>刘永进</x:v>
      </x:c>
      <x:c r="G82" s="6" t="str"/>
      <x:c r="H82" s="13" t="d">
        <x:v>2026-07-01T00:00:00.000Z</x:v>
      </x:c>
      <x:c r="I82" s="6" t="str">
        <x:v>招标人：惠州比亚迪电池有限公司
地 址：深圳市坪山区坑梓比亚迪一期
联 系 人：刘永进
电 话： 19928815278</x:v>
      </x:c>
      <x:c r="J82" s="6" t="str">
        <x:v>O001</x:v>
      </x:c>
      <x:c r="K82" s="6" t="str">
        <x:v>纳入核验字段</x:v>
      </x:c>
      <x:c r="L82" s="6" t="str">
        <x:v>原文明确</x:v>
      </x:c>
    </x:row>
    <x:row r="83" ht="40" customHeight="1">
      <x:c r="A83" s="6" t="str">
        <x:v>R0078</x:v>
      </x:c>
      <x:c r="B83" s="6" t="str">
        <x:v>字段</x:v>
      </x:c>
      <x:c r="C83" s="18" t="n">
        <x:v>1</x:v>
      </x:c>
      <x:c r="D83" s="6" t="str">
        <x:v>惠州比亚迪电池有限公司</x:v>
      </x:c>
      <x:c r="E83" s="6" t="str">
        <x:v>采购方联系电话</x:v>
      </x:c>
      <x:c r="F83" s="14" t="str">
        <x:v>19928815278</x:v>
      </x:c>
      <x:c r="G83" s="6" t="str"/>
      <x:c r="H83" s="13" t="d">
        <x:v>2026-07-01T00:00:00.000Z</x:v>
      </x:c>
      <x:c r="I83" s="6" t="str">
        <x:v>招标人：惠州比亚迪电池有限公司
地 址：深圳市坪山区坑梓比亚迪一期
联 系 人：刘永进
电 话： 19928815278</x:v>
      </x:c>
      <x:c r="J83" s="6" t="str">
        <x:v>O001</x:v>
      </x:c>
      <x:c r="K83" s="6" t="str">
        <x:v>纳入核验字段</x:v>
      </x:c>
      <x:c r="L83" s="6" t="str">
        <x:v>原文明确</x:v>
      </x:c>
    </x:row>
    <x:row r="84" ht="34" customHeight="1">
      <x:c r="A84" s="6" t="str">
        <x:v>R0079</x:v>
      </x:c>
      <x:c r="B84" s="6" t="str">
        <x:v>字段</x:v>
      </x:c>
      <x:c r="C84" s="18" t="n">
        <x:v>1</x:v>
      </x:c>
      <x:c r="D84" s="6" t="str">
        <x:v>惠州比亚迪电池有限公司</x:v>
      </x:c>
      <x:c r="E84" s="6" t="str">
        <x:v>项目交货地点</x:v>
      </x:c>
      <x:c r="F84" s="6" t="str">
        <x:v>湖北省宜昌市</x:v>
      </x:c>
      <x:c r="G84" s="6" t="str"/>
      <x:c r="H84" s="13" t="d">
        <x:v>2026-07-01T00:00:00.000Z</x:v>
      </x:c>
      <x:c r="I84" s="6" t="str">
        <x:v>2.6交货地点：湖北省宜昌市</x:v>
      </x:c>
      <x:c r="J84" s="6" t="str">
        <x:v>O001</x:v>
      </x:c>
      <x:c r="K84" s="6" t="str">
        <x:v>纳入核验字段</x:v>
      </x:c>
      <x:c r="L84" s="6" t="str">
        <x:v>原文明确</x:v>
      </x:c>
    </x:row>
    <x:row r="85" ht="34" customHeight="1">
      <x:c r="A85" s="6" t="str">
        <x:v>R0080</x:v>
      </x:c>
      <x:c r="B85" s="6" t="str">
        <x:v>字段</x:v>
      </x:c>
      <x:c r="C85" s="18" t="n">
        <x:v>1</x:v>
      </x:c>
      <x:c r="D85" s="6" t="str">
        <x:v>惠州比亚迪电池有限公司</x:v>
      </x:c>
      <x:c r="E85" s="6" t="str">
        <x:v>采购预算（不含税）</x:v>
      </x:c>
      <x:c r="F85" s="14" t="str">
        <x:v>2500000</x:v>
      </x:c>
      <x:c r="G85" s="6" t="str">
        <x:v>元</x:v>
      </x:c>
      <x:c r="H85" s="13" t="d">
        <x:v>2026-07-01T00:00:00.000Z</x:v>
      </x:c>
      <x:c r="I85" s="6" t="str">
        <x:v>项目不含税预算金额250万元</x:v>
      </x:c>
      <x:c r="J85" s="6" t="str">
        <x:v>O001</x:v>
      </x:c>
      <x:c r="K85" s="6" t="str">
        <x:v>纳入核验字段</x:v>
      </x:c>
      <x:c r="L85" s="6" t="str">
        <x:v>原文明确</x:v>
      </x:c>
    </x:row>
    <x:row r="86" ht="200" customHeight="1">
      <x:c r="A86" s="6" t="str">
        <x:v>R0081</x:v>
      </x:c>
      <x:c r="B86" s="6" t="str">
        <x:v>字段</x:v>
      </x:c>
      <x:c r="C86" s="18" t="n">
        <x:v>1</x:v>
      </x:c>
      <x:c r="D86" s="6" t="str">
        <x:v>惠州比亚迪电池有限公司</x:v>
      </x:c>
      <x:c r="E86" s="6" t="str">
        <x:v>采购内容与关键要求</x:v>
      </x:c>
      <x:c r="F86" s="6" t="str">
        <x:v>拟选定一家供应商为招标人提供 100Kg硅沉积流化床1台，流化床整体应需要包括且不限于进料系统、气体调控系统、反应系统、收料系统、尾气系统、气体检测系统、尾气处理系统、泄爆装置以及集成远程中控系统。设备整体尺寸控制在长7m（长，包含操作面）*4m（宽）*9m(高)以内。一次实验加料量为 40-60 Kg，加料罐容积≥400L，内壁抛光，要求通过真空吸料的形式将原料吸入加料罐。反应系统应包括且不限于底部伺服电机、气体分布器、反应器、温控系统、测温系统、测压系统、反吹系统、气锤、滤芯等。通过反应器憋压将物料压入收料罐。设备需配备一键收料功能，通过一个按键，可实现设备自动多次取料，且保证取料完全。尾气端需配备硅烷浓度在线监测设备，可以实现实时监控尾气硅烷浓度。所有参数信息、设备控制、状态信息必须集成入主PLC，触摸屏只能用于参数设定和设备控制操作，中标人完成现场PLC的一次集成和主设备之间的主体联动，集成方DCS/SCADA系统通过与主PLC通讯获取所有上述信息。设备具体参</x:v>
      </x:c>
      <x:c r="G86" s="6" t="str"/>
      <x:c r="H86" s="13" t="d">
        <x:v>2026-07-01T00:00:00.000Z</x:v>
      </x:c>
      <x:c r="I86" s="6" t="str">
        <x:v>2.2招标内容：拟选定一家供应商为招标人提供 100Kg硅沉积流化床1台，流化床整体应需要包括且不限于进料系统、气体调控系统、反应系统、收料系统、尾气系统、气体检测系统、尾气处理系统、泄爆装置以及集成远程中控系统。设备整体尺寸控制在长7m（长，包含操作面）*4m（宽）*9m(高)以内。一次实验加料量为 40-60 Kg，加料罐容积≥400L，内壁抛光，要求通过真空吸料的形式将原料吸入加料罐。反应系统应包括且不限于底部伺服电机、气体分布器、反应器、温控系统、测温系统、测压系统、反吹系统、气锤、滤芯等。通过反应器憋压将物料压入收料罐。设备需配备一键收料功能，通过一个按键，可实现设备自动多次取料，且保证取料完全。尾气端需配备硅烷浓度在线监测设备，可以实现实时监控尾气硅烷浓度。所有参数信息、设备控制、状态信息必须集成入主PLC，触摸屏只能用于参数设定和设备控制操作，中标人完成现场PLC的一次集成和主设备之间的主体联动，集成方DCS/SCADA系统通过与主PLC通讯获取所有上述</x:v>
      </x:c>
      <x:c r="J86" s="6" t="str">
        <x:v>O001</x:v>
      </x:c>
      <x:c r="K86" s="6" t="str">
        <x:v>纳入核验字段</x:v>
      </x:c>
      <x:c r="L86" s="6" t="str">
        <x:v>原文明确</x:v>
      </x:c>
    </x:row>
    <x:row r="87" ht="34" customHeight="1">
      <x:c r="A87" s="6" t="str">
        <x:v>R0081</x:v>
      </x:c>
      <x:c r="B87" s="6" t="str">
        <x:v>字段</x:v>
      </x:c>
      <x:c r="C87" s="18" t="n">
        <x:v>2</x:v>
      </x:c>
      <x:c r="D87" s="6" t="str">
        <x:v>惠州比亚迪电池有限公司</x:v>
      </x:c>
      <x:c r="E87" s="6" t="str">
        <x:v>采购内容与关键要求</x:v>
      </x:c>
      <x:c r="F87" s="6" t="str">
        <x:v>数要求详见第五章 技术规范书。</x:v>
      </x:c>
      <x:c r="G87" s="6" t="str"/>
      <x:c r="H87" s="13" t="d">
        <x:v>2026-07-01T00:00:00.000Z</x:v>
      </x:c>
      <x:c r="I87" s="6" t="str">
        <x:v>信息。设备具体参数要求详见第五章 技术规范书。
</x:v>
      </x:c>
      <x:c r="J87" s="6" t="str">
        <x:v>O001</x:v>
      </x:c>
      <x:c r="K87" s="6" t="str">
        <x:v>纳入核验字段</x:v>
      </x:c>
      <x:c r="L87" s="6" t="str"/>
    </x:row>
    <x:row r="88" ht="40" customHeight="1">
      <x:c r="A88" s="6" t="str">
        <x:v>R0082</x:v>
      </x:c>
      <x:c r="B88" s="6" t="str">
        <x:v>字段</x:v>
      </x:c>
      <x:c r="C88" s="18" t="n">
        <x:v>1</x:v>
      </x:c>
      <x:c r="D88" s="6" t="str">
        <x:v>惠州比亚迪电池有限公司</x:v>
      </x:c>
      <x:c r="E88" s="6" t="str">
        <x:v>付款条件</x:v>
      </x:c>
      <x:c r="F88" s="6" t="str">
        <x:v>付款条件：项目不含税预算金额250万元。付款条件：预付30%，到货凭票付30%，验收合格后凭票付30%，质保一年付10%，电汇。</x:v>
      </x:c>
      <x:c r="G88" s="6" t="str"/>
      <x:c r="H88" s="13" t="d">
        <x:v>2026-07-01T00:00:00.000Z</x:v>
      </x:c>
      <x:c r="I88" s="6" t="str">
        <x:v>付款条件：项目不含税预算金额250万元。付款条件：预付30%，到货凭票付30%，验收合格后凭票付30%，质保一年付10%，电汇。
</x:v>
      </x:c>
      <x:c r="J88" s="6" t="str">
        <x:v>O001</x:v>
      </x:c>
      <x:c r="K88" s="6" t="str">
        <x:v>纳入核验字段</x:v>
      </x:c>
      <x:c r="L88" s="6" t="str">
        <x:v>原文明确</x:v>
      </x:c>
    </x:row>
    <x:row r="89" ht="34" customHeight="1">
      <x:c r="A89" s="6" t="str">
        <x:v>R0083</x:v>
      </x:c>
      <x:c r="B89" s="6" t="str">
        <x:v>字段</x:v>
      </x:c>
      <x:c r="C89" s="18" t="n">
        <x:v>1</x:v>
      </x:c>
      <x:c r="D89" s="6" t="str">
        <x:v>惠州比亚迪电池有限公司</x:v>
      </x:c>
      <x:c r="E89" s="6" t="str">
        <x:v>交货期限</x:v>
      </x:c>
      <x:c r="F89" s="6" t="str">
        <x:v>2.5交货期限：签订合同后 90天内交货。</x:v>
      </x:c>
      <x:c r="G89" s="6" t="str"/>
      <x:c r="H89" s="13" t="d">
        <x:v>2026-07-01T00:00:00.000Z</x:v>
      </x:c>
      <x:c r="I89" s="6" t="str">
        <x:v>2.5交货期限：签订合同后 90天内交货。</x:v>
      </x:c>
      <x:c r="J89" s="6" t="str">
        <x:v>O001</x:v>
      </x:c>
      <x:c r="K89" s="6" t="str">
        <x:v>纳入核验字段</x:v>
      </x:c>
      <x:c r="L89" s="6" t="str">
        <x:v>原文明确</x:v>
      </x:c>
    </x:row>
    <x:row r="90" ht="88" customHeight="1">
      <x:c r="A90" s="6" t="str">
        <x:v>R0084</x:v>
      </x:c>
      <x:c r="B90" s="6" t="str">
        <x:v>字段</x:v>
      </x:c>
      <x:c r="C90" s="18" t="n">
        <x:v>1</x:v>
      </x:c>
      <x:c r="D90" s="6" t="str">
        <x:v>惠州比亚迪电池有限公司</x:v>
      </x:c>
      <x:c r="E90" s="6" t="str">
        <x:v>供应商资格</x:v>
      </x:c>
      <x:c r="F90" s="6" t="str">
        <x:v>3.2 投标人必须是 100Kg硅沉积流化床的制造商或合法代理商。投标人是制造商的，须出具制造商声明函；投标人为代理商的，须提供代理商资格声明函及制造商(分公司、办事处授权无效)对本次投标项目出具的唯一、合法且有效的授权书。若同一制造商在本项目中授权两家或以上代理商参与投标，代理商均按无效标处理；制造商与其合法代理商同时参加本次投标，代理商按无效标处理。（按要求提供有效证明材料）。</x:v>
      </x:c>
      <x:c r="G90" s="6" t="str"/>
      <x:c r="H90" s="13" t="d">
        <x:v>2026-07-01T00:00:00.000Z</x:v>
      </x:c>
      <x:c r="I90" s="6" t="str">
        <x:v>3.2 投标人必须是 100Kg硅沉积流化床的制造商或合法代理商。投标人是制造商的，须出具制造商声明函；投标人为代理商的，须提供代理商资格声明函及制造商(分公司、办事处授权无效)对本次投标项目出具的唯一、合法且有效的授权书。若同一制造商在本项目中授权两家或以上代理商参与投标，代理商均按无效标处理；制造商与其合法代理商同时参加本次投标，代理商按无效标处理。（按要求提供有效证明材料）。
</x:v>
      </x:c>
      <x:c r="J90" s="6" t="str">
        <x:v>O001</x:v>
      </x:c>
      <x:c r="K90" s="6" t="str">
        <x:v>纳入核验字段</x:v>
      </x:c>
      <x:c r="L90" s="6" t="str">
        <x:v>原文明确</x:v>
      </x:c>
    </x:row>
    <x:row r="91" ht="34" customHeight="1">
      <x:c r="A91" s="6" t="str">
        <x:v>R0085</x:v>
      </x:c>
      <x:c r="B91" s="6" t="str">
        <x:v>字段</x:v>
      </x:c>
      <x:c r="C91" s="18" t="n">
        <x:v>1</x:v>
      </x:c>
      <x:c r="D91" s="6" t="str">
        <x:v>惠州比亚迪电池有限公司</x:v>
      </x:c>
      <x:c r="E91" s="6" t="str">
        <x:v>招标文件费用</x:v>
      </x:c>
      <x:c r="F91" s="6" t="str">
        <x:v>5.3 招标文件每套售价0元，售后不退，投标资格不得转让。</x:v>
      </x:c>
      <x:c r="G91" s="6" t="str"/>
      <x:c r="H91" s="13" t="d">
        <x:v>2026-07-01T00:00:00.000Z</x:v>
      </x:c>
      <x:c r="I91" s="6" t="str">
        <x:v>5.3 招标文件每套售价0元，售后不退，投标资格不得转让。</x:v>
      </x:c>
      <x:c r="J91" s="6" t="str">
        <x:v>O001</x:v>
      </x:c>
      <x:c r="K91" s="6" t="str">
        <x:v>纳入核验字段</x:v>
      </x:c>
      <x:c r="L91" s="6" t="str">
        <x:v>原文明确</x:v>
      </x:c>
    </x:row>
    <x:row r="92" ht="34" customHeight="1">
      <x:c r="A92" s="6" t="str">
        <x:v>R0086</x:v>
      </x:c>
      <x:c r="B92" s="6" t="str">
        <x:v>字段</x:v>
      </x:c>
      <x:c r="C92" s="18" t="n">
        <x:v>1</x:v>
      </x:c>
      <x:c r="D92" s="6" t="str">
        <x:v>惠州比亚迪电池有限公司</x:v>
      </x:c>
      <x:c r="E92" s="6" t="str">
        <x:v>平台服务费</x:v>
      </x:c>
      <x:c r="F92" s="6" t="str">
        <x:v>5.4 平台服务费 500元/标包，平台服务费售后不退。</x:v>
      </x:c>
      <x:c r="G92" s="6" t="str"/>
      <x:c r="H92" s="13" t="d">
        <x:v>2026-07-01T00:00:00.000Z</x:v>
      </x:c>
      <x:c r="I92" s="6" t="str">
        <x:v>5.4 平台服务费 500元/标包，平台服务费售后不退。</x:v>
      </x:c>
      <x:c r="J92" s="6" t="str">
        <x:v>O001</x:v>
      </x:c>
      <x:c r="K92" s="6" t="str">
        <x:v>纳入核验字段</x:v>
      </x:c>
      <x:c r="L92" s="6" t="str">
        <x:v>原文明确</x:v>
      </x:c>
    </x:row>
    <x:row r="93" ht="72" customHeight="1">
      <x:c r="A93" s="6" t="str">
        <x:v>R0087</x:v>
      </x:c>
      <x:c r="B93" s="6" t="str">
        <x:v>字段</x:v>
      </x:c>
      <x:c r="C93" s="18" t="n">
        <x:v>1</x:v>
      </x:c>
      <x:c r="D93" s="6" t="str">
        <x:v>公诚管理咨询有限公司</x:v>
      </x:c>
      <x:c r="E93" s="6" t="str">
        <x:v>招标代理项目负责人</x:v>
      </x:c>
      <x:c r="F93" s="6" t="str">
        <x:v>郑沙、闵代道、何琴琴、王玮、马姗姗、孙婉超、童本锋</x:v>
      </x:c>
      <x:c r="G93" s="6" t="str"/>
      <x:c r="H93" s="13" t="d">
        <x:v>2026-07-01T00:00:00.000Z</x:v>
      </x:c>
      <x:c r="I93" s="6" t="str">
        <x:v>招标代理机构：公诚管理咨询有限公司
地 址：深圳市福田区新闻路2号英龙商务中心33E室
项目负责人：郑沙、闵代道、何琴琴、王玮、马姗姗、孙婉超、童本锋
电 话： 18617187621、18126131331
电子邮件： zhengsha@chinaccs.cn、 mindd@chinaccs.cn
</x:v>
      </x:c>
      <x:c r="J93" s="6" t="str">
        <x:v>O001</x:v>
      </x:c>
      <x:c r="K93" s="6" t="str">
        <x:v>关联或待核</x:v>
      </x:c>
      <x:c r="L93" s="6" t="str">
        <x:v>原文明确</x:v>
      </x:c>
    </x:row>
    <x:row r="94" ht="72" customHeight="1">
      <x:c r="A94" s="6" t="str">
        <x:v>R0088</x:v>
      </x:c>
      <x:c r="B94" s="6" t="str">
        <x:v>字段</x:v>
      </x:c>
      <x:c r="C94" s="18" t="n">
        <x:v>1</x:v>
      </x:c>
      <x:c r="D94" s="6" t="str">
        <x:v>公诚管理咨询有限公司</x:v>
      </x:c>
      <x:c r="E94" s="6" t="str">
        <x:v>招标代理联系电话</x:v>
      </x:c>
      <x:c r="F94" s="6" t="str">
        <x:v>18617187621、18126131331</x:v>
      </x:c>
      <x:c r="G94" s="6" t="str"/>
      <x:c r="H94" s="13" t="d">
        <x:v>2026-07-01T00:00:00.000Z</x:v>
      </x:c>
      <x:c r="I94" s="6" t="str">
        <x:v>招标代理机构：公诚管理咨询有限公司
地 址：深圳市福田区新闻路2号英龙商务中心33E室
项目负责人：郑沙、闵代道、何琴琴、王玮、马姗姗、孙婉超、童本锋
电 话： 18617187621、18126131331
电子邮件： zhengsha@chinaccs.cn、 mindd@chinaccs.cn
</x:v>
      </x:c>
      <x:c r="J94" s="6" t="str">
        <x:v>O001</x:v>
      </x:c>
      <x:c r="K94" s="6" t="str">
        <x:v>关联或待核</x:v>
      </x:c>
      <x:c r="L94" s="6" t="str">
        <x:v>原文明确</x:v>
      </x:c>
    </x:row>
    <x:row r="95" ht="72" customHeight="1">
      <x:c r="A95" s="6" t="str">
        <x:v>R0089</x:v>
      </x:c>
      <x:c r="B95" s="6" t="str">
        <x:v>字段</x:v>
      </x:c>
      <x:c r="C95" s="18" t="n">
        <x:v>1</x:v>
      </x:c>
      <x:c r="D95" s="6" t="str">
        <x:v>公诚管理咨询有限公司</x:v>
      </x:c>
      <x:c r="E95" s="6" t="str">
        <x:v>招标代理电子邮件（原文）</x:v>
      </x:c>
      <x:c r="F95" s="6" t="str">
        <x:v>zhengsha@chinaccs.cn、 mindd@chinaccs.cn</x:v>
      </x:c>
      <x:c r="G95" s="6" t="str"/>
      <x:c r="H95" s="13" t="d">
        <x:v>2026-07-01T00:00:00.000Z</x:v>
      </x:c>
      <x:c r="I95" s="6" t="str">
        <x:v>招标代理机构：公诚管理咨询有限公司
地 址：深圳市福田区新闻路2号英龙商务中心33E室
项目负责人：郑沙、闵代道、何琴琴、王玮、马姗姗、孙婉超、童本锋
电 话： 18617187621、18126131331
电子邮件： zhengsha@chinaccs.cn、 mindd@chinaccs.cn
</x:v>
      </x:c>
      <x:c r="J95" s="6" t="str">
        <x:v>O001</x:v>
      </x:c>
      <x:c r="K95" s="6" t="str">
        <x:v>关联或待核</x:v>
      </x:c>
      <x:c r="L95" s="6" t="str">
        <x:v>原文明确</x:v>
      </x:c>
    </x:row>
    <x:row r="96" ht="56" customHeight="1">
      <x:c r="A96" s="6" t="str">
        <x:v>R0090</x:v>
      </x:c>
      <x:c r="B96" s="6" t="str">
        <x:v>字段</x:v>
      </x:c>
      <x:c r="C96" s="18" t="n">
        <x:v>1</x:v>
      </x:c>
      <x:c r="D96" s="6" t="str">
        <x:v>深圳市比亚迪锂电池有限公司</x:v>
      </x:c>
      <x:c r="E96" s="6" t="str">
        <x:v>实际采购主体</x:v>
      </x:c>
      <x:c r="F96" s="6" t="str">
        <x:v>深圳市比亚迪锂电池有限公司</x:v>
      </x:c>
      <x:c r="G96" s="6" t="str"/>
      <x:c r="H96" s="13" t="d">
        <x:v>2026-07-14T00:00:00.000Z</x:v>
      </x:c>
      <x:c r="I96" s="6" t="str">
        <x:v>深圳市比亚迪锂电池有限公司（以下简称“招标人”）委托公诚管理咨 询有限公司（以下简称“招标代理机构”）就比亚迪公司实验室温等静压机 采购项目（二次）（招标代理项目编号：SZ-05-04A-2026-D-F-E15235C01） 进行公开招标采购</x:v>
      </x:c>
      <x:c r="J96" s="6" t="str">
        <x:v>O002</x:v>
      </x:c>
      <x:c r="K96" s="6" t="str">
        <x:v>纳入核验字段</x:v>
      </x:c>
      <x:c r="L96" s="6" t="str">
        <x:v>原文明确</x:v>
      </x:c>
    </x:row>
    <x:row r="97" ht="34" customHeight="1">
      <x:c r="A97" s="6" t="str">
        <x:v>R0091</x:v>
      </x:c>
      <x:c r="B97" s="6" t="str">
        <x:v>字段</x:v>
      </x:c>
      <x:c r="C97" s="18" t="n">
        <x:v>1</x:v>
      </x:c>
      <x:c r="D97" s="6" t="str">
        <x:v>深圳市比亚迪锂电池有限公司</x:v>
      </x:c>
      <x:c r="E97" s="6" t="str">
        <x:v>公告采购方联系地址</x:v>
      </x:c>
      <x:c r="F97" s="6" t="str">
        <x:v>深圳市坪由区坑梓街道秀沙路 5 号坑梓比亚迪二期</x:v>
      </x:c>
      <x:c r="G97" s="6" t="str"/>
      <x:c r="H97" s="13" t="d">
        <x:v>2026-07-14T00:00:00.000Z</x:v>
      </x:c>
      <x:c r="I97" s="6" t="str">
        <x:v>地 址：深圳市坪由区坑梓街道秀沙路 5 号坑梓比亚迪二期 </x:v>
      </x:c>
      <x:c r="J97" s="6" t="str">
        <x:v>O002</x:v>
      </x:c>
      <x:c r="K97" s="6" t="str">
        <x:v>关联或待核</x:v>
      </x:c>
      <x:c r="L97" s="6" t="str">
        <x:v>待核：原文疑似文字错误</x:v>
      </x:c>
    </x:row>
    <x:row r="98" ht="40" customHeight="1">
      <x:c r="A98" s="6" t="str">
        <x:v>R0092</x:v>
      </x:c>
      <x:c r="B98" s="6" t="str">
        <x:v>字段</x:v>
      </x:c>
      <x:c r="C98" s="18" t="n">
        <x:v>1</x:v>
      </x:c>
      <x:c r="D98" s="6" t="str">
        <x:v>深圳市比亚迪锂电池有限公司</x:v>
      </x:c>
      <x:c r="E98" s="6" t="str">
        <x:v>采购方联系人</x:v>
      </x:c>
      <x:c r="F98" s="6" t="str">
        <x:v>杨海川</x:v>
      </x:c>
      <x:c r="G98" s="6" t="str"/>
      <x:c r="H98" s="13" t="d">
        <x:v>2026-07-14T00:00:00.000Z</x:v>
      </x:c>
      <x:c r="I98" s="6" t="str">
        <x:v>招标人：深圳市比亚迪锂电池有限公司 
地 址：深圳市坪由区坑梓街道秀沙路 5 号坑梓比亚迪二期 
联 系 人：杨海川 
电 话：19065009629 </x:v>
      </x:c>
      <x:c r="J98" s="6" t="str">
        <x:v>O002</x:v>
      </x:c>
      <x:c r="K98" s="6" t="str">
        <x:v>纳入核验字段</x:v>
      </x:c>
      <x:c r="L98" s="6" t="str">
        <x:v>原文明确</x:v>
      </x:c>
    </x:row>
    <x:row r="99" ht="40" customHeight="1">
      <x:c r="A99" s="6" t="str">
        <x:v>R0093</x:v>
      </x:c>
      <x:c r="B99" s="6" t="str">
        <x:v>字段</x:v>
      </x:c>
      <x:c r="C99" s="18" t="n">
        <x:v>1</x:v>
      </x:c>
      <x:c r="D99" s="6" t="str">
        <x:v>深圳市比亚迪锂电池有限公司</x:v>
      </x:c>
      <x:c r="E99" s="6" t="str">
        <x:v>采购方联系电话</x:v>
      </x:c>
      <x:c r="F99" s="14" t="str">
        <x:v>19065009629</x:v>
      </x:c>
      <x:c r="G99" s="6" t="str"/>
      <x:c r="H99" s="13" t="d">
        <x:v>2026-07-14T00:00:00.000Z</x:v>
      </x:c>
      <x:c r="I99" s="6" t="str">
        <x:v>招标人：深圳市比亚迪锂电池有限公司 
地 址：深圳市坪由区坑梓街道秀沙路 5 号坑梓比亚迪二期 
联 系 人：杨海川 
电 话：19065009629 </x:v>
      </x:c>
      <x:c r="J99" s="6" t="str">
        <x:v>O002</x:v>
      </x:c>
      <x:c r="K99" s="6" t="str">
        <x:v>纳入核验字段</x:v>
      </x:c>
      <x:c r="L99" s="6" t="str">
        <x:v>原文明确</x:v>
      </x:c>
    </x:row>
    <x:row r="100" ht="34" customHeight="1">
      <x:c r="A100" s="6" t="str">
        <x:v>R0094</x:v>
      </x:c>
      <x:c r="B100" s="6" t="str">
        <x:v>字段</x:v>
      </x:c>
      <x:c r="C100" s="18" t="n">
        <x:v>1</x:v>
      </x:c>
      <x:c r="D100" s="6" t="str">
        <x:v>深圳市比亚迪锂电池有限公司</x:v>
      </x:c>
      <x:c r="E100" s="6" t="str">
        <x:v>项目交货地点</x:v>
      </x:c>
      <x:c r="F100" s="6" t="str">
        <x:v>深圳市龙岗区</x:v>
      </x:c>
      <x:c r="G100" s="6" t="str"/>
      <x:c r="H100" s="13" t="d">
        <x:v>2026-07-14T00:00:00.000Z</x:v>
      </x:c>
      <x:c r="I100" s="6" t="str">
        <x:v>2.6 交货地点：深圳市龙岗区 </x:v>
      </x:c>
      <x:c r="J100" s="6" t="str">
        <x:v>O002</x:v>
      </x:c>
      <x:c r="K100" s="6" t="str">
        <x:v>纳入核验字段</x:v>
      </x:c>
      <x:c r="L100" s="6" t="str">
        <x:v>原文明确</x:v>
      </x:c>
    </x:row>
    <x:row r="101" ht="34" customHeight="1">
      <x:c r="A101" s="6" t="str">
        <x:v>R0095</x:v>
      </x:c>
      <x:c r="B101" s="6" t="str">
        <x:v>字段</x:v>
      </x:c>
      <x:c r="C101" s="18" t="n">
        <x:v>1</x:v>
      </x:c>
      <x:c r="D101" s="6" t="str">
        <x:v>深圳市比亚迪锂电池有限公司</x:v>
      </x:c>
      <x:c r="E101" s="6" t="str">
        <x:v>采购预算（不含税）</x:v>
      </x:c>
      <x:c r="F101" s="14" t="str">
        <x:v>5000000</x:v>
      </x:c>
      <x:c r="G101" s="6" t="str">
        <x:v>元</x:v>
      </x:c>
      <x:c r="H101" s="13" t="d">
        <x:v>2026-07-14T00:00:00.000Z</x:v>
      </x:c>
      <x:c r="I101" s="6" t="str">
        <x:v>项目不含税预算金额500 万元</x:v>
      </x:c>
      <x:c r="J101" s="6" t="str">
        <x:v>O002</x:v>
      </x:c>
      <x:c r="K101" s="6" t="str">
        <x:v>纳入核验字段</x:v>
      </x:c>
      <x:c r="L101" s="6" t="str">
        <x:v>原文明确</x:v>
      </x:c>
    </x:row>
    <x:row r="102" ht="88" customHeight="1">
      <x:c r="A102" s="6" t="str">
        <x:v>R0096</x:v>
      </x:c>
      <x:c r="B102" s="6" t="str">
        <x:v>字段</x:v>
      </x:c>
      <x:c r="C102" s="18" t="n">
        <x:v>1</x:v>
      </x:c>
      <x:c r="D102" s="6" t="str">
        <x:v>深圳市比亚迪锂电池有限公司</x:v>
      </x:c>
      <x:c r="E102" s="6" t="str">
        <x:v>采购内容与关键要求</x:v>
      </x:c>
      <x:c r="F102" s="6" t="str">
        <x:v>拟选定一家供应商为招标人提供温等静压机 1 台，主要 
设备参数要求：工作缸有效规格尺寸：D120mm*L800mm，工作压力：设计压 
力≥880MPa,根据工作条件任意设定，调节精度 1MPa。整机结构：立式；成型 
方式：工作缸、承压框架均采用预应力钢带缠绕；压力测量精度：800MPa， 
150℃，压力测量精度≤±0.5%F.S。具体要求详见第五章 技术规范书。</x:v>
      </x:c>
      <x:c r="G102" s="6" t="str"/>
      <x:c r="H102" s="13" t="d">
        <x:v>2026-07-14T00:00:00.000Z</x:v>
      </x:c>
      <x:c r="I102" s="6" t="str">
        <x:v>2.2 招标内容：拟选定一家供应商为招标人提供温等静压机 1 台，主要 
设备参数要求：工作缸有效规格尺寸：D120mm*L800mm，工作压力：设计压 
力≥880MPa,根据工作条件任意设定，调节精度 1MPa。整机结构：立式；成型 
方式：工作缸、承压框架均采用预应力钢带缠绕；压力测量精度：800MPa， 
150℃，压力测量精度≤±0.5%F.S。具体要求详见第五章 技术规范书。 
</x:v>
      </x:c>
      <x:c r="J102" s="6" t="str">
        <x:v>O002</x:v>
      </x:c>
      <x:c r="K102" s="6" t="str">
        <x:v>纳入核验字段</x:v>
      </x:c>
      <x:c r="L102" s="6" t="str">
        <x:v>原文明确</x:v>
      </x:c>
    </x:row>
    <x:row r="103" ht="40" customHeight="1">
      <x:c r="A103" s="6" t="str">
        <x:v>R0097</x:v>
      </x:c>
      <x:c r="B103" s="6" t="str">
        <x:v>字段</x:v>
      </x:c>
      <x:c r="C103" s="18" t="n">
        <x:v>1</x:v>
      </x:c>
      <x:c r="D103" s="6" t="str">
        <x:v>深圳市比亚迪锂电池有限公司</x:v>
      </x:c>
      <x:c r="E103" s="6" t="str">
        <x:v>付款条件</x:v>
      </x:c>
      <x:c r="F103" s="6" t="str">
        <x:v>付款条件：项目不含税预算金额500 万元。付款条件： 
货到凭票付 60%,验收合格凭票付 40%，全部电汇。</x:v>
      </x:c>
      <x:c r="G103" s="6" t="str"/>
      <x:c r="H103" s="13" t="d">
        <x:v>2026-07-14T00:00:00.000Z</x:v>
      </x:c>
      <x:c r="I103" s="6" t="str">
        <x:v>付款条件：项目不含税预算金额500 万元。付款条件： 
货到凭票付 60%,验收合格凭票付 40%，全部电汇。 
</x:v>
      </x:c>
      <x:c r="J103" s="6" t="str">
        <x:v>O002</x:v>
      </x:c>
      <x:c r="K103" s="6" t="str">
        <x:v>纳入核验字段</x:v>
      </x:c>
      <x:c r="L103" s="6" t="str">
        <x:v>原文明确</x:v>
      </x:c>
    </x:row>
    <x:row r="104" ht="34" customHeight="1">
      <x:c r="A104" s="6" t="str">
        <x:v>R0098</x:v>
      </x:c>
      <x:c r="B104" s="6" t="str">
        <x:v>字段</x:v>
      </x:c>
      <x:c r="C104" s="18" t="n">
        <x:v>1</x:v>
      </x:c>
      <x:c r="D104" s="6" t="str">
        <x:v>深圳市比亚迪锂电池有限公司</x:v>
      </x:c>
      <x:c r="E104" s="6" t="str">
        <x:v>交货期限</x:v>
      </x:c>
      <x:c r="F104" s="6" t="str">
        <x:v>2.5 交货期限：签订合同后 180 天内交货。</x:v>
      </x:c>
      <x:c r="G104" s="6" t="str"/>
      <x:c r="H104" s="13" t="d">
        <x:v>2026-07-14T00:00:00.000Z</x:v>
      </x:c>
      <x:c r="I104" s="6" t="str">
        <x:v>2.5 交货期限：签订合同后 180 天内交货。 </x:v>
      </x:c>
      <x:c r="J104" s="6" t="str">
        <x:v>O002</x:v>
      </x:c>
      <x:c r="K104" s="6" t="str">
        <x:v>纳入核验字段</x:v>
      </x:c>
      <x:c r="L104" s="6" t="str">
        <x:v>原文明确</x:v>
      </x:c>
    </x:row>
    <x:row r="105" ht="88" customHeight="1">
      <x:c r="A105" s="6" t="str">
        <x:v>R0099</x:v>
      </x:c>
      <x:c r="B105" s="6" t="str">
        <x:v>字段</x:v>
      </x:c>
      <x:c r="C105" s="18" t="n">
        <x:v>1</x:v>
      </x:c>
      <x:c r="D105" s="6" t="str">
        <x:v>深圳市比亚迪锂电池有限公司</x:v>
      </x:c>
      <x:c r="E105" s="6" t="str">
        <x:v>供应商资格</x:v>
      </x:c>
      <x:c r="F105" s="6" t="str">
        <x:v>3.2 投标人必须是温等静压机设备的制造商或合法代理商。投标人是制 
造商的，须出具制造商声明函；投标人为代理商的，须提供代理商资格声明 
函及制造商(分公司、办事处授权无效)对本次投标项目出具的唯一、合法且 
有效的授权书。若同一制造商在本项目中授权两家或以上代理商参与投标， 代理商均按无效标处理；制造商与其合法代理商同时参加本次投标，代理商 按无效标处理。（按要求提供有效证明材料）。</x:v>
      </x:c>
      <x:c r="G105" s="6" t="str"/>
      <x:c r="H105" s="13" t="d">
        <x:v>2026-07-14T00:00:00.000Z</x:v>
      </x:c>
      <x:c r="I105" s="6" t="str">
        <x:v>3.2 投标人必须是温等静压机设备的制造商或合法代理商。投标人是制 
造商的，须出具制造商声明函；投标人为代理商的，须提供代理商资格声明 
函及制造商(分公司、办事处授权无效)对本次投标项目出具的唯一、合法且 
有效的授权书。若同一制造商在本项目中授权两家或以上代理商参与投标， 代理商均按无效标处理；制造商与其合法代理商同时参加本次投标，代理商 按无效标处理。（按要求提供有效证明材料）。
</x:v>
      </x:c>
      <x:c r="J105" s="6" t="str">
        <x:v>O002</x:v>
      </x:c>
      <x:c r="K105" s="6" t="str">
        <x:v>纳入核验字段</x:v>
      </x:c>
      <x:c r="L105" s="6" t="str">
        <x:v>原文明确</x:v>
      </x:c>
    </x:row>
    <x:row r="106" ht="34" customHeight="1">
      <x:c r="A106" s="6" t="str">
        <x:v>R0100</x:v>
      </x:c>
      <x:c r="B106" s="6" t="str">
        <x:v>字段</x:v>
      </x:c>
      <x:c r="C106" s="18" t="n">
        <x:v>1</x:v>
      </x:c>
      <x:c r="D106" s="6" t="str">
        <x:v>深圳市比亚迪锂电池有限公司</x:v>
      </x:c>
      <x:c r="E106" s="6" t="str">
        <x:v>招标文件费用</x:v>
      </x:c>
      <x:c r="F106" s="6" t="str">
        <x:v>5.3 招标文件每套售价 0 元，售后不退，投标资格不得转让。</x:v>
      </x:c>
      <x:c r="G106" s="6" t="str"/>
      <x:c r="H106" s="13" t="d">
        <x:v>2026-07-14T00:00:00.000Z</x:v>
      </x:c>
      <x:c r="I106" s="6" t="str">
        <x:v>5.3 招标文件每套售价 0 元，售后不退，投标资格不得转让。 </x:v>
      </x:c>
      <x:c r="J106" s="6" t="str">
        <x:v>O002</x:v>
      </x:c>
      <x:c r="K106" s="6" t="str">
        <x:v>纳入核验字段</x:v>
      </x:c>
      <x:c r="L106" s="6" t="str">
        <x:v>原文明确</x:v>
      </x:c>
    </x:row>
    <x:row r="107" ht="34" customHeight="1">
      <x:c r="A107" s="6" t="str">
        <x:v>R0101</x:v>
      </x:c>
      <x:c r="B107" s="6" t="str">
        <x:v>字段</x:v>
      </x:c>
      <x:c r="C107" s="18" t="n">
        <x:v>1</x:v>
      </x:c>
      <x:c r="D107" s="6" t="str">
        <x:v>深圳市比亚迪锂电池有限公司</x:v>
      </x:c>
      <x:c r="E107" s="6" t="str">
        <x:v>平台服务费</x:v>
      </x:c>
      <x:c r="F107" s="6" t="str">
        <x:v>5.4 平台服务费 500 元/标包，平台服务费售后不退。</x:v>
      </x:c>
      <x:c r="G107" s="6" t="str"/>
      <x:c r="H107" s="13" t="d">
        <x:v>2026-07-14T00:00:00.000Z</x:v>
      </x:c>
      <x:c r="I107" s="6" t="str">
        <x:v>5.4 平台服务费 500 元/标包，平台服务费售后不退。 </x:v>
      </x:c>
      <x:c r="J107" s="6" t="str">
        <x:v>O002</x:v>
      </x:c>
      <x:c r="K107" s="6" t="str">
        <x:v>纳入核验字段</x:v>
      </x:c>
      <x:c r="L107" s="6" t="str">
        <x:v>原文明确</x:v>
      </x:c>
    </x:row>
    <x:row r="108" ht="56" customHeight="1">
      <x:c r="A108" s="6" t="str">
        <x:v>R0102</x:v>
      </x:c>
      <x:c r="B108" s="6" t="str">
        <x:v>字段</x:v>
      </x:c>
      <x:c r="C108" s="18" t="n">
        <x:v>1</x:v>
      </x:c>
      <x:c r="D108" s="6" t="str">
        <x:v>公诚管理咨询有限公司</x:v>
      </x:c>
      <x:c r="E108" s="6" t="str">
        <x:v>招标代理项目负责人</x:v>
      </x:c>
      <x:c r="F108" s="6" t="str">
        <x:v>闵代道、郑沙、何琴琴、王玮、马姗姗、孙婉超、童本锋 电 话：18126131331、18617187621 电子邮件：mindd@chinaccs.cn、zhengsha@chinaccs.cn</x:v>
      </x:c>
      <x:c r="G108" s="6" t="str"/>
      <x:c r="H108" s="13" t="d">
        <x:v>2026-07-14T00:00:00.000Z</x:v>
      </x:c>
      <x:c r="I108" s="6" t="str">
        <x:v>招标代理机构：公诚管理咨询有限公司 地 址：深圳市福田区新闻路 2 号英龙商务中心33E 室 项目负责人：闵代道、郑沙、何琴琴、王玮、马姗姗、孙婉超、童本锋 电 话：18126131331、18617187621 电子邮件：mindd@chinaccs.cn、zhengsha@chinaccs.cn </x:v>
      </x:c>
      <x:c r="J108" s="6" t="str">
        <x:v>O002</x:v>
      </x:c>
      <x:c r="K108" s="6" t="str">
        <x:v>关联或待核</x:v>
      </x:c>
      <x:c r="L108" s="6" t="str">
        <x:v>原文明确</x:v>
      </x:c>
    </x:row>
    <x:row r="109" ht="56" customHeight="1">
      <x:c r="A109" s="6" t="str">
        <x:v>R0103</x:v>
      </x:c>
      <x:c r="B109" s="6" t="str">
        <x:v>字段</x:v>
      </x:c>
      <x:c r="C109" s="18" t="n">
        <x:v>1</x:v>
      </x:c>
      <x:c r="D109" s="6" t="str">
        <x:v>公诚管理咨询有限公司</x:v>
      </x:c>
      <x:c r="E109" s="6" t="str">
        <x:v>招标代理联系电话</x:v>
      </x:c>
      <x:c r="F109" s="6" t="str">
        <x:v>18126131331、18617187621 电子邮件：mindd@chinaccs.cn、zhengsha@chinaccs.cn</x:v>
      </x:c>
      <x:c r="G109" s="6" t="str"/>
      <x:c r="H109" s="13" t="d">
        <x:v>2026-07-14T00:00:00.000Z</x:v>
      </x:c>
      <x:c r="I109" s="6" t="str">
        <x:v>招标代理机构：公诚管理咨询有限公司 地 址：深圳市福田区新闻路 2 号英龙商务中心33E 室 项目负责人：闵代道、郑沙、何琴琴、王玮、马姗姗、孙婉超、童本锋 电 话：18126131331、18617187621 电子邮件：mindd@chinaccs.cn、zhengsha@chinaccs.cn </x:v>
      </x:c>
      <x:c r="J109" s="6" t="str">
        <x:v>O002</x:v>
      </x:c>
      <x:c r="K109" s="6" t="str">
        <x:v>关联或待核</x:v>
      </x:c>
      <x:c r="L109" s="6" t="str">
        <x:v>原文明确</x:v>
      </x:c>
    </x:row>
    <x:row r="110" ht="56" customHeight="1">
      <x:c r="A110" s="6" t="str">
        <x:v>R0104</x:v>
      </x:c>
      <x:c r="B110" s="6" t="str">
        <x:v>字段</x:v>
      </x:c>
      <x:c r="C110" s="18" t="n">
        <x:v>1</x:v>
      </x:c>
      <x:c r="D110" s="6" t="str">
        <x:v>公诚管理咨询有限公司</x:v>
      </x:c>
      <x:c r="E110" s="6" t="str">
        <x:v>招标代理电子邮件（原文）</x:v>
      </x:c>
      <x:c r="F110" s="6" t="str">
        <x:v>mindd@chinaccs.cn、zhengsha@chinaccs.cn</x:v>
      </x:c>
      <x:c r="G110" s="6" t="str"/>
      <x:c r="H110" s="13" t="d">
        <x:v>2026-07-14T00:00:00.000Z</x:v>
      </x:c>
      <x:c r="I110" s="6" t="str">
        <x:v>招标代理机构：公诚管理咨询有限公司 地 址：深圳市福田区新闻路 2 号英龙商务中心33E 室 项目负责人：闵代道、郑沙、何琴琴、王玮、马姗姗、孙婉超、童本锋 电 话：18126131331、18617187621 电子邮件：mindd@chinaccs.cn、zhengsha@chinaccs.cn </x:v>
      </x:c>
      <x:c r="J110" s="6" t="str">
        <x:v>O002</x:v>
      </x:c>
      <x:c r="K110" s="6" t="str">
        <x:v>关联或待核</x:v>
      </x:c>
      <x:c r="L110" s="6" t="str">
        <x:v>原文明确</x:v>
      </x:c>
    </x:row>
    <x:row r="111" ht="56" customHeight="1">
      <x:c r="A111" s="6" t="str">
        <x:v>R0105</x:v>
      </x:c>
      <x:c r="B111" s="6" t="str">
        <x:v>字段</x:v>
      </x:c>
      <x:c r="C111" s="18" t="n">
        <x:v>1</x:v>
      </x:c>
      <x:c r="D111" s="6" t="str">
        <x:v>深圳市比亚迪锂电池有限公司</x:v>
      </x:c>
      <x:c r="E111" s="6" t="str">
        <x:v>实际采购主体</x:v>
      </x:c>
      <x:c r="F111" s="6" t="str">
        <x:v>深圳市比亚迪锂电池有限公司</x:v>
      </x:c>
      <x:c r="G111" s="6" t="str"/>
      <x:c r="H111" s="13" t="d">
        <x:v>2026-06-17T00:00:00.000Z</x:v>
      </x:c>
      <x:c r="I111" s="6" t="str">
        <x:v>深圳市比亚迪锂电池有限公司（以下简称“招标人”）委托公诚管理咨询有限公司（以下简称“招标代理机构”）就比亚迪公司硬X射线XPS采购项目（招标代理项目编号： SZ-05-04A-2026-D-F-E15499）进行公开招标采购</x:v>
      </x:c>
      <x:c r="J111" s="6" t="str">
        <x:v>O003</x:v>
      </x:c>
      <x:c r="K111" s="6" t="str">
        <x:v>纳入核验字段</x:v>
      </x:c>
      <x:c r="L111" s="6" t="str">
        <x:v>原文明确</x:v>
      </x:c>
    </x:row>
    <x:row r="112" ht="34" customHeight="1">
      <x:c r="A112" s="6" t="str">
        <x:v>R0106</x:v>
      </x:c>
      <x:c r="B112" s="6" t="str">
        <x:v>字段</x:v>
      </x:c>
      <x:c r="C112" s="18" t="n">
        <x:v>1</x:v>
      </x:c>
      <x:c r="D112" s="6" t="str">
        <x:v>深圳市比亚迪锂电池有限公司</x:v>
      </x:c>
      <x:c r="E112" s="6" t="str">
        <x:v>公告采购方联系地址</x:v>
      </x:c>
      <x:c r="F112" s="6" t="str">
        <x:v>深圳市龙岗区宝龙街道宝龙比亚迪三期四栋</x:v>
      </x:c>
      <x:c r="G112" s="6" t="str"/>
      <x:c r="H112" s="13" t="d">
        <x:v>2026-06-17T00:00:00.000Z</x:v>
      </x:c>
      <x:c r="I112" s="6" t="str">
        <x:v>地 址：深圳市龙岗区宝龙街道宝龙比亚迪三期四栋</x:v>
      </x:c>
      <x:c r="J112" s="6" t="str">
        <x:v>O003</x:v>
      </x:c>
      <x:c r="K112" s="6" t="str">
        <x:v>纳入核验字段</x:v>
      </x:c>
      <x:c r="L112" s="6" t="str">
        <x:v>原文明确</x:v>
      </x:c>
    </x:row>
    <x:row r="113" ht="40" customHeight="1">
      <x:c r="A113" s="6" t="str">
        <x:v>R0107</x:v>
      </x:c>
      <x:c r="B113" s="6" t="str">
        <x:v>字段</x:v>
      </x:c>
      <x:c r="C113" s="18" t="n">
        <x:v>1</x:v>
      </x:c>
      <x:c r="D113" s="6" t="str">
        <x:v>深圳市比亚迪锂电池有限公司</x:v>
      </x:c>
      <x:c r="E113" s="6" t="str">
        <x:v>采购方联系人</x:v>
      </x:c>
      <x:c r="F113" s="6" t="str">
        <x:v>靳晓霞</x:v>
      </x:c>
      <x:c r="G113" s="6" t="str"/>
      <x:c r="H113" s="13" t="d">
        <x:v>2026-06-17T00:00:00.000Z</x:v>
      </x:c>
      <x:c r="I113" s="6" t="str">
        <x:v>招标人：深圳市比亚迪锂电池有限公司
地 址：深圳市龙岗区宝龙街道宝龙比亚迪三期四栋
联 系 人：靳晓霞
电 话： 18620338317</x:v>
      </x:c>
      <x:c r="J113" s="6" t="str">
        <x:v>O003</x:v>
      </x:c>
      <x:c r="K113" s="6" t="str">
        <x:v>纳入核验字段</x:v>
      </x:c>
      <x:c r="L113" s="6" t="str">
        <x:v>原文明确</x:v>
      </x:c>
    </x:row>
    <x:row r="114" ht="40" customHeight="1">
      <x:c r="A114" s="6" t="str">
        <x:v>R0108</x:v>
      </x:c>
      <x:c r="B114" s="6" t="str">
        <x:v>字段</x:v>
      </x:c>
      <x:c r="C114" s="18" t="n">
        <x:v>1</x:v>
      </x:c>
      <x:c r="D114" s="6" t="str">
        <x:v>深圳市比亚迪锂电池有限公司</x:v>
      </x:c>
      <x:c r="E114" s="6" t="str">
        <x:v>采购方联系电话</x:v>
      </x:c>
      <x:c r="F114" s="14" t="str">
        <x:v>18620338317</x:v>
      </x:c>
      <x:c r="G114" s="6" t="str"/>
      <x:c r="H114" s="13" t="d">
        <x:v>2026-06-17T00:00:00.000Z</x:v>
      </x:c>
      <x:c r="I114" s="6" t="str">
        <x:v>招标人：深圳市比亚迪锂电池有限公司
地 址：深圳市龙岗区宝龙街道宝龙比亚迪三期四栋
联 系 人：靳晓霞
电 话： 18620338317</x:v>
      </x:c>
      <x:c r="J114" s="6" t="str">
        <x:v>O003</x:v>
      </x:c>
      <x:c r="K114" s="6" t="str">
        <x:v>纳入核验字段</x:v>
      </x:c>
      <x:c r="L114" s="6" t="str">
        <x:v>原文明确</x:v>
      </x:c>
    </x:row>
    <x:row r="115" ht="34" customHeight="1">
      <x:c r="A115" s="6" t="str">
        <x:v>R0109</x:v>
      </x:c>
      <x:c r="B115" s="6" t="str">
        <x:v>字段</x:v>
      </x:c>
      <x:c r="C115" s="18" t="n">
        <x:v>1</x:v>
      </x:c>
      <x:c r="D115" s="6" t="str">
        <x:v>深圳市比亚迪锂电池有限公司</x:v>
      </x:c>
      <x:c r="E115" s="6" t="str">
        <x:v>项目交货地点</x:v>
      </x:c>
      <x:c r="F115" s="6" t="str">
        <x:v>深圳市龙岗区宝龙比亚迪</x:v>
      </x:c>
      <x:c r="G115" s="6" t="str"/>
      <x:c r="H115" s="13" t="d">
        <x:v>2026-06-17T00:00:00.000Z</x:v>
      </x:c>
      <x:c r="I115" s="6" t="str">
        <x:v>2.6交货地点：深圳市龙岗区宝龙比亚迪</x:v>
      </x:c>
      <x:c r="J115" s="6" t="str">
        <x:v>O003</x:v>
      </x:c>
      <x:c r="K115" s="6" t="str">
        <x:v>纳入核验字段</x:v>
      </x:c>
      <x:c r="L115" s="6" t="str">
        <x:v>原文明确</x:v>
      </x:c>
    </x:row>
    <x:row r="116" ht="34" customHeight="1">
      <x:c r="A116" s="6" t="str">
        <x:v>R0110</x:v>
      </x:c>
      <x:c r="B116" s="6" t="str">
        <x:v>字段</x:v>
      </x:c>
      <x:c r="C116" s="18" t="n">
        <x:v>1</x:v>
      </x:c>
      <x:c r="D116" s="6" t="str">
        <x:v>深圳市比亚迪锂电池有限公司</x:v>
      </x:c>
      <x:c r="E116" s="6" t="str">
        <x:v>采购预算（不含税）</x:v>
      </x:c>
      <x:c r="F116" s="14" t="str">
        <x:v>7000000</x:v>
      </x:c>
      <x:c r="G116" s="6" t="str">
        <x:v>元</x:v>
      </x:c>
      <x:c r="H116" s="13" t="d">
        <x:v>2026-06-17T00:00:00.000Z</x:v>
      </x:c>
      <x:c r="I116" s="6" t="str">
        <x:v>项目不含税预算金额700万元</x:v>
      </x:c>
      <x:c r="J116" s="6" t="str">
        <x:v>O003</x:v>
      </x:c>
      <x:c r="K116" s="6" t="str">
        <x:v>纳入核验字段</x:v>
      </x:c>
      <x:c r="L116" s="6" t="str">
        <x:v>原文明确</x:v>
      </x:c>
    </x:row>
    <x:row r="117" ht="136" customHeight="1">
      <x:c r="A117" s="6" t="str">
        <x:v>R0111</x:v>
      </x:c>
      <x:c r="B117" s="6" t="str">
        <x:v>字段</x:v>
      </x:c>
      <x:c r="C117" s="18" t="n">
        <x:v>1</x:v>
      </x:c>
      <x:c r="D117" s="6" t="str">
        <x:v>深圳市比亚迪锂电池有限公司</x:v>
      </x:c>
      <x:c r="E117" s="6" t="str">
        <x:v>采购内容与关键要求</x:v>
      </x:c>
      <x:c r="F117" s="6" t="str">
        <x:v>拟选定一家供应商为招标人提供硬X射线XPS设备1台，主要设备参数要求：Al Kα在微区分析（≤10 µm）能量分辨率和灵敏度：对Ag3d5/2峰,能量分辨≤0.6 eV时，计数率强度≥50 Kcps, 分析功率≤1.3W；Cr Kα在大束斑能量分辨率和灵敏度：对Ag3d5/2峰,能量分辨≤1.0 eV时，计数率强度≥6,000 cps；能量分辨≤1.3 eV时，计数率强度≥15,000 cps 。最小获谱束斑：≤5.0 µm @ Al Kα，≤ 14.0 µm @ Cr Kα，无光阑遮挡, X-射线功率小于1.3W，可采谱，成像和深度剖析。设备具体参数要求详见第五章 技术规范书。</x:v>
      </x:c>
      <x:c r="G117" s="6" t="str"/>
      <x:c r="H117" s="13" t="d">
        <x:v>2026-06-17T00:00:00.000Z</x:v>
      </x:c>
      <x:c r="I117" s="6" t="str">
        <x:v>2.2招标内容：拟选定一家供应商为招标人提供硬X射线XPS设备1台，主要设备参数要求：Al Kα在微区分析（≤10 µm）能量分辨率和灵敏度：对Ag3d5/2峰,能量分辨≤0.6 eV时，计数率强度≥50 Kcps, 分析功率≤1.3W；Cr Kα在大束斑能量分辨率和灵敏度：对Ag3d5/2峰,能量分辨≤1.0 eV时，计数率强度≥6,000 cps；能量分辨≤1.3 eV时，计数率强度≥15,000 cps 。最小获谱束斑：≤5.0 µm @ Al Kα，≤ 14.0 µm @ Cr Kα，无光阑遮挡, X-射线功率小于1.3W，可采谱，成像和深度剖析。设备具体参数要求详见第五章 技术规范书。
</x:v>
      </x:c>
      <x:c r="J117" s="6" t="str">
        <x:v>O003</x:v>
      </x:c>
      <x:c r="K117" s="6" t="str">
        <x:v>纳入核验字段</x:v>
      </x:c>
      <x:c r="L117" s="6" t="str">
        <x:v>原文明确</x:v>
      </x:c>
    </x:row>
    <x:row r="118" ht="40" customHeight="1">
      <x:c r="A118" s="6" t="str">
        <x:v>R0112</x:v>
      </x:c>
      <x:c r="B118" s="6" t="str">
        <x:v>字段</x:v>
      </x:c>
      <x:c r="C118" s="18" t="n">
        <x:v>1</x:v>
      </x:c>
      <x:c r="D118" s="6" t="str">
        <x:v>深圳市比亚迪锂电池有限公司</x:v>
      </x:c>
      <x:c r="E118" s="6" t="str">
        <x:v>付款条件</x:v>
      </x:c>
      <x:c r="F118" s="6" t="str">
        <x:v>付款条件：项目不含税预算金额700万元。付款条件：货到凭票付60%，验收合格后凭票付40%，全部电汇。</x:v>
      </x:c>
      <x:c r="G118" s="6" t="str"/>
      <x:c r="H118" s="13" t="d">
        <x:v>2026-06-17T00:00:00.000Z</x:v>
      </x:c>
      <x:c r="I118" s="6" t="str">
        <x:v>付款条件：项目不含税预算金额700万元。付款条件：货到凭票付60%，验收合格后凭票付40%，全部电汇。
</x:v>
      </x:c>
      <x:c r="J118" s="6" t="str">
        <x:v>O003</x:v>
      </x:c>
      <x:c r="K118" s="6" t="str">
        <x:v>纳入核验字段</x:v>
      </x:c>
      <x:c r="L118" s="6" t="str">
        <x:v>原文明确</x:v>
      </x:c>
    </x:row>
    <x:row r="119" ht="34" customHeight="1">
      <x:c r="A119" s="6" t="str">
        <x:v>R0113</x:v>
      </x:c>
      <x:c r="B119" s="6" t="str">
        <x:v>字段</x:v>
      </x:c>
      <x:c r="C119" s="18" t="n">
        <x:v>1</x:v>
      </x:c>
      <x:c r="D119" s="6" t="str">
        <x:v>深圳市比亚迪锂电池有限公司</x:v>
      </x:c>
      <x:c r="E119" s="6" t="str">
        <x:v>交货期限</x:v>
      </x:c>
      <x:c r="F119" s="6" t="str">
        <x:v>2.5交货期限：签订合同后 240天内交货。</x:v>
      </x:c>
      <x:c r="G119" s="6" t="str"/>
      <x:c r="H119" s="13" t="d">
        <x:v>2026-06-17T00:00:00.000Z</x:v>
      </x:c>
      <x:c r="I119" s="6" t="str">
        <x:v>2.5交货期限：签订合同后 240天内交货。</x:v>
      </x:c>
      <x:c r="J119" s="6" t="str">
        <x:v>O003</x:v>
      </x:c>
      <x:c r="K119" s="6" t="str">
        <x:v>纳入核验字段</x:v>
      </x:c>
      <x:c r="L119" s="6" t="str">
        <x:v>原文明确</x:v>
      </x:c>
    </x:row>
    <x:row r="120" ht="88" customHeight="1">
      <x:c r="A120" s="6" t="str">
        <x:v>R0114</x:v>
      </x:c>
      <x:c r="B120" s="6" t="str">
        <x:v>字段</x:v>
      </x:c>
      <x:c r="C120" s="18" t="n">
        <x:v>1</x:v>
      </x:c>
      <x:c r="D120" s="6" t="str">
        <x:v>深圳市比亚迪锂电池有限公司</x:v>
      </x:c>
      <x:c r="E120" s="6" t="str">
        <x:v>供应商资格</x:v>
      </x:c>
      <x:c r="F120" s="6" t="str">
        <x:v>3.2投标人必须是硬X射线XPS设备的制造商或合法代理商。投标人是制造商的，须出具制造商声明函；投标人为代理商的，须提供代理商资格声明函及制造商(分公司、办事处授权无效)对本次投标项目出具的唯一、合法且有效的授权书。若同一制造商在本项目中授权两家或以上代理商参与投标，代理商均按无效标处理；制造商与其合法代理商同时参加本次投标，代理商按无效标处理。（按要求提供有效证明材料）。</x:v>
      </x:c>
      <x:c r="G120" s="6" t="str"/>
      <x:c r="H120" s="13" t="d">
        <x:v>2026-06-17T00:00:00.000Z</x:v>
      </x:c>
      <x:c r="I120" s="6" t="str">
        <x:v>3.2投标人必须是硬X射线XPS设备的制造商或合法代理商。投标人是制造商的，须出具制造商声明函；投标人为代理商的，须提供代理商资格声明函及制造商(分公司、办事处授权无效)对本次投标项目出具的唯一、合法且有效的授权书。若同一制造商在本项目中授权两家或以上代理商参与投标，代理商均按无效标处理；制造商与其合法代理商同时参加本次投标，代理商按无效标处理。（按要求提供有效证明材料）。
</x:v>
      </x:c>
      <x:c r="J120" s="6" t="str">
        <x:v>O003</x:v>
      </x:c>
      <x:c r="K120" s="6" t="str">
        <x:v>纳入核验字段</x:v>
      </x:c>
      <x:c r="L120" s="6" t="str">
        <x:v>原文明确</x:v>
      </x:c>
    </x:row>
    <x:row r="121" ht="34" customHeight="1">
      <x:c r="A121" s="6" t="str">
        <x:v>R0115</x:v>
      </x:c>
      <x:c r="B121" s="6" t="str">
        <x:v>字段</x:v>
      </x:c>
      <x:c r="C121" s="18" t="n">
        <x:v>1</x:v>
      </x:c>
      <x:c r="D121" s="6" t="str">
        <x:v>深圳市比亚迪锂电池有限公司</x:v>
      </x:c>
      <x:c r="E121" s="6" t="str">
        <x:v>招标文件费用</x:v>
      </x:c>
      <x:c r="F121" s="6" t="str">
        <x:v>5.3 招标文件每套售价0元，售后不退，投标资格不得转让。</x:v>
      </x:c>
      <x:c r="G121" s="6" t="str"/>
      <x:c r="H121" s="13" t="d">
        <x:v>2026-06-17T00:00:00.000Z</x:v>
      </x:c>
      <x:c r="I121" s="6" t="str">
        <x:v>5.3 招标文件每套售价0元，售后不退，投标资格不得转让。</x:v>
      </x:c>
      <x:c r="J121" s="6" t="str">
        <x:v>O003</x:v>
      </x:c>
      <x:c r="K121" s="6" t="str">
        <x:v>纳入核验字段</x:v>
      </x:c>
      <x:c r="L121" s="6" t="str">
        <x:v>原文明确</x:v>
      </x:c>
    </x:row>
    <x:row r="122" ht="34" customHeight="1">
      <x:c r="A122" s="6" t="str">
        <x:v>R0116</x:v>
      </x:c>
      <x:c r="B122" s="6" t="str">
        <x:v>字段</x:v>
      </x:c>
      <x:c r="C122" s="18" t="n">
        <x:v>1</x:v>
      </x:c>
      <x:c r="D122" s="6" t="str">
        <x:v>深圳市比亚迪锂电池有限公司</x:v>
      </x:c>
      <x:c r="E122" s="6" t="str">
        <x:v>平台服务费</x:v>
      </x:c>
      <x:c r="F122" s="6" t="str">
        <x:v>5.4 平台服务费 500元/标包，平台服务费售后不退。</x:v>
      </x:c>
      <x:c r="G122" s="6" t="str"/>
      <x:c r="H122" s="13" t="d">
        <x:v>2026-06-17T00:00:00.000Z</x:v>
      </x:c>
      <x:c r="I122" s="6" t="str">
        <x:v>5.4 平台服务费 500元/标包，平台服务费售后不退。</x:v>
      </x:c>
      <x:c r="J122" s="6" t="str">
        <x:v>O003</x:v>
      </x:c>
      <x:c r="K122" s="6" t="str">
        <x:v>纳入核验字段</x:v>
      </x:c>
      <x:c r="L122" s="6" t="str">
        <x:v>原文明确</x:v>
      </x:c>
    </x:row>
    <x:row r="123" ht="72" customHeight="1">
      <x:c r="A123" s="6" t="str">
        <x:v>R0117</x:v>
      </x:c>
      <x:c r="B123" s="6" t="str">
        <x:v>字段</x:v>
      </x:c>
      <x:c r="C123" s="18" t="n">
        <x:v>1</x:v>
      </x:c>
      <x:c r="D123" s="6" t="str">
        <x:v>公诚管理咨询有限公司</x:v>
      </x:c>
      <x:c r="E123" s="6" t="str">
        <x:v>招标代理项目负责人</x:v>
      </x:c>
      <x:c r="F123" s="6" t="str">
        <x:v>郑沙、闵代道、何琴琴、王玮、马姗姗、孙婉超、童本锋</x:v>
      </x:c>
      <x:c r="G123" s="6" t="str"/>
      <x:c r="H123" s="13" t="d">
        <x:v>2026-06-17T00:00:00.000Z</x:v>
      </x:c>
      <x:c r="I123" s="6" t="str">
        <x:v>招标代理机构：公诚管理咨询有限公司
地 址：深圳市福田区新闻路2号英龙商务中心33E室
项目负责人：郑沙、闵代道、何琴琴、王玮、马姗姗、孙婉超、童本锋
电 话： 18617187621、18126131331
电子邮件： zhengsha@chinaccs.cn、 mindd@@chinaccs.cn
</x:v>
      </x:c>
      <x:c r="J123" s="6" t="str">
        <x:v>O003</x:v>
      </x:c>
      <x:c r="K123" s="6" t="str">
        <x:v>关联或待核</x:v>
      </x:c>
      <x:c r="L123" s="6" t="str">
        <x:v>原文明确</x:v>
      </x:c>
    </x:row>
    <x:row r="124" ht="72" customHeight="1">
      <x:c r="A124" s="6" t="str">
        <x:v>R0118</x:v>
      </x:c>
      <x:c r="B124" s="6" t="str">
        <x:v>字段</x:v>
      </x:c>
      <x:c r="C124" s="18" t="n">
        <x:v>1</x:v>
      </x:c>
      <x:c r="D124" s="6" t="str">
        <x:v>公诚管理咨询有限公司</x:v>
      </x:c>
      <x:c r="E124" s="6" t="str">
        <x:v>招标代理联系电话</x:v>
      </x:c>
      <x:c r="F124" s="6" t="str">
        <x:v>18617187621、18126131331</x:v>
      </x:c>
      <x:c r="G124" s="6" t="str"/>
      <x:c r="H124" s="13" t="d">
        <x:v>2026-06-17T00:00:00.000Z</x:v>
      </x:c>
      <x:c r="I124" s="6" t="str">
        <x:v>招标代理机构：公诚管理咨询有限公司
地 址：深圳市福田区新闻路2号英龙商务中心33E室
项目负责人：郑沙、闵代道、何琴琴、王玮、马姗姗、孙婉超、童本锋
电 话： 18617187621、18126131331
电子邮件： zhengsha@chinaccs.cn、 mindd@@chinaccs.cn
</x:v>
      </x:c>
      <x:c r="J124" s="6" t="str">
        <x:v>O003</x:v>
      </x:c>
      <x:c r="K124" s="6" t="str">
        <x:v>关联或待核</x:v>
      </x:c>
      <x:c r="L124" s="6" t="str">
        <x:v>原文明确</x:v>
      </x:c>
    </x:row>
    <x:row r="125" ht="72" customHeight="1">
      <x:c r="A125" s="6" t="str">
        <x:v>R0119</x:v>
      </x:c>
      <x:c r="B125" s="6" t="str">
        <x:v>字段</x:v>
      </x:c>
      <x:c r="C125" s="18" t="n">
        <x:v>1</x:v>
      </x:c>
      <x:c r="D125" s="6" t="str">
        <x:v>公诚管理咨询有限公司</x:v>
      </x:c>
      <x:c r="E125" s="6" t="str">
        <x:v>招标代理电子邮件（原文）</x:v>
      </x:c>
      <x:c r="F125" s="6" t="str">
        <x:v>zhengsha@chinaccs.cn、 mindd@@chinaccs.cn</x:v>
      </x:c>
      <x:c r="G125" s="6" t="str"/>
      <x:c r="H125" s="13" t="d">
        <x:v>2026-06-17T00:00:00.000Z</x:v>
      </x:c>
      <x:c r="I125" s="6" t="str">
        <x:v>招标代理机构：公诚管理咨询有限公司
地 址：深圳市福田区新闻路2号英龙商务中心33E室
项目负责人：郑沙、闵代道、何琴琴、王玮、马姗姗、孙婉超、童本锋
电 话： 18617187621、18126131331
电子邮件： zhengsha@chinaccs.cn、 mindd@@chinaccs.cn
</x:v>
      </x:c>
      <x:c r="J125" s="6" t="str">
        <x:v>O003</x:v>
      </x:c>
      <x:c r="K125" s="6" t="str">
        <x:v>关联或待核</x:v>
      </x:c>
      <x:c r="L125" s="6" t="str">
        <x:v>待核：原文邮箱格式异常</x:v>
      </x:c>
    </x:row>
    <x:row r="126" ht="56" customHeight="1">
      <x:c r="A126" s="6" t="str">
        <x:v>R0120</x:v>
      </x:c>
      <x:c r="B126" s="6" t="str">
        <x:v>字段</x:v>
      </x:c>
      <x:c r="C126" s="18" t="n">
        <x:v>1</x:v>
      </x:c>
      <x:c r="D126" s="6" t="str">
        <x:v>深圳市比亚迪锂电池有限公司</x:v>
      </x:c>
      <x:c r="E126" s="6" t="str">
        <x:v>实际采购主体</x:v>
      </x:c>
      <x:c r="F126" s="6" t="str">
        <x:v>深圳市比亚迪锂电池有限公司</x:v>
      </x:c>
      <x:c r="G126" s="6" t="str"/>
      <x:c r="H126" s="13" t="d">
        <x:v>2026-08-28T00:00:00.000Z</x:v>
      </x:c>
      <x:c r="I126" s="6" t="str">
        <x:v>深圳市比亚迪锂电池有限公司（以下简称“招标人”）委托公诚管理咨询有限公司（以下简称“招标代理机构”）就比亚迪公司智能体平台采购项目（招标代理项目编号： SZ-05-04A-2026-D-F-E23512）进行公开招标采购</x:v>
      </x:c>
      <x:c r="J126" s="6" t="str">
        <x:v>O004</x:v>
      </x:c>
      <x:c r="K126" s="6" t="str">
        <x:v>纳入核验字段</x:v>
      </x:c>
      <x:c r="L126" s="6" t="str">
        <x:v>原文明确</x:v>
      </x:c>
    </x:row>
    <x:row r="127" ht="34" customHeight="1">
      <x:c r="A127" s="6" t="str">
        <x:v>R0121</x:v>
      </x:c>
      <x:c r="B127" s="6" t="str">
        <x:v>字段</x:v>
      </x:c>
      <x:c r="C127" s="18" t="n">
        <x:v>1</x:v>
      </x:c>
      <x:c r="D127" s="6" t="str">
        <x:v>深圳市比亚迪锂电池有限公司</x:v>
      </x:c>
      <x:c r="E127" s="6" t="str">
        <x:v>公告采购方联系地址</x:v>
      </x:c>
      <x:c r="F127" s="6" t="str">
        <x:v>深圳市龙岗区龙岗街道宝龙工业城宝荷路 3001 号</x:v>
      </x:c>
      <x:c r="G127" s="6" t="str"/>
      <x:c r="H127" s="13" t="d">
        <x:v>2026-08-28T00:00:00.000Z</x:v>
      </x:c>
      <x:c r="I127" s="6" t="str">
        <x:v>地 址：深圳市龙岗区龙岗街道宝龙工业城宝荷路 3001 号</x:v>
      </x:c>
      <x:c r="J127" s="6" t="str">
        <x:v>O004</x:v>
      </x:c>
      <x:c r="K127" s="6" t="str">
        <x:v>纳入核验字段</x:v>
      </x:c>
      <x:c r="L127" s="6" t="str">
        <x:v>原文明确</x:v>
      </x:c>
    </x:row>
    <x:row r="128" ht="40" customHeight="1">
      <x:c r="A128" s="6" t="str">
        <x:v>R0122</x:v>
      </x:c>
      <x:c r="B128" s="6" t="str">
        <x:v>字段</x:v>
      </x:c>
      <x:c r="C128" s="18" t="n">
        <x:v>1</x:v>
      </x:c>
      <x:c r="D128" s="6" t="str">
        <x:v>深圳市比亚迪锂电池有限公司</x:v>
      </x:c>
      <x:c r="E128" s="6" t="str">
        <x:v>采购方联系人</x:v>
      </x:c>
      <x:c r="F128" s="6" t="str">
        <x:v>王世璐</x:v>
      </x:c>
      <x:c r="G128" s="6" t="str"/>
      <x:c r="H128" s="13" t="d">
        <x:v>2026-08-28T00:00:00.000Z</x:v>
      </x:c>
      <x:c r="I128" s="6" t="str">
        <x:v>招标人：深圳市比亚迪锂电池有限公司
地 址：深圳市龙岗区龙岗街道宝龙工业城宝荷路 3001 号
联 系 人：王世璐
电 话： 15542601362</x:v>
      </x:c>
      <x:c r="J128" s="6" t="str">
        <x:v>O004</x:v>
      </x:c>
      <x:c r="K128" s="6" t="str">
        <x:v>纳入核验字段</x:v>
      </x:c>
      <x:c r="L128" s="6" t="str">
        <x:v>原文明确</x:v>
      </x:c>
    </x:row>
    <x:row r="129" ht="40" customHeight="1">
      <x:c r="A129" s="6" t="str">
        <x:v>R0123</x:v>
      </x:c>
      <x:c r="B129" s="6" t="str">
        <x:v>字段</x:v>
      </x:c>
      <x:c r="C129" s="18" t="n">
        <x:v>1</x:v>
      </x:c>
      <x:c r="D129" s="6" t="str">
        <x:v>深圳市比亚迪锂电池有限公司</x:v>
      </x:c>
      <x:c r="E129" s="6" t="str">
        <x:v>采购方联系电话</x:v>
      </x:c>
      <x:c r="F129" s="14" t="str">
        <x:v>15542601362</x:v>
      </x:c>
      <x:c r="G129" s="6" t="str"/>
      <x:c r="H129" s="13" t="d">
        <x:v>2026-08-28T00:00:00.000Z</x:v>
      </x:c>
      <x:c r="I129" s="6" t="str">
        <x:v>招标人：深圳市比亚迪锂电池有限公司
地 址：深圳市龙岗区龙岗街道宝龙工业城宝荷路 3001 号
联 系 人：王世璐
电 话： 15542601362</x:v>
      </x:c>
      <x:c r="J129" s="6" t="str">
        <x:v>O004</x:v>
      </x:c>
      <x:c r="K129" s="6" t="str">
        <x:v>纳入核验字段</x:v>
      </x:c>
      <x:c r="L129" s="6" t="str">
        <x:v>原文明确</x:v>
      </x:c>
    </x:row>
    <x:row r="130" ht="34" customHeight="1">
      <x:c r="A130" s="6" t="str">
        <x:v>R0124</x:v>
      </x:c>
      <x:c r="B130" s="6" t="str">
        <x:v>字段</x:v>
      </x:c>
      <x:c r="C130" s="18" t="n">
        <x:v>1</x:v>
      </x:c>
      <x:c r="D130" s="6" t="str">
        <x:v>深圳市比亚迪锂电池有限公司</x:v>
      </x:c>
      <x:c r="E130" s="6" t="str">
        <x:v>项目交货地点</x:v>
      </x:c>
      <x:c r="F130" s="6" t="str">
        <x:v>深圳市</x:v>
      </x:c>
      <x:c r="G130" s="6" t="str"/>
      <x:c r="H130" s="13" t="d">
        <x:v>2026-08-28T00:00:00.000Z</x:v>
      </x:c>
      <x:c r="I130" s="6" t="str">
        <x:v>2.6交货地点：深圳市</x:v>
      </x:c>
      <x:c r="J130" s="6" t="str">
        <x:v>O004</x:v>
      </x:c>
      <x:c r="K130" s="6" t="str">
        <x:v>纳入核验字段</x:v>
      </x:c>
      <x:c r="L130" s="6" t="str">
        <x:v>原文明确</x:v>
      </x:c>
    </x:row>
    <x:row r="131" ht="34" customHeight="1">
      <x:c r="A131" s="6" t="str">
        <x:v>R0125</x:v>
      </x:c>
      <x:c r="B131" s="6" t="str">
        <x:v>字段</x:v>
      </x:c>
      <x:c r="C131" s="18" t="n">
        <x:v>1</x:v>
      </x:c>
      <x:c r="D131" s="6" t="str">
        <x:v>深圳市比亚迪锂电池有限公司</x:v>
      </x:c>
      <x:c r="E131" s="6" t="str">
        <x:v>采购预算（不含税）</x:v>
      </x:c>
      <x:c r="F131" s="14" t="str">
        <x:v>1370000</x:v>
      </x:c>
      <x:c r="G131" s="6" t="str">
        <x:v>元</x:v>
      </x:c>
      <x:c r="H131" s="13" t="d">
        <x:v>2026-08-28T00:00:00.000Z</x:v>
      </x:c>
      <x:c r="I131" s="6" t="str">
        <x:v>项目不含税预算金额137万元</x:v>
      </x:c>
      <x:c r="J131" s="6" t="str">
        <x:v>O004</x:v>
      </x:c>
      <x:c r="K131" s="6" t="str">
        <x:v>纳入核验字段</x:v>
      </x:c>
      <x:c r="L131" s="6" t="str">
        <x:v>原文明确</x:v>
      </x:c>
    </x:row>
    <x:row r="132" ht="200" customHeight="1">
      <x:c r="A132" s="6" t="str">
        <x:v>R0126</x:v>
      </x:c>
      <x:c r="B132" s="6" t="str">
        <x:v>字段</x:v>
      </x:c>
      <x:c r="C132" s="18" t="n">
        <x:v>1</x:v>
      </x:c>
      <x:c r="D132" s="6" t="str">
        <x:v>深圳市比亚迪锂电池有限公司</x:v>
      </x:c>
      <x:c r="E132" s="6" t="str">
        <x:v>采购内容与关键要求</x:v>
      </x:c>
      <x:c r="F132" s="6" t="str">
        <x:v>拟选定一家供应商为招标人提供智能体平台 1台。设备具体参数如下：
序号
重要性
技术指标
招标参数
比亚迪公司智能体平台
智能体平台硬件参数
★
品牌要求
国产服务器品牌
★
机箱尺寸
≤10U机架式服务器
★
处理器
配置≥2颗X86架构处理器，单处理器核心数≥96C，基准时钟频率≥3.2GHz，最高加速时钟频率≥4.1GHz，支持内存规格≥6400MT/s
★
GPU卡
配置≥16张GPU卡，每张显卡显存≥32GB，单卡FP32理论算力≥104TFLOPS，单卡FP16理论算力≥419TFLOPS，显存带宽≥1790 GB/s，CUDA核心数≥21760
★
内存
配置≥24根64G DDR55600MHz ECC RDIMM内存，支持≥24个DDR5 内存插槽，支持内存镜像、内存热备、内存故障隔离等多种保护模式;
★
硬盘
配置≥8个热插拔硬盘槽位，≥4块3.84TB NVMe U.2 SSD
★
PCIE扩展</x:v>
      </x:c>
      <x:c r="G132" s="6" t="str"/>
      <x:c r="H132" s="13" t="d">
        <x:v>2026-08-28T00:00:00.000Z</x:v>
      </x:c>
      <x:c r="I132" s="6" t="str">
        <x:v>2.2招标内容：拟选定一家供应商为招标人提供智能体平台 1台。设备具体参数如下：
序号
重要性
技术指标
招标参数
比亚迪公司智能体平台
智能体平台硬件参数
★
品牌要求
国产服务器品牌
★
机箱尺寸
≤10U机架式服务器
★
处理器
配置≥2颗X86架构处理器，单处理器核心数≥96C，基准时钟频率≥3.2GHz，最高加速时钟频率≥4.1GHz，支持内存规格≥6400MT/s
★
GPU卡
配置≥16张GPU卡，每张显卡显存≥32GB，单卡FP32理论算力≥104TFLOPS，单卡FP16理论算力≥419TFLOPS，显存带宽≥1790 GB/s，CUDA核心数≥21760
★
内存
配置≥24根64G DDR55600MHz ECC RDIMM内存，支持≥24个DDR5 内存插槽，支持内存镜像、内存热备、内存故障隔离等多种保护模式;
★
硬盘
配置≥8个热插拔硬盘槽位，≥4块3.84TB NVMe U.2 SSD
★</x:v>
      </x:c>
      <x:c r="J132" s="6" t="str">
        <x:v>O004</x:v>
      </x:c>
      <x:c r="K132" s="6" t="str">
        <x:v>纳入核验字段</x:v>
      </x:c>
      <x:c r="L132" s="6" t="str">
        <x:v>原文明确</x:v>
      </x:c>
    </x:row>
    <x:row r="133" ht="200" customHeight="1">
      <x:c r="A133" s="6" t="str">
        <x:v>R0126</x:v>
      </x:c>
      <x:c r="B133" s="6" t="str">
        <x:v>字段</x:v>
      </x:c>
      <x:c r="C133" s="18" t="n">
        <x:v>2</x:v>
      </x:c>
      <x:c r="D133" s="6" t="str">
        <x:v>深圳市比亚迪锂电池有限公司</x:v>
      </x:c>
      <x:c r="E133" s="6" t="str">
        <x:v>采购内容与关键要求</x:v>
      </x:c>
      <x:c r="F133" s="6" t="str">
        <x:v>
最大可配置≥26个PCIe 5.0扩展插槽，可支持≥16个双宽GPU和≥8张高速网卡
★
网络
配置1张双口25G 光纤网卡带模块，≥1张单口400G NDR HCA卡（配400G NDR OSFP多模IB光模块），配套2x400G NDR OSFP多模双口IB光模块，20M MPO-MPO多模光纤线缆
★
电源
配置≥10个热插拔铂金冗余电源，单个电源功率≥3200W，支持电源N+N冗余
★
风扇
配置≥20个8080热插拔风扇，支持N+1冗余
★
管理
集成BMC芯片，对外提供1个1Gbps RJ45管理口，支持Redfish、SNMP、IPMI2.0等标准接口，基于iKVM/HTML5的远程管理界面，提供全面的故障诊断、自动化运维、远程管理的功能，支持BMC双flash冗余备份，BIOS支持中文界面。
服务
3年原厂整机质保带硬盘保留，3年原厂免费上门服务（提供原厂项目授权函以及原厂服务承诺函）
★
集群调优服务
现网4台海</x:v>
      </x:c>
      <x:c r="G133" s="6" t="str"/>
      <x:c r="H133" s="13" t="d">
        <x:v>2026-08-28T00:00:00.000Z</x:v>
      </x:c>
      <x:c r="I133" s="6" t="str">
        <x:v>
PCIE扩展
最大可配置≥26个PCIe 5.0扩展插槽，可支持≥16个双宽GPU和≥8张高速网卡
★
网络
配置1张双口25G 光纤网卡带模块，≥1张单口400G NDR HCA卡（配400G NDR OSFP多模IB光模块），配套2x400G NDR OSFP多模双口IB光模块，20M MPO-MPO多模光纤线缆
★
电源
配置≥10个热插拔铂金冗余电源，单个电源功率≥3200W，支持电源N+N冗余
★
风扇
配置≥20个8080热插拔风扇，支持N+1冗余
★
管理
集成BMC芯片，对外提供1个1Gbps RJ45管理口，支持Redfish、SNMP、IPMI2.0等标准接口，基于iKVM/HTML5的远程管理界面，提供全面的故障诊断、自动化运维、远程管理的功能，支持BMC双flash冗余备份，BIOS支持中文界面。
服务
3年原厂整机质保带硬盘保留，3年原厂免费上门服务（提供原厂项目授权函以及原厂服务承诺函）
★
集群调优服</x:v>
      </x:c>
      <x:c r="J133" s="6" t="str">
        <x:v>O004</x:v>
      </x:c>
      <x:c r="K133" s="6" t="str">
        <x:v>纳入核验字段</x:v>
      </x:c>
      <x:c r="L133" s="6" t="str"/>
    </x:row>
    <x:row r="134" ht="40" customHeight="1">
      <x:c r="A134" s="6" t="str">
        <x:v>R0126</x:v>
      </x:c>
      <x:c r="B134" s="6" t="str">
        <x:v>字段</x:v>
      </x:c>
      <x:c r="C134" s="18" t="n">
        <x:v>3</x:v>
      </x:c>
      <x:c r="D134" s="6" t="str">
        <x:v>深圳市比亚迪锂电池有限公司</x:v>
      </x:c>
      <x:c r="E134" s="6" t="str">
        <x:v>采购内容与关键要求</x:v>
      </x:c>
      <x:c r="F134" s="6" t="str">
        <x:v>光BW1000相关HPC集群系统调试调优服务和培训服务
★
验收要求
稳定运行3个月无故障通过验收。有故障供应商无法解决，招标人有权要求退货。</x:v>
      </x:c>
      <x:c r="G134" s="6" t="str"/>
      <x:c r="H134" s="13" t="d">
        <x:v>2026-08-28T00:00:00.000Z</x:v>
      </x:c>
      <x:c r="I134" s="6" t="str">
        <x:v>务
现网4台海光BW1000相关HPC集群系统调试调优服务和培训服务
★
验收要求
稳定运行3个月无故障通过验收。有故障供应商无法解决，招标人有权要求退货。
</x:v>
      </x:c>
      <x:c r="J134" s="6" t="str">
        <x:v>O004</x:v>
      </x:c>
      <x:c r="K134" s="6" t="str">
        <x:v>纳入核验字段</x:v>
      </x:c>
      <x:c r="L134" s="6" t="str"/>
    </x:row>
    <x:row r="135" ht="40" customHeight="1">
      <x:c r="A135" s="6" t="str">
        <x:v>R0127</x:v>
      </x:c>
      <x:c r="B135" s="6" t="str">
        <x:v>字段</x:v>
      </x:c>
      <x:c r="C135" s="18" t="n">
        <x:v>1</x:v>
      </x:c>
      <x:c r="D135" s="6" t="str">
        <x:v>深圳市比亚迪锂电池有限公司</x:v>
      </x:c>
      <x:c r="E135" s="6" t="str">
        <x:v>付款条件</x:v>
      </x:c>
      <x:c r="F135" s="6" t="str">
        <x:v>付款条件：项目不含税预算金额137万元。付款方式：预付30%,到货凭票付30%,验收合格后凭票付30%,质保一年付10%;全部6个月商票。</x:v>
      </x:c>
      <x:c r="G135" s="6" t="str"/>
      <x:c r="H135" s="13" t="d">
        <x:v>2026-08-28T00:00:00.000Z</x:v>
      </x:c>
      <x:c r="I135" s="6" t="str">
        <x:v>付款条件：项目不含税预算金额137万元。付款方式：预付30%,到货凭票付30%,验收合格后凭票付30%,质保一年付10%;全部6个月商票。
</x:v>
      </x:c>
      <x:c r="J135" s="6" t="str">
        <x:v>O004</x:v>
      </x:c>
      <x:c r="K135" s="6" t="str">
        <x:v>纳入核验字段</x:v>
      </x:c>
      <x:c r="L135" s="6" t="str">
        <x:v>原文明确</x:v>
      </x:c>
    </x:row>
    <x:row r="136" ht="34" customHeight="1">
      <x:c r="A136" s="6" t="str">
        <x:v>R0128</x:v>
      </x:c>
      <x:c r="B136" s="6" t="str">
        <x:v>字段</x:v>
      </x:c>
      <x:c r="C136" s="18" t="n">
        <x:v>1</x:v>
      </x:c>
      <x:c r="D136" s="6" t="str">
        <x:v>深圳市比亚迪锂电池有限公司</x:v>
      </x:c>
      <x:c r="E136" s="6" t="str">
        <x:v>交货期限</x:v>
      </x:c>
      <x:c r="F136" s="6" t="str">
        <x:v>2.5交货期限：签订合同后 60天内交货。</x:v>
      </x:c>
      <x:c r="G136" s="6" t="str"/>
      <x:c r="H136" s="13" t="d">
        <x:v>2026-08-28T00:00:00.000Z</x:v>
      </x:c>
      <x:c r="I136" s="6" t="str">
        <x:v>2.5交货期限：签订合同后 60天内交货。</x:v>
      </x:c>
      <x:c r="J136" s="6" t="str">
        <x:v>O004</x:v>
      </x:c>
      <x:c r="K136" s="6" t="str">
        <x:v>纳入核验字段</x:v>
      </x:c>
      <x:c r="L136" s="6" t="str">
        <x:v>原文明确</x:v>
      </x:c>
    </x:row>
    <x:row r="137" ht="200" customHeight="1">
      <x:c r="A137" s="6" t="str">
        <x:v>R0129</x:v>
      </x:c>
      <x:c r="B137" s="6" t="str">
        <x:v>字段</x:v>
      </x:c>
      <x:c r="C137" s="18" t="n">
        <x:v>1</x:v>
      </x:c>
      <x:c r="D137" s="6" t="str">
        <x:v>深圳市比亚迪锂电池有限公司</x:v>
      </x:c>
      <x:c r="E137" s="6" t="str">
        <x:v>供应商资格</x:v>
      </x:c>
      <x:c r="F137" s="6" t="str">
        <x:v>3.2GHz，最高加速时钟频率≥4.1GHz，支持内存规格≥6400MT/s
★
GPU卡
配置≥16张GPU卡，每张显卡显存≥32GB，单卡FP32理论算力≥104TFLOPS，单卡FP16理论算力≥419TFLOPS，显存带宽≥1790 GB/s，CUDA核心数≥21760
★
内存
配置≥24根64G DDR55600MHz ECC RDIMM内存，支持≥24个DDR5 内存插槽，支持内存镜像、内存热备、内存故障隔离等多种保护模式;
★
硬盘
配置≥8个热插拔硬盘槽位，≥4块3.84TB NVMe U.2 SSD
★
PCIE扩展
最大可配置≥26个PCIe 5.0扩展插槽，可支持≥16个双宽GPU和≥8张高速网卡
★
网络
配置1张双口25G 光纤网卡带模块，≥1张单口400G NDR HCA卡（配400G NDR OSFP多模IB光模块），配套2x400G NDR OSFP多模双口IB光模块，20M MPO-MPO多模光纤线缆
</x:v>
      </x:c>
      <x:c r="G137" s="6" t="str"/>
      <x:c r="H137" s="13" t="d">
        <x:v>2026-08-28T00:00:00.000Z</x:v>
      </x:c>
      <x:c r="I137" s="6" t="str">
        <x:v>3.2GHz，最高加速时钟频率≥4.1GHz，支持内存规格≥6400MT/s
★
GPU卡
配置≥16张GPU卡，每张显卡显存≥32GB，单卡FP32理论算力≥104TFLOPS，单卡FP16理论算力≥419TFLOPS，显存带宽≥1790 GB/s，CUDA核心数≥21760
★
内存
配置≥24根64G DDR55600MHz ECC RDIMM内存，支持≥24个DDR5 内存插槽，支持内存镜像、内存热备、内存故障隔离等多种保护模式;
★
硬盘
配置≥8个热插拔硬盘槽位，≥4块3.84TB NVMe U.2 SSD
★
PCIE扩展
最大可配置≥26个PCIe 5.0扩展插槽，可支持≥16个双宽GPU和≥8张高速网卡
★
网络
配置1张双口25G 光纤网卡带模块，≥1张单口400G NDR HCA卡（配400G NDR OSFP多模IB光模块），配套2x400G NDR OSFP多模双口IB光模块，20M MPO-MPO多模光纤线缆
</x:v>
      </x:c>
      <x:c r="J137" s="6" t="str">
        <x:v>O004</x:v>
      </x:c>
      <x:c r="K137" s="6" t="str">
        <x:v>纳入核验字段</x:v>
      </x:c>
      <x:c r="L137" s="6" t="str">
        <x:v>原文明确</x:v>
      </x:c>
    </x:row>
    <x:row r="138" ht="200" customHeight="1">
      <x:c r="A138" s="6" t="str">
        <x:v>R0129</x:v>
      </x:c>
      <x:c r="B138" s="6" t="str">
        <x:v>字段</x:v>
      </x:c>
      <x:c r="C138" s="18" t="n">
        <x:v>2</x:v>
      </x:c>
      <x:c r="D138" s="6" t="str">
        <x:v>深圳市比亚迪锂电池有限公司</x:v>
      </x:c>
      <x:c r="E138" s="6" t="str">
        <x:v>供应商资格</x:v>
      </x:c>
      <x:c r="F138" s="6" t="str">
        <x:v>
★
电源
配置≥10个热插拔铂金冗余电源，单个电源功率≥3200W，支持电源N+N冗余
★
风扇
配置≥20个8080热插拔风扇，支持N+1冗余
★
管理
集成BMC芯片，对外提供1个1Gbps RJ45管理口，支持Redfish、SNMP、IPMI2.0等标准接口，基于iKVM/HTML5的远程管理界面，提供全面的故障诊断、自动化运维、远程管理的功能，支持BMC双flash冗余备份，BIOS支持中文界面。
服务
3年原厂整机质保带硬盘保留，3年原厂免费上门服务（提供原厂项目授权函以及原厂服务承诺函）
★
集群调优服务
现网4台海光BW1000相关HPC集群系统调试调优服务和培训服务
★
验收要求
稳定运行3个月无故障通过验收。有故障供应商无法解决，招标人有权要求退货。
2.3项目预算及付款条件：项目不含税预算金额137万元。付款方式：预付30%,到货凭票付30%,验收合格后凭票付30%,质保一年付10%;全部6个月商票。
2.4</x:v>
      </x:c>
      <x:c r="G138" s="6" t="str"/>
      <x:c r="H138" s="13" t="d">
        <x:v>2026-08-28T00:00:00.000Z</x:v>
      </x:c>
      <x:c r="I138" s="6" t="str">
        <x:v>
★
电源
配置≥10个热插拔铂金冗余电源，单个电源功率≥3200W，支持电源N+N冗余
★
风扇
配置≥20个8080热插拔风扇，支持N+1冗余
★
管理
集成BMC芯片，对外提供1个1Gbps RJ45管理口，支持Redfish、SNMP、IPMI2.0等标准接口，基于iKVM/HTML5的远程管理界面，提供全面的故障诊断、自动化运维、远程管理的功能，支持BMC双flash冗余备份，BIOS支持中文界面。
服务
3年原厂整机质保带硬盘保留，3年原厂免费上门服务（提供原厂项目授权函以及原厂服务承诺函）
★
集群调优服务
现网4台海光BW1000相关HPC集群系统调试调优服务和培训服务
★
验收要求
稳定运行3个月无故障通过验收。有故障供应商无法解决，招标人有权要求退货。
2.3项目预算及付款条件：项目不含税预算金额137万元。付款方式：预付30%,到货凭票付30%,验收合格后凭票付30%,质保一年付10%;全部6个月商票。
2.4</x:v>
      </x:c>
      <x:c r="J138" s="6" t="str">
        <x:v>O004</x:v>
      </x:c>
      <x:c r="K138" s="6" t="str">
        <x:v>纳入核验字段</x:v>
      </x:c>
      <x:c r="L138" s="6" t="str"/>
    </x:row>
    <x:row r="139" ht="168" customHeight="1">
      <x:c r="A139" s="6" t="str">
        <x:v>R0129</x:v>
      </x:c>
      <x:c r="B139" s="6" t="str">
        <x:v>字段</x:v>
      </x:c>
      <x:c r="C139" s="18" t="n">
        <x:v>3</x:v>
      </x:c>
      <x:c r="D139" s="6" t="str">
        <x:v>深圳市比亚迪锂电池有限公司</x:v>
      </x:c>
      <x:c r="E139" s="6" t="str">
        <x:v>供应商资格</x:v>
      </x:c>
      <x:c r="F139" s="6" t="str">
        <x:v>标包划分：不划分标包。
2.5交货期限：签订合同后 60天内交货。
2.6交货地点：深圳市
## 三、投标人资格要求
3.1投标人须为在中华人民共和国境内依法登记的法人或其他组织，具有独立承担民事责任的能力。（须提供营业执照或事业单位法人证书等证明资料扫描件。分支机构参与投标的，须取得具有法人资格的总公司（或总部机构）出具给分支机构的授权书，并提供总公司（或总部机构）和分支机构的营业执照复印件）。
3.2投标人必须是服务器的制造商或合法代理商。投标人是制造商的，须出具制造商声明函；投标人为代理商的，须提供代理商资格声明函及制造商(分公司、办事处授权无效)对本次投标项目出具的唯一、合法且有效的授权书。若同一制造商在本项目中授权两家或以上代理商参与投标，代理商均按无效标处理；制造商与其合法代理商同时参加本次投标，代理商按无效标处理。（按要求提供有效证明材料）。</x:v>
      </x:c>
      <x:c r="G139" s="6" t="str"/>
      <x:c r="H139" s="13" t="d">
        <x:v>2026-08-28T00:00:00.000Z</x:v>
      </x:c>
      <x:c r="I139" s="6" t="str">
        <x:v>标包划分：不划分标包。
2.5交货期限：签订合同后 60天内交货。
2.6交货地点：深圳市
## 三、投标人资格要求
3.1投标人须为在中华人民共和国境内依法登记的法人或其他组织，具有独立承担民事责任的能力。（须提供营业执照或事业单位法人证书等证明资料扫描件。分支机构参与投标的，须取得具有法人资格的总公司（或总部机构）出具给分支机构的授权书，并提供总公司（或总部机构）和分支机构的营业执照复印件）。
3.2投标人必须是服务器的制造商或合法代理商。投标人是制造商的，须出具制造商声明函；投标人为代理商的，须提供代理商资格声明函及制造商(分公司、办事处授权无效)对本次投标项目出具的唯一、合法且有效的授权书。若同一制造商在本项目中授权两家或以上代理商参与投标，代理商均按无效标处理；制造商与其合法代理商同时参加本次投标，代理商按无效标处理。（按要求提供有效证明材料）。
</x:v>
      </x:c>
      <x:c r="J139" s="6" t="str">
        <x:v>O004</x:v>
      </x:c>
      <x:c r="K139" s="6" t="str">
        <x:v>纳入核验字段</x:v>
      </x:c>
      <x:c r="L139" s="6" t="str"/>
    </x:row>
    <x:row r="140" ht="34" customHeight="1">
      <x:c r="A140" s="6" t="str">
        <x:v>R0130</x:v>
      </x:c>
      <x:c r="B140" s="6" t="str">
        <x:v>字段</x:v>
      </x:c>
      <x:c r="C140" s="18" t="n">
        <x:v>1</x:v>
      </x:c>
      <x:c r="D140" s="6" t="str">
        <x:v>深圳市比亚迪锂电池有限公司</x:v>
      </x:c>
      <x:c r="E140" s="6" t="str">
        <x:v>招标文件费用</x:v>
      </x:c>
      <x:c r="F140" s="6" t="str">
        <x:v>5.3 招标文件每套售价0元，售后不退，投标资格不得转让。</x:v>
      </x:c>
      <x:c r="G140" s="6" t="str"/>
      <x:c r="H140" s="13" t="d">
        <x:v>2026-08-28T00:00:00.000Z</x:v>
      </x:c>
      <x:c r="I140" s="6" t="str">
        <x:v>5.3 招标文件每套售价0元，售后不退，投标资格不得转让。</x:v>
      </x:c>
      <x:c r="J140" s="6" t="str">
        <x:v>O004</x:v>
      </x:c>
      <x:c r="K140" s="6" t="str">
        <x:v>纳入核验字段</x:v>
      </x:c>
      <x:c r="L140" s="6" t="str">
        <x:v>原文明确</x:v>
      </x:c>
    </x:row>
    <x:row r="141" ht="34" customHeight="1">
      <x:c r="A141" s="6" t="str">
        <x:v>R0131</x:v>
      </x:c>
      <x:c r="B141" s="6" t="str">
        <x:v>字段</x:v>
      </x:c>
      <x:c r="C141" s="18" t="n">
        <x:v>1</x:v>
      </x:c>
      <x:c r="D141" s="6" t="str">
        <x:v>深圳市比亚迪锂电池有限公司</x:v>
      </x:c>
      <x:c r="E141" s="6" t="str">
        <x:v>平台服务费</x:v>
      </x:c>
      <x:c r="F141" s="6" t="str">
        <x:v>5.4 平台服务费 500元/标包，平台服务费售后不退。</x:v>
      </x:c>
      <x:c r="G141" s="6" t="str"/>
      <x:c r="H141" s="13" t="d">
        <x:v>2026-08-28T00:00:00.000Z</x:v>
      </x:c>
      <x:c r="I141" s="6" t="str">
        <x:v>5.4 平台服务费 500元/标包，平台服务费售后不退。</x:v>
      </x:c>
      <x:c r="J141" s="6" t="str">
        <x:v>O004</x:v>
      </x:c>
      <x:c r="K141" s="6" t="str">
        <x:v>纳入核验字段</x:v>
      </x:c>
      <x:c r="L141" s="6" t="str">
        <x:v>原文明确</x:v>
      </x:c>
    </x:row>
    <x:row r="142" ht="72" customHeight="1">
      <x:c r="A142" s="6" t="str">
        <x:v>R0132</x:v>
      </x:c>
      <x:c r="B142" s="6" t="str">
        <x:v>字段</x:v>
      </x:c>
      <x:c r="C142" s="18" t="n">
        <x:v>1</x:v>
      </x:c>
      <x:c r="D142" s="6" t="str">
        <x:v>公诚管理咨询有限公司</x:v>
      </x:c>
      <x:c r="E142" s="6" t="str">
        <x:v>招标代理项目负责人</x:v>
      </x:c>
      <x:c r="F142" s="6" t="str">
        <x:v>郑沙、闵代道、何琴琴、王玮、马姗姗、孙婉超、童本锋</x:v>
      </x:c>
      <x:c r="G142" s="6" t="str"/>
      <x:c r="H142" s="13" t="d">
        <x:v>2026-08-28T00:00:00.000Z</x:v>
      </x:c>
      <x:c r="I142" s="6" t="str">
        <x:v>招标代理机构：公诚管理咨询有限公司
地 址：深圳市福田区新闻路2号英龙商务中心33E室
项目负责人：郑沙、闵代道、何琴琴、王玮、马姗姗、孙婉超、童本锋
电 话： 18617187621、18126131331
电子邮件： 3138458927@qq.com、 mindd@chinaccs.cn
</x:v>
      </x:c>
      <x:c r="J142" s="6" t="str">
        <x:v>O004</x:v>
      </x:c>
      <x:c r="K142" s="6" t="str">
        <x:v>关联或待核</x:v>
      </x:c>
      <x:c r="L142" s="6" t="str">
        <x:v>原文明确</x:v>
      </x:c>
    </x:row>
    <x:row r="143" ht="72" customHeight="1">
      <x:c r="A143" s="6" t="str">
        <x:v>R0133</x:v>
      </x:c>
      <x:c r="B143" s="6" t="str">
        <x:v>字段</x:v>
      </x:c>
      <x:c r="C143" s="18" t="n">
        <x:v>1</x:v>
      </x:c>
      <x:c r="D143" s="6" t="str">
        <x:v>公诚管理咨询有限公司</x:v>
      </x:c>
      <x:c r="E143" s="6" t="str">
        <x:v>招标代理联系电话</x:v>
      </x:c>
      <x:c r="F143" s="6" t="str">
        <x:v>18617187621、18126131331</x:v>
      </x:c>
      <x:c r="G143" s="6" t="str"/>
      <x:c r="H143" s="13" t="d">
        <x:v>2026-08-28T00:00:00.000Z</x:v>
      </x:c>
      <x:c r="I143" s="6" t="str">
        <x:v>招标代理机构：公诚管理咨询有限公司
地 址：深圳市福田区新闻路2号英龙商务中心33E室
项目负责人：郑沙、闵代道、何琴琴、王玮、马姗姗、孙婉超、童本锋
电 话： 18617187621、18126131331
电子邮件： 3138458927@qq.com、 mindd@chinaccs.cn
</x:v>
      </x:c>
      <x:c r="J143" s="6" t="str">
        <x:v>O004</x:v>
      </x:c>
      <x:c r="K143" s="6" t="str">
        <x:v>关联或待核</x:v>
      </x:c>
      <x:c r="L143" s="6" t="str">
        <x:v>原文明确</x:v>
      </x:c>
    </x:row>
    <x:row r="144" ht="72" customHeight="1">
      <x:c r="A144" s="6" t="str">
        <x:v>R0134</x:v>
      </x:c>
      <x:c r="B144" s="6" t="str">
        <x:v>字段</x:v>
      </x:c>
      <x:c r="C144" s="18" t="n">
        <x:v>1</x:v>
      </x:c>
      <x:c r="D144" s="6" t="str">
        <x:v>公诚管理咨询有限公司</x:v>
      </x:c>
      <x:c r="E144" s="6" t="str">
        <x:v>招标代理电子邮件（原文）</x:v>
      </x:c>
      <x:c r="F144" s="6" t="str">
        <x:v>3138458927@qq.com、 mindd@chinaccs.cn</x:v>
      </x:c>
      <x:c r="G144" s="6" t="str"/>
      <x:c r="H144" s="13" t="d">
        <x:v>2026-08-28T00:00:00.000Z</x:v>
      </x:c>
      <x:c r="I144" s="6" t="str">
        <x:v>招标代理机构：公诚管理咨询有限公司
地 址：深圳市福田区新闻路2号英龙商务中心33E室
项目负责人：郑沙、闵代道、何琴琴、王玮、马姗姗、孙婉超、童本锋
电 话： 18617187621、18126131331
电子邮件： 3138458927@qq.com、 mindd@chinaccs.cn
</x:v>
      </x:c>
      <x:c r="J144" s="6" t="str">
        <x:v>O004</x:v>
      </x:c>
      <x:c r="K144" s="6" t="str">
        <x:v>关联或待核</x:v>
      </x:c>
      <x:c r="L144" s="6" t="str">
        <x:v>原文明确</x:v>
      </x:c>
    </x:row>
    <x:row r="145" ht="34" customHeight="1">
      <x:c r="A145" s="6" t="str">
        <x:v>R0135</x:v>
      </x:c>
      <x:c r="B145" s="6" t="str">
        <x:v>字段</x:v>
      </x:c>
      <x:c r="C145" s="18" t="n">
        <x:v>1</x:v>
      </x:c>
      <x:c r="D145" s="6" t="str">
        <x:v>惠州比亚迪电池有限公司</x:v>
      </x:c>
      <x:c r="E145" s="6" t="str">
        <x:v>实际采购主体</x:v>
      </x:c>
      <x:c r="F145" s="6" t="str">
        <x:v>惠州比亚迪电池有限公司</x:v>
      </x:c>
      <x:c r="G145" s="6" t="str"/>
      <x:c r="H145" s="13" t="d">
        <x:v>2026-07-10T00:00:00.000Z</x:v>
      </x:c>
      <x:c r="I145" s="6" t="str">
        <x:v>招标人：惠州比亚迪电池有限公司</x:v>
      </x:c>
      <x:c r="J145" s="6" t="str">
        <x:v>O005</x:v>
      </x:c>
      <x:c r="K145" s="6" t="str">
        <x:v>纳入核验字段</x:v>
      </x:c>
      <x:c r="L145" s="6" t="str">
        <x:v>原文明确</x:v>
      </x:c>
    </x:row>
    <x:row r="146" ht="34" customHeight="1">
      <x:c r="A146" s="6" t="str">
        <x:v>R0136</x:v>
      </x:c>
      <x:c r="B146" s="6" t="str">
        <x:v>字段</x:v>
      </x:c>
      <x:c r="C146" s="18" t="n">
        <x:v>1</x:v>
      </x:c>
      <x:c r="D146" s="6" t="str">
        <x:v>惠州比亚迪电池有限公司</x:v>
      </x:c>
      <x:c r="E146" s="6" t="str">
        <x:v>公告采购方联系地址</x:v>
      </x:c>
      <x:c r="F146" s="6" t="str">
        <x:v>惠州市惠阳区龙山八路惠州比亚迪工业园二期</x:v>
      </x:c>
      <x:c r="G146" s="6" t="str"/>
      <x:c r="H146" s="13" t="d">
        <x:v>2026-07-10T00:00:00.000Z</x:v>
      </x:c>
      <x:c r="I146" s="6" t="str">
        <x:v>地 址：惠州市惠阳区龙山八路惠州比亚迪工业园二期</x:v>
      </x:c>
      <x:c r="J146" s="6" t="str">
        <x:v>O005</x:v>
      </x:c>
      <x:c r="K146" s="6" t="str">
        <x:v>纳入核验字段</x:v>
      </x:c>
      <x:c r="L146" s="6" t="str">
        <x:v>原文明确</x:v>
      </x:c>
    </x:row>
    <x:row r="147" ht="40" customHeight="1">
      <x:c r="A147" s="6" t="str">
        <x:v>R0137</x:v>
      </x:c>
      <x:c r="B147" s="6" t="str">
        <x:v>字段</x:v>
      </x:c>
      <x:c r="C147" s="18" t="n">
        <x:v>1</x:v>
      </x:c>
      <x:c r="D147" s="6" t="str">
        <x:v>惠州比亚迪电池有限公司</x:v>
      </x:c>
      <x:c r="E147" s="6" t="str">
        <x:v>采购方联系人</x:v>
      </x:c>
      <x:c r="F147" s="6" t="str">
        <x:v>沈女士</x:v>
      </x:c>
      <x:c r="G147" s="6" t="str"/>
      <x:c r="H147" s="13" t="d">
        <x:v>2026-07-10T00:00:00.000Z</x:v>
      </x:c>
      <x:c r="I147" s="6" t="str">
        <x:v>招标人：惠州比亚迪电池有限公司
地 址：惠州市惠阳区龙山八路惠州比亚迪工业园二期
联 系 人：沈女士
电 话：19928817675</x:v>
      </x:c>
      <x:c r="J147" s="6" t="str">
        <x:v>O005</x:v>
      </x:c>
      <x:c r="K147" s="6" t="str">
        <x:v>纳入核验字段</x:v>
      </x:c>
      <x:c r="L147" s="6" t="str">
        <x:v>原文明确</x:v>
      </x:c>
    </x:row>
    <x:row r="148" ht="40" customHeight="1">
      <x:c r="A148" s="6" t="str">
        <x:v>R0138</x:v>
      </x:c>
      <x:c r="B148" s="6" t="str">
        <x:v>字段</x:v>
      </x:c>
      <x:c r="C148" s="18" t="n">
        <x:v>1</x:v>
      </x:c>
      <x:c r="D148" s="6" t="str">
        <x:v>惠州比亚迪电池有限公司</x:v>
      </x:c>
      <x:c r="E148" s="6" t="str">
        <x:v>采购方联系电话</x:v>
      </x:c>
      <x:c r="F148" s="14" t="str">
        <x:v>19928817675</x:v>
      </x:c>
      <x:c r="G148" s="6" t="str"/>
      <x:c r="H148" s="13" t="d">
        <x:v>2026-07-10T00:00:00.000Z</x:v>
      </x:c>
      <x:c r="I148" s="6" t="str">
        <x:v>招标人：惠州比亚迪电池有限公司
地 址：惠州市惠阳区龙山八路惠州比亚迪工业园二期
联 系 人：沈女士
电 话：19928817675</x:v>
      </x:c>
      <x:c r="J148" s="6" t="str">
        <x:v>O005</x:v>
      </x:c>
      <x:c r="K148" s="6" t="str">
        <x:v>纳入核验字段</x:v>
      </x:c>
      <x:c r="L148" s="6" t="str">
        <x:v>原文明确</x:v>
      </x:c>
    </x:row>
    <x:row r="149" ht="34" customHeight="1">
      <x:c r="A149" s="6" t="str">
        <x:v>R0139</x:v>
      </x:c>
      <x:c r="B149" s="6" t="str">
        <x:v>字段</x:v>
      </x:c>
      <x:c r="C149" s="18" t="n">
        <x:v>1</x:v>
      </x:c>
      <x:c r="D149" s="6" t="str">
        <x:v>惠州比亚迪电池有限公司</x:v>
      </x:c>
      <x:c r="E149" s="6" t="str">
        <x:v>中止原因</x:v>
      </x:c>
      <x:c r="F149" s="6" t="str">
        <x:v>现因招标人项目需求及预算变更，中止本次项目采购</x:v>
      </x:c>
      <x:c r="G149" s="6" t="str"/>
      <x:c r="H149" s="13" t="d">
        <x:v>2026-07-10T00:00:00.000Z</x:v>
      </x:c>
      <x:c r="I149" s="6" t="str">
        <x:v>现因招标人项目需求及预算变更，中止本次项目采购</x:v>
      </x:c>
      <x:c r="J149" s="6" t="str">
        <x:v>O005</x:v>
      </x:c>
      <x:c r="K149" s="6" t="str">
        <x:v>纳入核验字段</x:v>
      </x:c>
      <x:c r="L149" s="6" t="str">
        <x:v>原文明确</x:v>
      </x:c>
    </x:row>
    <x:row r="150" ht="40" customHeight="1">
      <x:c r="A150" s="6" t="str">
        <x:v>R0140</x:v>
      </x:c>
      <x:c r="B150" s="6" t="str">
        <x:v>字段</x:v>
      </x:c>
      <x:c r="C150" s="18" t="n">
        <x:v>1</x:v>
      </x:c>
      <x:c r="D150" s="6" t="str">
        <x:v>公诚管理咨询有限公司</x:v>
      </x:c>
      <x:c r="E150" s="6" t="str">
        <x:v>招标代理项目负责人</x:v>
      </x:c>
      <x:c r="F150" s="6" t="str">
        <x:v>闵代道</x:v>
      </x:c>
      <x:c r="G150" s="6" t="str"/>
      <x:c r="H150" s="13" t="d">
        <x:v>2026-07-10T00:00:00.000Z</x:v>
      </x:c>
      <x:c r="I150" s="6" t="str">
        <x:v>招标代理机构：公诚管理咨询有限公司
地 址：深圳市福田区新闻路2号英龙商务中心33E室
项目负责人：闵代道
电 话：18126131331
</x:v>
      </x:c>
      <x:c r="J150" s="6" t="str">
        <x:v>O005</x:v>
      </x:c>
      <x:c r="K150" s="6" t="str">
        <x:v>关联或待核</x:v>
      </x:c>
      <x:c r="L150" s="6" t="str">
        <x:v>原文明确</x:v>
      </x:c>
    </x:row>
    <x:row r="151" ht="40" customHeight="1">
      <x:c r="A151" s="6" t="str">
        <x:v>R0141</x:v>
      </x:c>
      <x:c r="B151" s="6" t="str">
        <x:v>字段</x:v>
      </x:c>
      <x:c r="C151" s="18" t="n">
        <x:v>1</x:v>
      </x:c>
      <x:c r="D151" s="6" t="str">
        <x:v>公诚管理咨询有限公司</x:v>
      </x:c>
      <x:c r="E151" s="6" t="str">
        <x:v>招标代理联系电话</x:v>
      </x:c>
      <x:c r="F151" s="14" t="str">
        <x:v>18126131331</x:v>
      </x:c>
      <x:c r="G151" s="6" t="str"/>
      <x:c r="H151" s="13" t="d">
        <x:v>2026-07-10T00:00:00.000Z</x:v>
      </x:c>
      <x:c r="I151" s="6" t="str">
        <x:v>招标代理机构：公诚管理咨询有限公司
地 址：深圳市福田区新闻路2号英龙商务中心33E室
项目负责人：闵代道
电 话：18126131331
</x:v>
      </x:c>
      <x:c r="J151" s="6" t="str">
        <x:v>O005</x:v>
      </x:c>
      <x:c r="K151" s="6" t="str">
        <x:v>关联或待核</x:v>
      </x:c>
      <x:c r="L151" s="6" t="str">
        <x:v>原文明确</x:v>
      </x:c>
    </x:row>
    <x:row r="152" ht="34" customHeight="1">
      <x:c r="A152" s="6" t="str">
        <x:v>R0142</x:v>
      </x:c>
      <x:c r="B152" s="6" t="str">
        <x:v>字段</x:v>
      </x:c>
      <x:c r="C152" s="18" t="n">
        <x:v>1</x:v>
      </x:c>
      <x:c r="D152" s="6" t="str">
        <x:v>深圳市比亚迪锂电池有限公司</x:v>
      </x:c>
      <x:c r="E152" s="6" t="str">
        <x:v>实际采购主体</x:v>
      </x:c>
      <x:c r="F152" s="6" t="str">
        <x:v>深圳市比亚迪锂电池有限公司</x:v>
      </x:c>
      <x:c r="G152" s="6" t="str"/>
      <x:c r="H152" s="13" t="d">
        <x:v>2026-06-25T00:00:00.000Z</x:v>
      </x:c>
      <x:c r="I152" s="6" t="str">
        <x:v>招标人：深圳市比亚迪锂电池有限公司</x:v>
      </x:c>
      <x:c r="J152" s="6" t="str">
        <x:v>O006</x:v>
      </x:c>
      <x:c r="K152" s="6" t="str">
        <x:v>纳入核验字段</x:v>
      </x:c>
      <x:c r="L152" s="6" t="str">
        <x:v>原文明确</x:v>
      </x:c>
    </x:row>
    <x:row r="153" ht="34" customHeight="1">
      <x:c r="A153" s="6" t="str">
        <x:v>R0143</x:v>
      </x:c>
      <x:c r="B153" s="6" t="str">
        <x:v>字段</x:v>
      </x:c>
      <x:c r="C153" s="18" t="n">
        <x:v>1</x:v>
      </x:c>
      <x:c r="D153" s="6" t="str">
        <x:v>深圳市比亚迪锂电池有限公司</x:v>
      </x:c>
      <x:c r="E153" s="6" t="str">
        <x:v>公告采购方联系地址</x:v>
      </x:c>
      <x:c r="F153" s="6" t="str">
        <x:v>深圳市坪山区坑梓街道秀沙路 5 号坑梓比亚迪二期</x:v>
      </x:c>
      <x:c r="G153" s="6" t="str"/>
      <x:c r="H153" s="13" t="d">
        <x:v>2026-06-25T00:00:00.000Z</x:v>
      </x:c>
      <x:c r="I153" s="6" t="str">
        <x:v>地 址：深圳市坪山区坑梓街道秀沙路 5 号坑梓比亚迪二期 </x:v>
      </x:c>
      <x:c r="J153" s="6" t="str">
        <x:v>O006</x:v>
      </x:c>
      <x:c r="K153" s="6" t="str">
        <x:v>纳入核验字段</x:v>
      </x:c>
      <x:c r="L153" s="6" t="str">
        <x:v>原文明确</x:v>
      </x:c>
    </x:row>
    <x:row r="154" ht="40" customHeight="1">
      <x:c r="A154" s="6" t="str">
        <x:v>R0144</x:v>
      </x:c>
      <x:c r="B154" s="6" t="str">
        <x:v>字段</x:v>
      </x:c>
      <x:c r="C154" s="18" t="n">
        <x:v>1</x:v>
      </x:c>
      <x:c r="D154" s="6" t="str">
        <x:v>深圳市比亚迪锂电池有限公司</x:v>
      </x:c>
      <x:c r="E154" s="6" t="str">
        <x:v>采购方联系人</x:v>
      </x:c>
      <x:c r="F154" s="6" t="str">
        <x:v>胡超</x:v>
      </x:c>
      <x:c r="G154" s="6" t="str"/>
      <x:c r="H154" s="13" t="d">
        <x:v>2026-06-25T00:00:00.000Z</x:v>
      </x:c>
      <x:c r="I154" s="6" t="str">
        <x:v>招标人：深圳市比亚迪锂电池有限公司 
地 址：深圳市坪山区坑梓街道秀沙路 5 号坑梓比亚迪二期 
联 系 人：胡超 
电 话：13751029874 </x:v>
      </x:c>
      <x:c r="J154" s="6" t="str">
        <x:v>O006</x:v>
      </x:c>
      <x:c r="K154" s="6" t="str">
        <x:v>纳入核验字段</x:v>
      </x:c>
      <x:c r="L154" s="6" t="str">
        <x:v>原文明确</x:v>
      </x:c>
    </x:row>
    <x:row r="155" ht="40" customHeight="1">
      <x:c r="A155" s="6" t="str">
        <x:v>R0145</x:v>
      </x:c>
      <x:c r="B155" s="6" t="str">
        <x:v>字段</x:v>
      </x:c>
      <x:c r="C155" s="18" t="n">
        <x:v>1</x:v>
      </x:c>
      <x:c r="D155" s="6" t="str">
        <x:v>深圳市比亚迪锂电池有限公司</x:v>
      </x:c>
      <x:c r="E155" s="6" t="str">
        <x:v>采购方联系电话</x:v>
      </x:c>
      <x:c r="F155" s="14" t="str">
        <x:v>13751029874</x:v>
      </x:c>
      <x:c r="G155" s="6" t="str"/>
      <x:c r="H155" s="13" t="d">
        <x:v>2026-06-25T00:00:00.000Z</x:v>
      </x:c>
      <x:c r="I155" s="6" t="str">
        <x:v>招标人：深圳市比亚迪锂电池有限公司 
地 址：深圳市坪山区坑梓街道秀沙路 5 号坑梓比亚迪二期 
联 系 人：胡超 
电 话：13751029874 </x:v>
      </x:c>
      <x:c r="J155" s="6" t="str">
        <x:v>O006</x:v>
      </x:c>
      <x:c r="K155" s="6" t="str">
        <x:v>纳入核验字段</x:v>
      </x:c>
      <x:c r="L155" s="6" t="str">
        <x:v>原文明确</x:v>
      </x:c>
    </x:row>
    <x:row r="156" ht="34" customHeight="1">
      <x:c r="A156" s="6" t="str">
        <x:v>R0146</x:v>
      </x:c>
      <x:c r="B156" s="6" t="str">
        <x:v>字段</x:v>
      </x:c>
      <x:c r="C156" s="18" t="n">
        <x:v>1</x:v>
      </x:c>
      <x:c r="D156" s="6" t="str">
        <x:v>深圳市比亚迪锂电池有限公司</x:v>
      </x:c>
      <x:c r="E156" s="6" t="str">
        <x:v>项目交货地点</x:v>
      </x:c>
      <x:c r="F156" s="6" t="str">
        <x:v>深圳市</x:v>
      </x:c>
      <x:c r="G156" s="6" t="str"/>
      <x:c r="H156" s="13" t="d">
        <x:v>2026-06-25T00:00:00.000Z</x:v>
      </x:c>
      <x:c r="I156" s="6" t="str">
        <x:v>2.6 交货地点：深圳市 </x:v>
      </x:c>
      <x:c r="J156" s="6" t="str">
        <x:v>O006</x:v>
      </x:c>
      <x:c r="K156" s="6" t="str">
        <x:v>纳入核验字段</x:v>
      </x:c>
      <x:c r="L156" s="6" t="str">
        <x:v>原文明确</x:v>
      </x:c>
    </x:row>
    <x:row r="157" ht="34" customHeight="1">
      <x:c r="A157" s="6" t="str">
        <x:v>R0147</x:v>
      </x:c>
      <x:c r="B157" s="6" t="str">
        <x:v>字段</x:v>
      </x:c>
      <x:c r="C157" s="18" t="n">
        <x:v>1</x:v>
      </x:c>
      <x:c r="D157" s="6" t="str">
        <x:v>深圳市比亚迪锂电池有限公司</x:v>
      </x:c>
      <x:c r="E157" s="6" t="str">
        <x:v>采购预算（不含税）</x:v>
      </x:c>
      <x:c r="F157" s="14" t="str">
        <x:v>3900000</x:v>
      </x:c>
      <x:c r="G157" s="6" t="str">
        <x:v>元</x:v>
      </x:c>
      <x:c r="H157" s="13" t="d">
        <x:v>2026-06-25T00:00:00.000Z</x:v>
      </x:c>
      <x:c r="I157" s="6" t="str">
        <x:v>项目不含税预算金额390 万元</x:v>
      </x:c>
      <x:c r="J157" s="6" t="str">
        <x:v>O006</x:v>
      </x:c>
      <x:c r="K157" s="6" t="str">
        <x:v>纳入核验字段</x:v>
      </x:c>
      <x:c r="L157" s="6" t="str">
        <x:v>原文明确</x:v>
      </x:c>
    </x:row>
    <x:row r="158" ht="72" customHeight="1">
      <x:c r="A158" s="6" t="str">
        <x:v>R0148</x:v>
      </x:c>
      <x:c r="B158" s="6" t="str">
        <x:v>字段</x:v>
      </x:c>
      <x:c r="C158" s="18" t="n">
        <x:v>1</x:v>
      </x:c>
      <x:c r="D158" s="6" t="str">
        <x:v>深圳市比亚迪锂电池有限公司</x:v>
      </x:c>
      <x:c r="E158" s="6" t="str">
        <x:v>采购内容与关键要求</x:v>
      </x:c>
      <x:c r="F158" s="6" t="str">
        <x:v>拟选定一家供应商为招标人提供场发射扫描电子显微镜 
1 台，扫描电子显微镜采用电子光学系统（低电压分辨率：≤1.0nm@15kV； 
≤1.2nm@1kV；≤1.0nm@1kV（电子束样品台减速模式）；≤1.2nm@500V；）， 
设备具体参数要求详见第五章 技术规范书。</x:v>
      </x:c>
      <x:c r="G158" s="6" t="str"/>
      <x:c r="H158" s="13" t="d">
        <x:v>2026-06-25T00:00:00.000Z</x:v>
      </x:c>
      <x:c r="I158" s="6" t="str">
        <x:v>2.2 招标内容：拟选定一家供应商为招标人提供场发射扫描电子显微镜 
1 台，扫描电子显微镜采用电子光学系统（低电压分辨率：≤1.0nm@15kV； 
≤1.2nm@1kV；≤1.0nm@1kV（电子束样品台减速模式）；≤1.2nm@500V；）， 
设备具体参数要求详见第五章 技术规范书。 
</x:v>
      </x:c>
      <x:c r="J158" s="6" t="str">
        <x:v>O006</x:v>
      </x:c>
      <x:c r="K158" s="6" t="str">
        <x:v>纳入核验字段</x:v>
      </x:c>
      <x:c r="L158" s="6" t="str">
        <x:v>原文明确</x:v>
      </x:c>
    </x:row>
    <x:row r="159" ht="40" customHeight="1">
      <x:c r="A159" s="6" t="str">
        <x:v>R0149</x:v>
      </x:c>
      <x:c r="B159" s="6" t="str">
        <x:v>字段</x:v>
      </x:c>
      <x:c r="C159" s="18" t="n">
        <x:v>1</x:v>
      </x:c>
      <x:c r="D159" s="6" t="str">
        <x:v>深圳市比亚迪锂电池有限公司</x:v>
      </x:c>
      <x:c r="E159" s="6" t="str">
        <x:v>付款条件</x:v>
      </x:c>
      <x:c r="F159" s="6" t="str">
        <x:v>付款条件：项目不含税预算金额390 万元。付款条件： 
货到凭票付 60%,验收合格凭票付 40%；全部电汇。</x:v>
      </x:c>
      <x:c r="G159" s="6" t="str"/>
      <x:c r="H159" s="13" t="d">
        <x:v>2026-06-25T00:00:00.000Z</x:v>
      </x:c>
      <x:c r="I159" s="6" t="str">
        <x:v>付款条件：项目不含税预算金额390 万元。付款条件： 
货到凭票付 60%,验收合格凭票付 40%；全部电汇。 
</x:v>
      </x:c>
      <x:c r="J159" s="6" t="str">
        <x:v>O006</x:v>
      </x:c>
      <x:c r="K159" s="6" t="str">
        <x:v>纳入核验字段</x:v>
      </x:c>
      <x:c r="L159" s="6" t="str">
        <x:v>原文明确</x:v>
      </x:c>
    </x:row>
    <x:row r="160" ht="34" customHeight="1">
      <x:c r="A160" s="6" t="str">
        <x:v>R0150</x:v>
      </x:c>
      <x:c r="B160" s="6" t="str">
        <x:v>字段</x:v>
      </x:c>
      <x:c r="C160" s="18" t="n">
        <x:v>1</x:v>
      </x:c>
      <x:c r="D160" s="6" t="str">
        <x:v>深圳市比亚迪锂电池有限公司</x:v>
      </x:c>
      <x:c r="E160" s="6" t="str">
        <x:v>交货期限</x:v>
      </x:c>
      <x:c r="F160" s="6" t="str">
        <x:v>2.5 交货期限：签订合同后 180 天内交货。</x:v>
      </x:c>
      <x:c r="G160" s="6" t="str"/>
      <x:c r="H160" s="13" t="d">
        <x:v>2026-06-25T00:00:00.000Z</x:v>
      </x:c>
      <x:c r="I160" s="6" t="str">
        <x:v>2.5 交货期限：签订合同后 180 天内交货。 </x:v>
      </x:c>
      <x:c r="J160" s="6" t="str">
        <x:v>O006</x:v>
      </x:c>
      <x:c r="K160" s="6" t="str">
        <x:v>纳入核验字段</x:v>
      </x:c>
      <x:c r="L160" s="6" t="str">
        <x:v>原文明确</x:v>
      </x:c>
    </x:row>
    <x:row r="161" ht="104" customHeight="1">
      <x:c r="A161" s="6" t="str">
        <x:v>R0151</x:v>
      </x:c>
      <x:c r="B161" s="6" t="str">
        <x:v>字段</x:v>
      </x:c>
      <x:c r="C161" s="18" t="n">
        <x:v>1</x:v>
      </x:c>
      <x:c r="D161" s="6" t="str">
        <x:v>深圳市比亚迪锂电池有限公司</x:v>
      </x:c>
      <x:c r="E161" s="6" t="str">
        <x:v>供应商资格</x:v>
      </x:c>
      <x:c r="F161" s="6" t="str">
        <x:v>3.2 投标人必须是场发射扫描电子显微镜设备的制造商或合法代理商。 
投标人是制造商的，须出具制造商声明函；投标人为代理商的，须提供代理 
商资格声明函及制造商(分公司、办事处授权无效)对本次投标项目出具的唯 
一、合法且有效的授权书。若同一制造商在本项目中授权两家或以上代理商 
参与投标，代理商均按无效标处理；制造商与其合法代理商同时参加本次投 标，代理商按无效标处理。（按要求提供有效证明材料）。</x:v>
      </x:c>
      <x:c r="G161" s="6" t="str"/>
      <x:c r="H161" s="13" t="d">
        <x:v>2026-06-25T00:00:00.000Z</x:v>
      </x:c>
      <x:c r="I161" s="6" t="str">
        <x:v>3.2 投标人必须是场发射扫描电子显微镜设备的制造商或合法代理商。 
投标人是制造商的，须出具制造商声明函；投标人为代理商的，须提供代理 
商资格声明函及制造商(分公司、办事处授权无效)对本次投标项目出具的唯 
一、合法且有效的授权书。若同一制造商在本项目中授权两家或以上代理商 
参与投标，代理商均按无效标处理；制造商与其合法代理商同时参加本次投 标，代理商按无效标处理。（按要求提供有效证明材料）。
</x:v>
      </x:c>
      <x:c r="J161" s="6" t="str">
        <x:v>O006</x:v>
      </x:c>
      <x:c r="K161" s="6" t="str">
        <x:v>纳入核验字段</x:v>
      </x:c>
      <x:c r="L161" s="6" t="str">
        <x:v>原文明确</x:v>
      </x:c>
    </x:row>
    <x:row r="162" ht="34" customHeight="1">
      <x:c r="A162" s="6" t="str">
        <x:v>R0152</x:v>
      </x:c>
      <x:c r="B162" s="6" t="str">
        <x:v>字段</x:v>
      </x:c>
      <x:c r="C162" s="18" t="n">
        <x:v>1</x:v>
      </x:c>
      <x:c r="D162" s="6" t="str">
        <x:v>深圳市比亚迪锂电池有限公司</x:v>
      </x:c>
      <x:c r="E162" s="6" t="str">
        <x:v>招标文件费用</x:v>
      </x:c>
      <x:c r="F162" s="6" t="str">
        <x:v>5.3 招标文件每套售价 0 元，售后不退，投标资格不得转让。</x:v>
      </x:c>
      <x:c r="G162" s="6" t="str"/>
      <x:c r="H162" s="13" t="d">
        <x:v>2026-06-25T00:00:00.000Z</x:v>
      </x:c>
      <x:c r="I162" s="6" t="str">
        <x:v>5.3 招标文件每套售价 0 元，售后不退，投标资格不得转让。 </x:v>
      </x:c>
      <x:c r="J162" s="6" t="str">
        <x:v>O006</x:v>
      </x:c>
      <x:c r="K162" s="6" t="str">
        <x:v>纳入核验字段</x:v>
      </x:c>
      <x:c r="L162" s="6" t="str">
        <x:v>原文明确</x:v>
      </x:c>
    </x:row>
    <x:row r="163" ht="34" customHeight="1">
      <x:c r="A163" s="6" t="str">
        <x:v>R0153</x:v>
      </x:c>
      <x:c r="B163" s="6" t="str">
        <x:v>字段</x:v>
      </x:c>
      <x:c r="C163" s="18" t="n">
        <x:v>1</x:v>
      </x:c>
      <x:c r="D163" s="6" t="str">
        <x:v>深圳市比亚迪锂电池有限公司</x:v>
      </x:c>
      <x:c r="E163" s="6" t="str">
        <x:v>平台服务费</x:v>
      </x:c>
      <x:c r="F163" s="6" t="str">
        <x:v>5.4 平台服务费 500 元/标包，平台服务费售后不退。</x:v>
      </x:c>
      <x:c r="G163" s="6" t="str"/>
      <x:c r="H163" s="13" t="d">
        <x:v>2026-06-25T00:00:00.000Z</x:v>
      </x:c>
      <x:c r="I163" s="6" t="str">
        <x:v>5.4 平台服务费 500 元/标包，平台服务费售后不退。 </x:v>
      </x:c>
      <x:c r="J163" s="6" t="str">
        <x:v>O006</x:v>
      </x:c>
      <x:c r="K163" s="6" t="str">
        <x:v>纳入核验字段</x:v>
      </x:c>
      <x:c r="L163" s="6" t="str">
        <x:v>原文明确</x:v>
      </x:c>
    </x:row>
    <x:row r="164" ht="72" customHeight="1">
      <x:c r="A164" s="6" t="str">
        <x:v>R0154</x:v>
      </x:c>
      <x:c r="B164" s="6" t="str">
        <x:v>字段</x:v>
      </x:c>
      <x:c r="C164" s="18" t="n">
        <x:v>1</x:v>
      </x:c>
      <x:c r="D164" s="6" t="str">
        <x:v>公诚管理咨询有限公司</x:v>
      </x:c>
      <x:c r="E164" s="6" t="str">
        <x:v>招标代理项目负责人</x:v>
      </x:c>
      <x:c r="F164" s="6" t="str">
        <x:v>闵代道、郑沙、何琴琴、王玮、马姗姗、孙婉超、童本锋</x:v>
      </x:c>
      <x:c r="G164" s="6" t="str"/>
      <x:c r="H164" s="13" t="d">
        <x:v>2026-06-25T00:00:00.000Z</x:v>
      </x:c>
      <x:c r="I164" s="6" t="str">
        <x:v>招标代理机构：公诚管理咨询有限公司 
地 址：深圳市福田区新闻路 2 号英龙商务中心33E 室 
项目负责人：闵代道、郑沙、何琴琴、王玮、马姗姗、孙婉超、童本锋 
电 话：18126131331、18617187621 
电子邮件：mindd@chinaccs.cn、zhengsha@chinaccs.cn 
</x:v>
      </x:c>
      <x:c r="J164" s="6" t="str">
        <x:v>O006</x:v>
      </x:c>
      <x:c r="K164" s="6" t="str">
        <x:v>关联或待核</x:v>
      </x:c>
      <x:c r="L164" s="6" t="str">
        <x:v>原文明确</x:v>
      </x:c>
    </x:row>
    <x:row r="165" ht="72" customHeight="1">
      <x:c r="A165" s="6" t="str">
        <x:v>R0155</x:v>
      </x:c>
      <x:c r="B165" s="6" t="str">
        <x:v>字段</x:v>
      </x:c>
      <x:c r="C165" s="18" t="n">
        <x:v>1</x:v>
      </x:c>
      <x:c r="D165" s="6" t="str">
        <x:v>公诚管理咨询有限公司</x:v>
      </x:c>
      <x:c r="E165" s="6" t="str">
        <x:v>招标代理联系电话</x:v>
      </x:c>
      <x:c r="F165" s="6" t="str">
        <x:v>18126131331、18617187621</x:v>
      </x:c>
      <x:c r="G165" s="6" t="str"/>
      <x:c r="H165" s="13" t="d">
        <x:v>2026-06-25T00:00:00.000Z</x:v>
      </x:c>
      <x:c r="I165" s="6" t="str">
        <x:v>招标代理机构：公诚管理咨询有限公司 
地 址：深圳市福田区新闻路 2 号英龙商务中心33E 室 
项目负责人：闵代道、郑沙、何琴琴、王玮、马姗姗、孙婉超、童本锋 
电 话：18126131331、18617187621 
电子邮件：mindd@chinaccs.cn、zhengsha@chinaccs.cn 
</x:v>
      </x:c>
      <x:c r="J165" s="6" t="str">
        <x:v>O006</x:v>
      </x:c>
      <x:c r="K165" s="6" t="str">
        <x:v>关联或待核</x:v>
      </x:c>
      <x:c r="L165" s="6" t="str">
        <x:v>原文明确</x:v>
      </x:c>
    </x:row>
    <x:row r="166" ht="72" customHeight="1">
      <x:c r="A166" s="6" t="str">
        <x:v>R0156</x:v>
      </x:c>
      <x:c r="B166" s="6" t="str">
        <x:v>字段</x:v>
      </x:c>
      <x:c r="C166" s="18" t="n">
        <x:v>1</x:v>
      </x:c>
      <x:c r="D166" s="6" t="str">
        <x:v>公诚管理咨询有限公司</x:v>
      </x:c>
      <x:c r="E166" s="6" t="str">
        <x:v>招标代理电子邮件（原文）</x:v>
      </x:c>
      <x:c r="F166" s="6" t="str">
        <x:v>mindd@chinaccs.cn、zhengsha@chinaccs.cn</x:v>
      </x:c>
      <x:c r="G166" s="6" t="str"/>
      <x:c r="H166" s="13" t="d">
        <x:v>2026-06-25T00:00:00.000Z</x:v>
      </x:c>
      <x:c r="I166" s="6" t="str">
        <x:v>招标代理机构：公诚管理咨询有限公司 
地 址：深圳市福田区新闻路 2 号英龙商务中心33E 室 
项目负责人：闵代道、郑沙、何琴琴、王玮、马姗姗、孙婉超、童本锋 
电 话：18126131331、18617187621 
电子邮件：mindd@chinaccs.cn、zhengsha@chinaccs.cn 
</x:v>
      </x:c>
      <x:c r="J166" s="6" t="str">
        <x:v>O006</x:v>
      </x:c>
      <x:c r="K166" s="6" t="str">
        <x:v>关联或待核</x:v>
      </x:c>
      <x:c r="L166" s="6" t="str">
        <x:v>原文明确</x:v>
      </x:c>
    </x:row>
    <x:row r="167" ht="56" customHeight="1">
      <x:c r="A167" s="6" t="str">
        <x:v>R0157</x:v>
      </x:c>
      <x:c r="B167" s="6" t="str">
        <x:v>字段</x:v>
      </x:c>
      <x:c r="C167" s="18" t="n">
        <x:v>1</x:v>
      </x:c>
      <x:c r="D167" s="6" t="str">
        <x:v>惠州比亚迪电池有限公司</x:v>
      </x:c>
      <x:c r="E167" s="6" t="str">
        <x:v>实际采购主体</x:v>
      </x:c>
      <x:c r="F167" s="6" t="str">
        <x:v>惠州比亚迪电池有限公司</x:v>
      </x:c>
      <x:c r="G167" s="6" t="str"/>
      <x:c r="H167" s="13" t="d">
        <x:v>2026-07-28T00:00:00.000Z</x:v>
      </x:c>
      <x:c r="I167" s="6" t="str">
        <x:v>惠州比亚迪电池有限公司（以下简称“招标人”）委托公诚管理咨询有 限公司（以下简称“招标代理机构”）就比亚迪公司流化床采购项目（二次） （招标代理项目编号：SZ-05-04A-2026-D-F-E17466C01）进行公开招标采购</x:v>
      </x:c>
      <x:c r="J167" s="6" t="str">
        <x:v>O007</x:v>
      </x:c>
      <x:c r="K167" s="6" t="str">
        <x:v>纳入核验字段</x:v>
      </x:c>
      <x:c r="L167" s="6" t="str">
        <x:v>原文明确</x:v>
      </x:c>
    </x:row>
    <x:row r="168" ht="34" customHeight="1">
      <x:c r="A168" s="6" t="str">
        <x:v>R0158</x:v>
      </x:c>
      <x:c r="B168" s="6" t="str">
        <x:v>字段</x:v>
      </x:c>
      <x:c r="C168" s="18" t="n">
        <x:v>1</x:v>
      </x:c>
      <x:c r="D168" s="6" t="str">
        <x:v>惠州比亚迪电池有限公司</x:v>
      </x:c>
      <x:c r="E168" s="6" t="str">
        <x:v>公告采购方联系地址</x:v>
      </x:c>
      <x:c r="F168" s="6" t="str">
        <x:v>广东省惠州市大亚湾区惠州比亚迪二期</x:v>
      </x:c>
      <x:c r="G168" s="6" t="str"/>
      <x:c r="H168" s="13" t="d">
        <x:v>2026-07-28T00:00:00.000Z</x:v>
      </x:c>
      <x:c r="I168" s="6" t="str">
        <x:v>地 址：广东省惠州市大亚湾区惠州比亚迪二期 </x:v>
      </x:c>
      <x:c r="J168" s="6" t="str">
        <x:v>O007</x:v>
      </x:c>
      <x:c r="K168" s="6" t="str">
        <x:v>纳入核验字段</x:v>
      </x:c>
      <x:c r="L168" s="6" t="str">
        <x:v>原文明确</x:v>
      </x:c>
    </x:row>
    <x:row r="169" ht="40" customHeight="1">
      <x:c r="A169" s="6" t="str">
        <x:v>R0159</x:v>
      </x:c>
      <x:c r="B169" s="6" t="str">
        <x:v>字段</x:v>
      </x:c>
      <x:c r="C169" s="18" t="n">
        <x:v>1</x:v>
      </x:c>
      <x:c r="D169" s="6" t="str">
        <x:v>惠州比亚迪电池有限公司</x:v>
      </x:c>
      <x:c r="E169" s="6" t="str">
        <x:v>采购方联系人</x:v>
      </x:c>
      <x:c r="F169" s="6" t="str">
        <x:v>周成云</x:v>
      </x:c>
      <x:c r="G169" s="6" t="str"/>
      <x:c r="H169" s="13" t="d">
        <x:v>2026-07-28T00:00:00.000Z</x:v>
      </x:c>
      <x:c r="I169" s="6" t="str">
        <x:v>招标人：惠州比亚迪电池有限公司 
地 址：广东省惠州市大亚湾区惠州比亚迪二期 
联 系 人：周成云 
电 话：18664970951 </x:v>
      </x:c>
      <x:c r="J169" s="6" t="str">
        <x:v>O007</x:v>
      </x:c>
      <x:c r="K169" s="6" t="str">
        <x:v>纳入核验字段</x:v>
      </x:c>
      <x:c r="L169" s="6" t="str">
        <x:v>原文明确</x:v>
      </x:c>
    </x:row>
    <x:row r="170" ht="40" customHeight="1">
      <x:c r="A170" s="6" t="str">
        <x:v>R0160</x:v>
      </x:c>
      <x:c r="B170" s="6" t="str">
        <x:v>字段</x:v>
      </x:c>
      <x:c r="C170" s="18" t="n">
        <x:v>1</x:v>
      </x:c>
      <x:c r="D170" s="6" t="str">
        <x:v>惠州比亚迪电池有限公司</x:v>
      </x:c>
      <x:c r="E170" s="6" t="str">
        <x:v>采购方联系电话</x:v>
      </x:c>
      <x:c r="F170" s="14" t="str">
        <x:v>18664970951</x:v>
      </x:c>
      <x:c r="G170" s="6" t="str"/>
      <x:c r="H170" s="13" t="d">
        <x:v>2026-07-28T00:00:00.000Z</x:v>
      </x:c>
      <x:c r="I170" s="6" t="str">
        <x:v>招标人：惠州比亚迪电池有限公司 
地 址：广东省惠州市大亚湾区惠州比亚迪二期 
联 系 人：周成云 
电 话：18664970951 </x:v>
      </x:c>
      <x:c r="J170" s="6" t="str">
        <x:v>O007</x:v>
      </x:c>
      <x:c r="K170" s="6" t="str">
        <x:v>纳入核验字段</x:v>
      </x:c>
      <x:c r="L170" s="6" t="str">
        <x:v>原文明确</x:v>
      </x:c>
    </x:row>
    <x:row r="171" ht="34" customHeight="1">
      <x:c r="A171" s="6" t="str">
        <x:v>R0161</x:v>
      </x:c>
      <x:c r="B171" s="6" t="str">
        <x:v>字段</x:v>
      </x:c>
      <x:c r="C171" s="18" t="n">
        <x:v>1</x:v>
      </x:c>
      <x:c r="D171" s="6" t="str">
        <x:v>惠州比亚迪电池有限公司</x:v>
      </x:c>
      <x:c r="E171" s="6" t="str">
        <x:v>项目交货地点</x:v>
      </x:c>
      <x:c r="F171" s="6" t="str">
        <x:v>湖北省宜昌市</x:v>
      </x:c>
      <x:c r="G171" s="6" t="str"/>
      <x:c r="H171" s="13" t="d">
        <x:v>2026-07-28T00:00:00.000Z</x:v>
      </x:c>
      <x:c r="I171" s="6" t="str">
        <x:v>2.6 交货地点：湖北省宜昌市 </x:v>
      </x:c>
      <x:c r="J171" s="6" t="str">
        <x:v>O007</x:v>
      </x:c>
      <x:c r="K171" s="6" t="str">
        <x:v>纳入核验字段</x:v>
      </x:c>
      <x:c r="L171" s="6" t="str">
        <x:v>原文明确</x:v>
      </x:c>
    </x:row>
    <x:row r="172" ht="34" customHeight="1">
      <x:c r="A172" s="6" t="str">
        <x:v>R0162</x:v>
      </x:c>
      <x:c r="B172" s="6" t="str">
        <x:v>字段</x:v>
      </x:c>
      <x:c r="C172" s="18" t="n">
        <x:v>1</x:v>
      </x:c>
      <x:c r="D172" s="6" t="str">
        <x:v>惠州比亚迪电池有限公司</x:v>
      </x:c>
      <x:c r="E172" s="6" t="str">
        <x:v>采购预算（不含税）</x:v>
      </x:c>
      <x:c r="F172" s="14" t="str">
        <x:v>2000000</x:v>
      </x:c>
      <x:c r="G172" s="6" t="str">
        <x:v>元</x:v>
      </x:c>
      <x:c r="H172" s="13" t="d">
        <x:v>2026-07-28T00:00:00.000Z</x:v>
      </x:c>
      <x:c r="I172" s="6" t="str">
        <x:v>项目不含税预算金额200 万元</x:v>
      </x:c>
      <x:c r="J172" s="6" t="str">
        <x:v>O007</x:v>
      </x:c>
      <x:c r="K172" s="6" t="str">
        <x:v>纳入核验字段</x:v>
      </x:c>
      <x:c r="L172" s="6" t="str">
        <x:v>原文明确</x:v>
      </x:c>
    </x:row>
    <x:row r="173" ht="200" customHeight="1">
      <x:c r="A173" s="6" t="str">
        <x:v>R0163</x:v>
      </x:c>
      <x:c r="B173" s="6" t="str">
        <x:v>字段</x:v>
      </x:c>
      <x:c r="C173" s="18" t="n">
        <x:v>1</x:v>
      </x:c>
      <x:c r="D173" s="6" t="str">
        <x:v>惠州比亚迪电池有限公司</x:v>
      </x:c>
      <x:c r="E173" s="6" t="str">
        <x:v>采购内容与关键要求</x:v>
      </x:c>
      <x:c r="F173" s="6" t="str">
        <x:v>拟选定一家供应商为招标人提供100Kg 硅沉积流化床1 
台，流化床整体应需要包括且不限于进料系统、气体调控系统、反应系统、 
收料系统、尾气系统、气体检测系统、尾气处理系统、泄爆装置以及集成远 
程中控系统。设备整体尺寸控制在长 7m（长，包含操作面）*4m（宽）*12m(高) 
以内。一次实验加料量为 40-60Kg，加料罐容积≥400L，内壁抛光，要求通 
过真空吸料的形式将原料吸入加料罐。反应系统应包括且不限于底部伺服电 
机、气体分布器、反应器、温控系统、测温系统、测压系统等。通过反应器 
憋压将物料压入收料罐。设备需配备一键收料功能，通过一个按键，可实现 
设备自动多次取料，且保证取料完全。尾气端需配备硅烷浓度在线监测设备， 
可以实现实时监控尾气硅烷浓度。所有参数信息、设备控制、状态信息必须 
集成入主 PLC，触摸屏只能用于参数设定和设备控制操作，中标人完成现场 
PLC 的一次集成和主设备之间的主体联动，集成方DCS/SCADA 系统通过与主 
PL</x:v>
      </x:c>
      <x:c r="G173" s="6" t="str"/>
      <x:c r="H173" s="13" t="d">
        <x:v>2026-07-28T00:00:00.000Z</x:v>
      </x:c>
      <x:c r="I173" s="6" t="str">
        <x:v>2.2 招标内容：拟选定一家供应商为招标人提供100Kg 硅沉积流化床1 
台，流化床整体应需要包括且不限于进料系统、气体调控系统、反应系统、 
收料系统、尾气系统、气体检测系统、尾气处理系统、泄爆装置以及集成远 
程中控系统。设备整体尺寸控制在长 7m（长，包含操作面）*4m（宽）*12m(高) 
以内。一次实验加料量为 40-60Kg，加料罐容积≥400L，内壁抛光，要求通 
过真空吸料的形式将原料吸入加料罐。反应系统应包括且不限于底部伺服电 
机、气体分布器、反应器、温控系统、测温系统、测压系统等。通过反应器 
憋压将物料压入收料罐。设备需配备一键收料功能，通过一个按键，可实现 
设备自动多次取料，且保证取料完全。尾气端需配备硅烷浓度在线监测设备， 
可以实现实时监控尾气硅烷浓度。所有参数信息、设备控制、状态信息必须 
集成入主 PLC，触摸屏只能用于参数设定和设备控制操作，中标人完成现场 
PLC 的一次集成和主设备之间的主体联动，集成方DCS/SCADA 系</x:v>
      </x:c>
      <x:c r="J173" s="6" t="str">
        <x:v>O007</x:v>
      </x:c>
      <x:c r="K173" s="6" t="str">
        <x:v>纳入核验字段</x:v>
      </x:c>
      <x:c r="L173" s="6" t="str">
        <x:v>原文明确</x:v>
      </x:c>
    </x:row>
    <x:row r="174" ht="34" customHeight="1">
      <x:c r="A174" s="6" t="str">
        <x:v>R0163</x:v>
      </x:c>
      <x:c r="B174" s="6" t="str">
        <x:v>字段</x:v>
      </x:c>
      <x:c r="C174" s="18" t="n">
        <x:v>2</x:v>
      </x:c>
      <x:c r="D174" s="6" t="str">
        <x:v>惠州比亚迪电池有限公司</x:v>
      </x:c>
      <x:c r="E174" s="6" t="str">
        <x:v>采购内容与关键要求</x:v>
      </x:c>
      <x:c r="F174" s="6" t="str">
        <x:v>C 通讯获取所有上述信息。设备具体参数要求详见第五章 技术规范书。</x:v>
      </x:c>
      <x:c r="G174" s="6" t="str"/>
      <x:c r="H174" s="13" t="d">
        <x:v>2026-07-28T00:00:00.000Z</x:v>
      </x:c>
      <x:c r="I174" s="6" t="str">
        <x:v>统通过与主 
PLC 通讯获取所有上述信息。设备具体参数要求详见第五章 技术规范书。 
</x:v>
      </x:c>
      <x:c r="J174" s="6" t="str">
        <x:v>O007</x:v>
      </x:c>
      <x:c r="K174" s="6" t="str">
        <x:v>纳入核验字段</x:v>
      </x:c>
      <x:c r="L174" s="6" t="str"/>
    </x:row>
    <x:row r="175" ht="40" customHeight="1">
      <x:c r="A175" s="6" t="str">
        <x:v>R0164</x:v>
      </x:c>
      <x:c r="B175" s="6" t="str">
        <x:v>字段</x:v>
      </x:c>
      <x:c r="C175" s="18" t="n">
        <x:v>1</x:v>
      </x:c>
      <x:c r="D175" s="6" t="str">
        <x:v>惠州比亚迪电池有限公司</x:v>
      </x:c>
      <x:c r="E175" s="6" t="str">
        <x:v>付款条件</x:v>
      </x:c>
      <x:c r="F175" s="6" t="str">
        <x:v>付款条件：项目不含税预算金额200 万元。付款方式： 
预付 30%，到货凭票付 30%，验收合格后凭票付 30%，质保一年付10%，电汇。</x:v>
      </x:c>
      <x:c r="G175" s="6" t="str"/>
      <x:c r="H175" s="13" t="d">
        <x:v>2026-07-28T00:00:00.000Z</x:v>
      </x:c>
      <x:c r="I175" s="6" t="str">
        <x:v>付款条件：项目不含税预算金额200 万元。付款方式： 
预付 30%，到货凭票付 30%，验收合格后凭票付 30%，质保一年付10%，电汇。 
</x:v>
      </x:c>
      <x:c r="J175" s="6" t="str">
        <x:v>O007</x:v>
      </x:c>
      <x:c r="K175" s="6" t="str">
        <x:v>纳入核验字段</x:v>
      </x:c>
      <x:c r="L175" s="6" t="str">
        <x:v>原文明确</x:v>
      </x:c>
    </x:row>
    <x:row r="176" ht="34" customHeight="1">
      <x:c r="A176" s="6" t="str">
        <x:v>R0165</x:v>
      </x:c>
      <x:c r="B176" s="6" t="str">
        <x:v>字段</x:v>
      </x:c>
      <x:c r="C176" s="18" t="n">
        <x:v>1</x:v>
      </x:c>
      <x:c r="D176" s="6" t="str">
        <x:v>惠州比亚迪电池有限公司</x:v>
      </x:c>
      <x:c r="E176" s="6" t="str">
        <x:v>交货期限</x:v>
      </x:c>
      <x:c r="F176" s="6" t="str">
        <x:v>2.5 交货期限：签订合同后 90 天内交货。</x:v>
      </x:c>
      <x:c r="G176" s="6" t="str"/>
      <x:c r="H176" s="13" t="d">
        <x:v>2026-07-28T00:00:00.000Z</x:v>
      </x:c>
      <x:c r="I176" s="6" t="str">
        <x:v>2.5 交货期限：签订合同后 90 天内交货。 </x:v>
      </x:c>
      <x:c r="J176" s="6" t="str">
        <x:v>O007</x:v>
      </x:c>
      <x:c r="K176" s="6" t="str">
        <x:v>纳入核验字段</x:v>
      </x:c>
      <x:c r="L176" s="6" t="str">
        <x:v>原文明确</x:v>
      </x:c>
    </x:row>
    <x:row r="177" ht="88" customHeight="1">
      <x:c r="A177" s="6" t="str">
        <x:v>R0166</x:v>
      </x:c>
      <x:c r="B177" s="6" t="str">
        <x:v>字段</x:v>
      </x:c>
      <x:c r="C177" s="18" t="n">
        <x:v>1</x:v>
      </x:c>
      <x:c r="D177" s="6" t="str">
        <x:v>惠州比亚迪电池有限公司</x:v>
      </x:c>
      <x:c r="E177" s="6" t="str">
        <x:v>供应商资格</x:v>
      </x:c>
      <x:c r="F177" s="6" t="str">
        <x:v>3.2 投标人必须是 100Kg 硅沉积流化床的制造商或合法代理商。投标人 是制造商的，须出具制造商声明函；投标人为代理商的，须提供代理商资格 声明函及制造商(分公司、办事处授权无效)对本次投标项目出具的唯一、合 法且有效的授权书。若同一制造商在本项目中授权两家或以上代理商参与投 标，代理商均按无效标处理；制造商与其合法代理商同时参加本次投标，代 理商按无效标处理。（按要求提供有效证明材料）。</x:v>
      </x:c>
      <x:c r="G177" s="6" t="str"/>
      <x:c r="H177" s="13" t="d">
        <x:v>2026-07-28T00:00:00.000Z</x:v>
      </x:c>
      <x:c r="I177" s="6" t="str">
        <x:v>3.2 投标人必须是 100Kg 硅沉积流化床的制造商或合法代理商。投标人 是制造商的，须出具制造商声明函；投标人为代理商的，须提供代理商资格 声明函及制造商(分公司、办事处授权无效)对本次投标项目出具的唯一、合 法且有效的授权书。若同一制造商在本项目中授权两家或以上代理商参与投 标，代理商均按无效标处理；制造商与其合法代理商同时参加本次投标，代 理商按无效标处理。（按要求提供有效证明材料）。
</x:v>
      </x:c>
      <x:c r="J177" s="6" t="str">
        <x:v>O007</x:v>
      </x:c>
      <x:c r="K177" s="6" t="str">
        <x:v>纳入核验字段</x:v>
      </x:c>
      <x:c r="L177" s="6" t="str">
        <x:v>原文明确</x:v>
      </x:c>
    </x:row>
    <x:row r="178" ht="34" customHeight="1">
      <x:c r="A178" s="6" t="str">
        <x:v>R0167</x:v>
      </x:c>
      <x:c r="B178" s="6" t="str">
        <x:v>字段</x:v>
      </x:c>
      <x:c r="C178" s="18" t="n">
        <x:v>1</x:v>
      </x:c>
      <x:c r="D178" s="6" t="str">
        <x:v>惠州比亚迪电池有限公司</x:v>
      </x:c>
      <x:c r="E178" s="6" t="str">
        <x:v>招标文件费用</x:v>
      </x:c>
      <x:c r="F178" s="6" t="str">
        <x:v>5.3 招标文件每套售价 0 元，售后不退，投标资格不得转让。</x:v>
      </x:c>
      <x:c r="G178" s="6" t="str"/>
      <x:c r="H178" s="13" t="d">
        <x:v>2026-07-28T00:00:00.000Z</x:v>
      </x:c>
      <x:c r="I178" s="6" t="str">
        <x:v>5.3 招标文件每套售价 0 元，售后不退，投标资格不得转让。 </x:v>
      </x:c>
      <x:c r="J178" s="6" t="str">
        <x:v>O007</x:v>
      </x:c>
      <x:c r="K178" s="6" t="str">
        <x:v>纳入核验字段</x:v>
      </x:c>
      <x:c r="L178" s="6" t="str">
        <x:v>原文明确</x:v>
      </x:c>
    </x:row>
    <x:row r="179" ht="34" customHeight="1">
      <x:c r="A179" s="6" t="str">
        <x:v>R0168</x:v>
      </x:c>
      <x:c r="B179" s="6" t="str">
        <x:v>字段</x:v>
      </x:c>
      <x:c r="C179" s="18" t="n">
        <x:v>1</x:v>
      </x:c>
      <x:c r="D179" s="6" t="str">
        <x:v>惠州比亚迪电池有限公司</x:v>
      </x:c>
      <x:c r="E179" s="6" t="str">
        <x:v>平台服务费</x:v>
      </x:c>
      <x:c r="F179" s="6" t="str">
        <x:v>5.4 平台服务费 500 元/标包，平台服务费售后不退。</x:v>
      </x:c>
      <x:c r="G179" s="6" t="str"/>
      <x:c r="H179" s="13" t="d">
        <x:v>2026-07-28T00:00:00.000Z</x:v>
      </x:c>
      <x:c r="I179" s="6" t="str">
        <x:v>5.4 平台服务费 500 元/标包，平台服务费售后不退。 </x:v>
      </x:c>
      <x:c r="J179" s="6" t="str">
        <x:v>O007</x:v>
      </x:c>
      <x:c r="K179" s="6" t="str">
        <x:v>纳入核验字段</x:v>
      </x:c>
      <x:c r="L179" s="6" t="str">
        <x:v>原文明确</x:v>
      </x:c>
    </x:row>
    <x:row r="180" ht="72" customHeight="1">
      <x:c r="A180" s="6" t="str">
        <x:v>R0169</x:v>
      </x:c>
      <x:c r="B180" s="6" t="str">
        <x:v>字段</x:v>
      </x:c>
      <x:c r="C180" s="18" t="n">
        <x:v>1</x:v>
      </x:c>
      <x:c r="D180" s="6" t="str">
        <x:v>公诚管理咨询有限公司</x:v>
      </x:c>
      <x:c r="E180" s="6" t="str">
        <x:v>招标代理项目负责人</x:v>
      </x:c>
      <x:c r="F180" s="6" t="str">
        <x:v>郑沙、闵代道、何琴琴、王玮、马姗姗、孙婉超、童本锋</x:v>
      </x:c>
      <x:c r="G180" s="6" t="str"/>
      <x:c r="H180" s="13" t="d">
        <x:v>2026-07-28T00:00:00.000Z</x:v>
      </x:c>
      <x:c r="I180" s="6" t="str">
        <x:v>招标代理机构：公诚管理咨询有限公司 
地 址：深圳市福田区新闻路 2 号英龙商务中心33E 室 
项目负责人：郑沙、闵代道、何琴琴、王玮、马姗姗、孙婉超、童本锋 
电 话：18617187621、18126131331 
电子邮件：zhengsha@chinaccs.cn、mindd@chinaccs.cn 
</x:v>
      </x:c>
      <x:c r="J180" s="6" t="str">
        <x:v>O007</x:v>
      </x:c>
      <x:c r="K180" s="6" t="str">
        <x:v>关联或待核</x:v>
      </x:c>
      <x:c r="L180" s="6" t="str">
        <x:v>原文明确</x:v>
      </x:c>
    </x:row>
    <x:row r="181" ht="72" customHeight="1">
      <x:c r="A181" s="6" t="str">
        <x:v>R0170</x:v>
      </x:c>
      <x:c r="B181" s="6" t="str">
        <x:v>字段</x:v>
      </x:c>
      <x:c r="C181" s="18" t="n">
        <x:v>1</x:v>
      </x:c>
      <x:c r="D181" s="6" t="str">
        <x:v>公诚管理咨询有限公司</x:v>
      </x:c>
      <x:c r="E181" s="6" t="str">
        <x:v>招标代理联系电话</x:v>
      </x:c>
      <x:c r="F181" s="6" t="str">
        <x:v>18617187621、18126131331</x:v>
      </x:c>
      <x:c r="G181" s="6" t="str"/>
      <x:c r="H181" s="13" t="d">
        <x:v>2026-07-28T00:00:00.000Z</x:v>
      </x:c>
      <x:c r="I181" s="6" t="str">
        <x:v>招标代理机构：公诚管理咨询有限公司 
地 址：深圳市福田区新闻路 2 号英龙商务中心33E 室 
项目负责人：郑沙、闵代道、何琴琴、王玮、马姗姗、孙婉超、童本锋 
电 话：18617187621、18126131331 
电子邮件：zhengsha@chinaccs.cn、mindd@chinaccs.cn 
</x:v>
      </x:c>
      <x:c r="J181" s="6" t="str">
        <x:v>O007</x:v>
      </x:c>
      <x:c r="K181" s="6" t="str">
        <x:v>关联或待核</x:v>
      </x:c>
      <x:c r="L181" s="6" t="str">
        <x:v>原文明确</x:v>
      </x:c>
    </x:row>
    <x:row r="182" ht="72" customHeight="1">
      <x:c r="A182" s="6" t="str">
        <x:v>R0171</x:v>
      </x:c>
      <x:c r="B182" s="6" t="str">
        <x:v>字段</x:v>
      </x:c>
      <x:c r="C182" s="18" t="n">
        <x:v>1</x:v>
      </x:c>
      <x:c r="D182" s="6" t="str">
        <x:v>公诚管理咨询有限公司</x:v>
      </x:c>
      <x:c r="E182" s="6" t="str">
        <x:v>招标代理电子邮件（原文）</x:v>
      </x:c>
      <x:c r="F182" s="6" t="str">
        <x:v>zhengsha@chinaccs.cn、mindd@chinaccs.cn</x:v>
      </x:c>
      <x:c r="G182" s="6" t="str"/>
      <x:c r="H182" s="13" t="d">
        <x:v>2026-07-28T00:00:00.000Z</x:v>
      </x:c>
      <x:c r="I182" s="6" t="str">
        <x:v>招标代理机构：公诚管理咨询有限公司 
地 址：深圳市福田区新闻路 2 号英龙商务中心33E 室 
项目负责人：郑沙、闵代道、何琴琴、王玮、马姗姗、孙婉超、童本锋 
电 话：18617187621、18126131331 
电子邮件：zhengsha@chinaccs.cn、mindd@chinaccs.cn 
</x:v>
      </x:c>
      <x:c r="J182" s="6" t="str">
        <x:v>O007</x:v>
      </x:c>
      <x:c r="K182" s="6" t="str">
        <x:v>关联或待核</x:v>
      </x:c>
      <x:c r="L182" s="6" t="str">
        <x:v>原文明确</x:v>
      </x:c>
    </x:row>
    <x:row r="183" ht="34" customHeight="1">
      <x:c r="A183" s="6" t="str">
        <x:v>R0172</x:v>
      </x:c>
      <x:c r="B183" s="6" t="str">
        <x:v>字段</x:v>
      </x:c>
      <x:c r="C183" s="18" t="n">
        <x:v>1</x:v>
      </x:c>
      <x:c r="D183" s="6" t="str">
        <x:v>惠州比亚迪电池有限公司</x:v>
      </x:c>
      <x:c r="E183" s="6" t="str">
        <x:v>实际采购主体</x:v>
      </x:c>
      <x:c r="F183" s="6" t="str">
        <x:v>惠州比亚迪电池有限公司</x:v>
      </x:c>
      <x:c r="G183" s="6" t="str"/>
      <x:c r="H183" s="13" t="d">
        <x:v>2026-08-19T00:00:00.000Z</x:v>
      </x:c>
      <x:c r="I183" s="6" t="str">
        <x:v>招标人：惠州比亚迪电池有限公司</x:v>
      </x:c>
      <x:c r="J183" s="6" t="str">
        <x:v>O008</x:v>
      </x:c>
      <x:c r="K183" s="6" t="str">
        <x:v>纳入核验字段</x:v>
      </x:c>
      <x:c r="L183" s="6" t="str">
        <x:v>原文明确</x:v>
      </x:c>
    </x:row>
    <x:row r="184" ht="34" customHeight="1">
      <x:c r="A184" s="6" t="str">
        <x:v>R0173</x:v>
      </x:c>
      <x:c r="B184" s="6" t="str">
        <x:v>字段</x:v>
      </x:c>
      <x:c r="C184" s="18" t="n">
        <x:v>1</x:v>
      </x:c>
      <x:c r="D184" s="6" t="str">
        <x:v>惠州比亚迪电池有限公司</x:v>
      </x:c>
      <x:c r="E184" s="6" t="str">
        <x:v>候选人投标总价（不含税）</x:v>
      </x:c>
      <x:c r="F184" s="6" t="str">
        <x:v>1026548.67</x:v>
      </x:c>
      <x:c r="G184" s="6" t="str">
        <x:v>元</x:v>
      </x:c>
      <x:c r="H184" s="13" t="d">
        <x:v>2026-08-19T00:00:00.000Z</x:v>
      </x:c>
      <x:c r="I184" s="6" t="str">
        <x:v>不含税投标总价： 1026548.67元，含税投标总价： 1160000.00元</x:v>
      </x:c>
      <x:c r="J184" s="6" t="str">
        <x:v>O008</x:v>
      </x:c>
      <x:c r="K184" s="6" t="str">
        <x:v>纳入核验字段</x:v>
      </x:c>
      <x:c r="L184" s="6" t="str">
        <x:v>原文明确</x:v>
      </x:c>
    </x:row>
    <x:row r="185" ht="34" customHeight="1">
      <x:c r="A185" s="6" t="str">
        <x:v>R0174</x:v>
      </x:c>
      <x:c r="B185" s="6" t="str">
        <x:v>字段</x:v>
      </x:c>
      <x:c r="C185" s="18" t="n">
        <x:v>1</x:v>
      </x:c>
      <x:c r="D185" s="6" t="str">
        <x:v>惠州比亚迪电池有限公司</x:v>
      </x:c>
      <x:c r="E185" s="6" t="str">
        <x:v>候选人投标总价（含税）</x:v>
      </x:c>
      <x:c r="F185" s="14" t="str">
        <x:v>1160000</x:v>
      </x:c>
      <x:c r="G185" s="6" t="str">
        <x:v>元</x:v>
      </x:c>
      <x:c r="H185" s="13" t="d">
        <x:v>2026-08-19T00:00:00.000Z</x:v>
      </x:c>
      <x:c r="I185" s="6" t="str">
        <x:v>不含税投标总价： 1026548.67元，含税投标总价： 1160000.00元</x:v>
      </x:c>
      <x:c r="J185" s="6" t="str">
        <x:v>O008</x:v>
      </x:c>
      <x:c r="K185" s="6" t="str">
        <x:v>纳入核验字段</x:v>
      </x:c>
      <x:c r="L185" s="6" t="str">
        <x:v>原文明确</x:v>
      </x:c>
    </x:row>
    <x:row r="186" ht="34" customHeight="1">
      <x:c r="A186" s="6" t="str">
        <x:v>R0175</x:v>
      </x:c>
      <x:c r="B186" s="6" t="str">
        <x:v>字段</x:v>
      </x:c>
      <x:c r="C186" s="18" t="n">
        <x:v>1</x:v>
      </x:c>
      <x:c r="D186" s="6" t="str">
        <x:v>惠州比亚迪电池有限公司</x:v>
      </x:c>
      <x:c r="E186" s="6" t="str">
        <x:v>公示候选人</x:v>
      </x:c>
      <x:c r="F186" s="6" t="str">
        <x:v>佛山市赛普飞特科技有限公司</x:v>
      </x:c>
      <x:c r="G186" s="6" t="str"/>
      <x:c r="H186" s="13" t="d">
        <x:v>2026-08-19T00:00:00.000Z</x:v>
      </x:c>
      <x:c r="I186" s="6" t="str">
        <x:v>单位名称：佛山市赛普飞特科技有限公司</x:v>
      </x:c>
      <x:c r="J186" s="6" t="str">
        <x:v>O008</x:v>
      </x:c>
      <x:c r="K186" s="6" t="str">
        <x:v>纳入核验字段</x:v>
      </x:c>
      <x:c r="L186" s="6" t="str">
        <x:v>原文明确</x:v>
      </x:c>
    </x:row>
    <x:row r="187" ht="34" customHeight="1">
      <x:c r="A187" s="6" t="str">
        <x:v>R0176</x:v>
      </x:c>
      <x:c r="B187" s="6" t="str">
        <x:v>字段</x:v>
      </x:c>
      <x:c r="C187" s="18" t="n">
        <x:v>1</x:v>
      </x:c>
      <x:c r="D187" s="6" t="str">
        <x:v>惠州比亚迪电池有限公司</x:v>
      </x:c>
      <x:c r="E187" s="6" t="str">
        <x:v>交货期限</x:v>
      </x:c>
      <x:c r="F187" s="6" t="str">
        <x:v>交货期：签订合同后60天内交货。</x:v>
      </x:c>
      <x:c r="G187" s="6" t="str"/>
      <x:c r="H187" s="13" t="d">
        <x:v>2026-08-19T00:00:00.000Z</x:v>
      </x:c>
      <x:c r="I187" s="6" t="str">
        <x:v>交货期：签订合同后60天内交货。</x:v>
      </x:c>
      <x:c r="J187" s="6" t="str">
        <x:v>O008</x:v>
      </x:c>
      <x:c r="K187" s="6" t="str">
        <x:v>纳入核验字段</x:v>
      </x:c>
      <x:c r="L187" s="6" t="str">
        <x:v>原文明确</x:v>
      </x:c>
    </x:row>
    <x:row r="188" ht="34" customHeight="1">
      <x:c r="A188" s="6" t="str">
        <x:v>R0177</x:v>
      </x:c>
      <x:c r="B188" s="6" t="str">
        <x:v>字段</x:v>
      </x:c>
      <x:c r="C188" s="18" t="n">
        <x:v>1</x:v>
      </x:c>
      <x:c r="D188" s="6" t="str">
        <x:v>公诚管理咨询有限公司</x:v>
      </x:c>
      <x:c r="E188" s="6" t="str">
        <x:v>招标代理电子邮件（原文）</x:v>
      </x:c>
      <x:c r="F188" s="6" t="str">
        <x:v>mindd@chinaccs.cn</x:v>
      </x:c>
      <x:c r="G188" s="6" t="str"/>
      <x:c r="H188" s="13" t="d">
        <x:v>2026-08-19T00:00:00.000Z</x:v>
      </x:c>
      <x:c r="I188" s="6" t="str">
        <x:v>招标代理机构：公诚管理咨询有限公司
</x:v>
      </x:c>
      <x:c r="J188" s="6" t="str">
        <x:v>O008</x:v>
      </x:c>
      <x:c r="K188" s="6" t="str">
        <x:v>关联或待核</x:v>
      </x:c>
      <x:c r="L188" s="6" t="str">
        <x:v>原文明确</x:v>
      </x:c>
    </x:row>
    <x:row r="189" ht="34" customHeight="1">
      <x:c r="A189" s="6" t="str">
        <x:v>R0178</x:v>
      </x:c>
      <x:c r="B189" s="6" t="str">
        <x:v>字段</x:v>
      </x:c>
      <x:c r="C189" s="18" t="n">
        <x:v>1</x:v>
      </x:c>
      <x:c r="D189" s="6" t="str">
        <x:v>深圳市比亚迪锂电池有限公司</x:v>
      </x:c>
      <x:c r="E189" s="6" t="str">
        <x:v>实际采购主体</x:v>
      </x:c>
      <x:c r="F189" s="6" t="str">
        <x:v>深圳市比亚迪锂电池有限公司</x:v>
      </x:c>
      <x:c r="G189" s="6" t="str"/>
      <x:c r="H189" s="13" t="d">
        <x:v>2026-07-07T00:00:00.000Z</x:v>
      </x:c>
      <x:c r="I189" s="6" t="str">
        <x:v>招标人：深圳市比亚迪锂电池有限公司</x:v>
      </x:c>
      <x:c r="J189" s="6" t="str">
        <x:v>O010</x:v>
      </x:c>
      <x:c r="K189" s="6" t="str">
        <x:v>纳入核验字段</x:v>
      </x:c>
      <x:c r="L189" s="6" t="str">
        <x:v>原文明确</x:v>
      </x:c>
    </x:row>
    <x:row r="190" ht="34" customHeight="1">
      <x:c r="A190" s="6" t="str">
        <x:v>R0179</x:v>
      </x:c>
      <x:c r="B190" s="6" t="str">
        <x:v>字段</x:v>
      </x:c>
      <x:c r="C190" s="18" t="n">
        <x:v>1</x:v>
      </x:c>
      <x:c r="D190" s="6" t="str">
        <x:v>深圳市比亚迪锂电池有限公司</x:v>
      </x:c>
      <x:c r="E190" s="6" t="str">
        <x:v>候选人投标总价（不含税）</x:v>
      </x:c>
      <x:c r="F190" s="14" t="str">
        <x:v>18870000</x:v>
      </x:c>
      <x:c r="G190" s="6" t="str">
        <x:v>元</x:v>
      </x:c>
      <x:c r="H190" s="13" t="d">
        <x:v>2026-07-07T00:00:00.000Z</x:v>
      </x:c>
      <x:c r="I190" s="6" t="str">
        <x:v>不含税投标总价：18870000.00元，含税投标总价： 21323100.00元</x:v>
      </x:c>
      <x:c r="J190" s="6" t="str">
        <x:v>O010</x:v>
      </x:c>
      <x:c r="K190" s="6" t="str">
        <x:v>纳入核验字段</x:v>
      </x:c>
      <x:c r="L190" s="6" t="str">
        <x:v>原文明确</x:v>
      </x:c>
    </x:row>
    <x:row r="191" ht="34" customHeight="1">
      <x:c r="A191" s="6" t="str">
        <x:v>R0180</x:v>
      </x:c>
      <x:c r="B191" s="6" t="str">
        <x:v>字段</x:v>
      </x:c>
      <x:c r="C191" s="18" t="n">
        <x:v>1</x:v>
      </x:c>
      <x:c r="D191" s="6" t="str">
        <x:v>深圳市比亚迪锂电池有限公司</x:v>
      </x:c>
      <x:c r="E191" s="6" t="str">
        <x:v>候选人投标总价（含税）</x:v>
      </x:c>
      <x:c r="F191" s="14" t="str">
        <x:v>21323100</x:v>
      </x:c>
      <x:c r="G191" s="6" t="str">
        <x:v>元</x:v>
      </x:c>
      <x:c r="H191" s="13" t="d">
        <x:v>2026-07-07T00:00:00.000Z</x:v>
      </x:c>
      <x:c r="I191" s="6" t="str">
        <x:v>不含税投标总价：18870000.00元，含税投标总价： 21323100.00元</x:v>
      </x:c>
      <x:c r="J191" s="6" t="str">
        <x:v>O010</x:v>
      </x:c>
      <x:c r="K191" s="6" t="str">
        <x:v>纳入核验字段</x:v>
      </x:c>
      <x:c r="L191" s="6" t="str">
        <x:v>原文明确</x:v>
      </x:c>
    </x:row>
    <x:row r="192" ht="34" customHeight="1">
      <x:c r="A192" s="6" t="str">
        <x:v>R0181</x:v>
      </x:c>
      <x:c r="B192" s="6" t="str">
        <x:v>字段</x:v>
      </x:c>
      <x:c r="C192" s="18" t="n">
        <x:v>1</x:v>
      </x:c>
      <x:c r="D192" s="6" t="str">
        <x:v>深圳市比亚迪锂电池有限公司</x:v>
      </x:c>
      <x:c r="E192" s="6" t="str">
        <x:v>公示候选人</x:v>
      </x:c>
      <x:c r="F192" s="6" t="str">
        <x:v>广东省中科进出口有限公司</x:v>
      </x:c>
      <x:c r="G192" s="6" t="str"/>
      <x:c r="H192" s="13" t="d">
        <x:v>2026-07-07T00:00:00.000Z</x:v>
      </x:c>
      <x:c r="I192" s="6" t="str">
        <x:v>单位名称：广东省中科进出口有限公司</x:v>
      </x:c>
      <x:c r="J192" s="6" t="str">
        <x:v>O010</x:v>
      </x:c>
      <x:c r="K192" s="6" t="str">
        <x:v>纳入核验字段</x:v>
      </x:c>
      <x:c r="L192" s="6" t="str">
        <x:v>原文明确</x:v>
      </x:c>
    </x:row>
    <x:row r="193" ht="34" customHeight="1">
      <x:c r="A193" s="6" t="str">
        <x:v>R0182</x:v>
      </x:c>
      <x:c r="B193" s="6" t="str">
        <x:v>字段</x:v>
      </x:c>
      <x:c r="C193" s="18" t="n">
        <x:v>1</x:v>
      </x:c>
      <x:c r="D193" s="6" t="str">
        <x:v>深圳市比亚迪锂电池有限公司</x:v>
      </x:c>
      <x:c r="E193" s="6" t="str">
        <x:v>交货期限</x:v>
      </x:c>
      <x:c r="F193" s="6" t="str">
        <x:v>交货期：签订合同后300天内交货。</x:v>
      </x:c>
      <x:c r="G193" s="6" t="str"/>
      <x:c r="H193" s="13" t="d">
        <x:v>2026-07-07T00:00:00.000Z</x:v>
      </x:c>
      <x:c r="I193" s="6" t="str">
        <x:v>交货期：签订合同后300天内交货。</x:v>
      </x:c>
      <x:c r="J193" s="6" t="str">
        <x:v>O010</x:v>
      </x:c>
      <x:c r="K193" s="6" t="str">
        <x:v>纳入核验字段</x:v>
      </x:c>
      <x:c r="L193" s="6" t="str">
        <x:v>原文明确</x:v>
      </x:c>
    </x:row>
    <x:row r="194" ht="34" customHeight="1">
      <x:c r="A194" s="6" t="str">
        <x:v>R0183</x:v>
      </x:c>
      <x:c r="B194" s="6" t="str">
        <x:v>字段</x:v>
      </x:c>
      <x:c r="C194" s="18" t="n">
        <x:v>1</x:v>
      </x:c>
      <x:c r="D194" s="6" t="str">
        <x:v>公诚管理咨询有限公司</x:v>
      </x:c>
      <x:c r="E194" s="6" t="str">
        <x:v>招标代理电子邮件（原文）</x:v>
      </x:c>
      <x:c r="F194" s="6" t="str">
        <x:v>mindd@chinaccs.cn</x:v>
      </x:c>
      <x:c r="G194" s="6" t="str"/>
      <x:c r="H194" s="13" t="d">
        <x:v>2026-07-07T00:00:00.000Z</x:v>
      </x:c>
      <x:c r="I194" s="6" t="str">
        <x:v>招标代理机构：公诚管理咨询有限公司
</x:v>
      </x:c>
      <x:c r="J194" s="6" t="str">
        <x:v>O010</x:v>
      </x:c>
      <x:c r="K194" s="6" t="str">
        <x:v>关联或待核</x:v>
      </x:c>
      <x:c r="L194" s="6" t="str">
        <x:v>原文明确</x:v>
      </x:c>
    </x:row>
    <x:row r="195" ht="34" customHeight="1">
      <x:c r="A195" s="6" t="str">
        <x:v>R0184</x:v>
      </x:c>
      <x:c r="B195" s="6" t="str">
        <x:v>字段</x:v>
      </x:c>
      <x:c r="C195" s="18" t="n">
        <x:v>1</x:v>
      </x:c>
      <x:c r="D195" s="6" t="str">
        <x:v>惠州比亚迪电池有限公司</x:v>
      </x:c>
      <x:c r="E195" s="6" t="str">
        <x:v>实际采购主体</x:v>
      </x:c>
      <x:c r="F195" s="6" t="str">
        <x:v>惠州比亚迪电池有限公司</x:v>
      </x:c>
      <x:c r="G195" s="6" t="str"/>
      <x:c r="H195" s="13" t="d">
        <x:v>2026-09-02T00:00:00.000Z</x:v>
      </x:c>
      <x:c r="I195" s="6" t="str">
        <x:v>招标人：惠州比亚迪电池有限公司</x:v>
      </x:c>
      <x:c r="J195" s="6" t="str">
        <x:v>O011</x:v>
      </x:c>
      <x:c r="K195" s="6" t="str">
        <x:v>纳入核验字段</x:v>
      </x:c>
      <x:c r="L195" s="6" t="str">
        <x:v>原文明确</x:v>
      </x:c>
    </x:row>
    <x:row r="196" ht="34" customHeight="1">
      <x:c r="A196" s="6" t="str">
        <x:v>R0185</x:v>
      </x:c>
      <x:c r="B196" s="6" t="str">
        <x:v>字段</x:v>
      </x:c>
      <x:c r="C196" s="18" t="n">
        <x:v>1</x:v>
      </x:c>
      <x:c r="D196" s="6" t="str">
        <x:v>惠州比亚迪电池有限公司</x:v>
      </x:c>
      <x:c r="E196" s="6" t="str">
        <x:v>候选人投标总价（不含税）</x:v>
      </x:c>
      <x:c r="F196" s="6" t="str">
        <x:v>101772.57</x:v>
      </x:c>
      <x:c r="G196" s="6" t="str">
        <x:v>元</x:v>
      </x:c>
      <x:c r="H196" s="13" t="d">
        <x:v>2026-09-02T00:00:00.000Z</x:v>
      </x:c>
      <x:c r="I196" s="6" t="str">
        <x:v>不含税投标总价：101772.57元，含税投标总价：115003.00元</x:v>
      </x:c>
      <x:c r="J196" s="6" t="str">
        <x:v>O011</x:v>
      </x:c>
      <x:c r="K196" s="6" t="str">
        <x:v>纳入核验字段</x:v>
      </x:c>
      <x:c r="L196" s="6" t="str">
        <x:v>原文明确</x:v>
      </x:c>
    </x:row>
    <x:row r="197" ht="34" customHeight="1">
      <x:c r="A197" s="6" t="str">
        <x:v>R0186</x:v>
      </x:c>
      <x:c r="B197" s="6" t="str">
        <x:v>字段</x:v>
      </x:c>
      <x:c r="C197" s="18" t="n">
        <x:v>1</x:v>
      </x:c>
      <x:c r="D197" s="6" t="str">
        <x:v>惠州比亚迪电池有限公司</x:v>
      </x:c>
      <x:c r="E197" s="6" t="str">
        <x:v>候选人投标总价（含税）</x:v>
      </x:c>
      <x:c r="F197" s="14" t="str">
        <x:v>115003</x:v>
      </x:c>
      <x:c r="G197" s="6" t="str">
        <x:v>元</x:v>
      </x:c>
      <x:c r="H197" s="13" t="d">
        <x:v>2026-09-02T00:00:00.000Z</x:v>
      </x:c>
      <x:c r="I197" s="6" t="str">
        <x:v>不含税投标总价：101772.57元，含税投标总价：115003.00元</x:v>
      </x:c>
      <x:c r="J197" s="6" t="str">
        <x:v>O011</x:v>
      </x:c>
      <x:c r="K197" s="6" t="str">
        <x:v>纳入核验字段</x:v>
      </x:c>
      <x:c r="L197" s="6" t="str">
        <x:v>原文明确</x:v>
      </x:c>
    </x:row>
    <x:row r="198" ht="34" customHeight="1">
      <x:c r="A198" s="6" t="str">
        <x:v>R0187</x:v>
      </x:c>
      <x:c r="B198" s="6" t="str">
        <x:v>字段</x:v>
      </x:c>
      <x:c r="C198" s="18" t="n">
        <x:v>1</x:v>
      </x:c>
      <x:c r="D198" s="6" t="str">
        <x:v>惠州比亚迪电池有限公司</x:v>
      </x:c>
      <x:c r="E198" s="6" t="str">
        <x:v>公示候选人</x:v>
      </x:c>
      <x:c r="F198" s="6" t="str">
        <x:v>湖北省德海化工设备有限公司</x:v>
      </x:c>
      <x:c r="G198" s="6" t="str"/>
      <x:c r="H198" s="13" t="d">
        <x:v>2026-09-02T00:00:00.000Z</x:v>
      </x:c>
      <x:c r="I198" s="6" t="str">
        <x:v>单位名称：湖北省德海化工设备有限公司</x:v>
      </x:c>
      <x:c r="J198" s="6" t="str">
        <x:v>O011</x:v>
      </x:c>
      <x:c r="K198" s="6" t="str">
        <x:v>纳入核验字段</x:v>
      </x:c>
      <x:c r="L198" s="6" t="str">
        <x:v>原文明确</x:v>
      </x:c>
    </x:row>
    <x:row r="199" ht="34" customHeight="1">
      <x:c r="A199" s="6" t="str">
        <x:v>R0188</x:v>
      </x:c>
      <x:c r="B199" s="6" t="str">
        <x:v>字段</x:v>
      </x:c>
      <x:c r="C199" s="18" t="n">
        <x:v>1</x:v>
      </x:c>
      <x:c r="D199" s="6" t="str">
        <x:v>惠州比亚迪电池有限公司</x:v>
      </x:c>
      <x:c r="E199" s="6" t="str">
        <x:v>交货期限</x:v>
      </x:c>
      <x:c r="F199" s="6" t="str">
        <x:v>交货期：签订合同后59天内交货。</x:v>
      </x:c>
      <x:c r="G199" s="6" t="str"/>
      <x:c r="H199" s="13" t="d">
        <x:v>2026-09-02T00:00:00.000Z</x:v>
      </x:c>
      <x:c r="I199" s="6" t="str">
        <x:v>交货期：签订合同后59天内交货。</x:v>
      </x:c>
      <x:c r="J199" s="6" t="str">
        <x:v>O011</x:v>
      </x:c>
      <x:c r="K199" s="6" t="str">
        <x:v>纳入核验字段</x:v>
      </x:c>
      <x:c r="L199" s="6" t="str">
        <x:v>原文明确</x:v>
      </x:c>
    </x:row>
    <x:row r="200" ht="34" customHeight="1">
      <x:c r="A200" s="6" t="str">
        <x:v>R0189</x:v>
      </x:c>
      <x:c r="B200" s="6" t="str">
        <x:v>字段</x:v>
      </x:c>
      <x:c r="C200" s="18" t="n">
        <x:v>1</x:v>
      </x:c>
      <x:c r="D200" s="6" t="str">
        <x:v>公诚管理咨询有限公司</x:v>
      </x:c>
      <x:c r="E200" s="6" t="str">
        <x:v>招标代理电子邮件（原文）</x:v>
      </x:c>
      <x:c r="F200" s="6" t="str">
        <x:v>mindd@chinaccs.cn</x:v>
      </x:c>
      <x:c r="G200" s="6" t="str"/>
      <x:c r="H200" s="13" t="d">
        <x:v>2026-09-02T00:00:00.000Z</x:v>
      </x:c>
      <x:c r="I200" s="6" t="str">
        <x:v>招标代理机构：公诚管理咨询有限公司
</x:v>
      </x:c>
      <x:c r="J200" s="6" t="str">
        <x:v>O011</x:v>
      </x:c>
      <x:c r="K200" s="6" t="str">
        <x:v>关联或待核</x:v>
      </x:c>
      <x:c r="L200" s="6" t="str">
        <x:v>原文明确</x:v>
      </x:c>
    </x:row>
    <x:row r="201" ht="34" customHeight="1">
      <x:c r="A201" s="6" t="str">
        <x:v>R0190</x:v>
      </x:c>
      <x:c r="B201" s="6" t="str">
        <x:v>字段</x:v>
      </x:c>
      <x:c r="C201" s="18" t="n">
        <x:v>1</x:v>
      </x:c>
      <x:c r="D201" s="6" t="str">
        <x:v>深圳市比亚迪锂电池有限公司</x:v>
      </x:c>
      <x:c r="E201" s="6" t="str">
        <x:v>实际采购主体</x:v>
      </x:c>
      <x:c r="F201" s="6" t="str">
        <x:v>深圳市比亚迪锂电池有限公司</x:v>
      </x:c>
      <x:c r="G201" s="6" t="str"/>
      <x:c r="H201" s="13" t="d">
        <x:v>2026-06-03T00:00:00.000Z</x:v>
      </x:c>
      <x:c r="I201" s="6" t="str">
        <x:v>招标人：深圳市比亚迪锂电池有限公司</x:v>
      </x:c>
      <x:c r="J201" s="6" t="str">
        <x:v>O013</x:v>
      </x:c>
      <x:c r="K201" s="6" t="str">
        <x:v>纳入核验字段</x:v>
      </x:c>
      <x:c r="L201" s="6" t="str">
        <x:v>原文明确</x:v>
      </x:c>
    </x:row>
    <x:row r="202" ht="34" customHeight="1">
      <x:c r="A202" s="6" t="str">
        <x:v>R0191</x:v>
      </x:c>
      <x:c r="B202" s="6" t="str">
        <x:v>字段</x:v>
      </x:c>
      <x:c r="C202" s="18" t="n">
        <x:v>1</x:v>
      </x:c>
      <x:c r="D202" s="6" t="str">
        <x:v>深圳市比亚迪锂电池有限公司</x:v>
      </x:c>
      <x:c r="E202" s="6" t="str">
        <x:v>候选人投标总价（不含税）</x:v>
      </x:c>
      <x:c r="F202" s="14" t="str">
        <x:v>260177</x:v>
      </x:c>
      <x:c r="G202" s="6" t="str">
        <x:v>元</x:v>
      </x:c>
      <x:c r="H202" s="13" t="d">
        <x:v>2026-06-03T00:00:00.000Z</x:v>
      </x:c>
      <x:c r="I202" s="6" t="str">
        <x:v>不含税投标总价：260177.00元，含税投标总价：294000.00元</x:v>
      </x:c>
      <x:c r="J202" s="6" t="str">
        <x:v>O013</x:v>
      </x:c>
      <x:c r="K202" s="6" t="str">
        <x:v>纳入核验字段</x:v>
      </x:c>
      <x:c r="L202" s="6" t="str">
        <x:v>原文明确</x:v>
      </x:c>
    </x:row>
    <x:row r="203" ht="34" customHeight="1">
      <x:c r="A203" s="6" t="str">
        <x:v>R0192</x:v>
      </x:c>
      <x:c r="B203" s="6" t="str">
        <x:v>字段</x:v>
      </x:c>
      <x:c r="C203" s="18" t="n">
        <x:v>1</x:v>
      </x:c>
      <x:c r="D203" s="6" t="str">
        <x:v>深圳市比亚迪锂电池有限公司</x:v>
      </x:c>
      <x:c r="E203" s="6" t="str">
        <x:v>候选人投标总价（含税）</x:v>
      </x:c>
      <x:c r="F203" s="14" t="str">
        <x:v>294000</x:v>
      </x:c>
      <x:c r="G203" s="6" t="str">
        <x:v>元</x:v>
      </x:c>
      <x:c r="H203" s="13" t="d">
        <x:v>2026-06-03T00:00:00.000Z</x:v>
      </x:c>
      <x:c r="I203" s="6" t="str">
        <x:v>不含税投标总价：260177.00元，含税投标总价：294000.00元</x:v>
      </x:c>
      <x:c r="J203" s="6" t="str">
        <x:v>O013</x:v>
      </x:c>
      <x:c r="K203" s="6" t="str">
        <x:v>纳入核验字段</x:v>
      </x:c>
      <x:c r="L203" s="6" t="str">
        <x:v>原文明确</x:v>
      </x:c>
    </x:row>
    <x:row r="204" ht="34" customHeight="1">
      <x:c r="A204" s="6" t="str">
        <x:v>R0193</x:v>
      </x:c>
      <x:c r="B204" s="6" t="str">
        <x:v>字段</x:v>
      </x:c>
      <x:c r="C204" s="18" t="n">
        <x:v>1</x:v>
      </x:c>
      <x:c r="D204" s="6" t="str">
        <x:v>深圳市比亚迪锂电池有限公司</x:v>
      </x:c>
      <x:c r="E204" s="6" t="str">
        <x:v>公示候选人</x:v>
      </x:c>
      <x:c r="F204" s="6" t="str">
        <x:v>上海同星智能科技有限公司</x:v>
      </x:c>
      <x:c r="G204" s="6" t="str"/>
      <x:c r="H204" s="13" t="d">
        <x:v>2026-06-03T00:00:00.000Z</x:v>
      </x:c>
      <x:c r="I204" s="6" t="str">
        <x:v>单位名称：上海同星智能科技有限公司</x:v>
      </x:c>
      <x:c r="J204" s="6" t="str">
        <x:v>O013</x:v>
      </x:c>
      <x:c r="K204" s="6" t="str">
        <x:v>纳入核验字段</x:v>
      </x:c>
      <x:c r="L204" s="6" t="str">
        <x:v>原文明确</x:v>
      </x:c>
    </x:row>
    <x:row r="205" ht="34" customHeight="1">
      <x:c r="A205" s="6" t="str">
        <x:v>R0194</x:v>
      </x:c>
      <x:c r="B205" s="6" t="str">
        <x:v>字段</x:v>
      </x:c>
      <x:c r="C205" s="18" t="n">
        <x:v>1</x:v>
      </x:c>
      <x:c r="D205" s="6" t="str">
        <x:v>深圳市比亚迪锂电池有限公司</x:v>
      </x:c>
      <x:c r="E205" s="6" t="str">
        <x:v>交货期限</x:v>
      </x:c>
      <x:c r="F205" s="6" t="str">
        <x:v>交货期：30天。</x:v>
      </x:c>
      <x:c r="G205" s="6" t="str"/>
      <x:c r="H205" s="13" t="d">
        <x:v>2026-06-03T00:00:00.000Z</x:v>
      </x:c>
      <x:c r="I205" s="6" t="str">
        <x:v>交货期：30天。</x:v>
      </x:c>
      <x:c r="J205" s="6" t="str">
        <x:v>O013</x:v>
      </x:c>
      <x:c r="K205" s="6" t="str">
        <x:v>纳入核验字段</x:v>
      </x:c>
      <x:c r="L205" s="6" t="str">
        <x:v>原文明确</x:v>
      </x:c>
    </x:row>
    <x:row r="206" ht="34" customHeight="1">
      <x:c r="A206" s="6" t="str">
        <x:v>R0195</x:v>
      </x:c>
      <x:c r="B206" s="6" t="str">
        <x:v>字段</x:v>
      </x:c>
      <x:c r="C206" s="18" t="n">
        <x:v>1</x:v>
      </x:c>
      <x:c r="D206" s="6" t="str">
        <x:v>公诚管理咨询有限公司</x:v>
      </x:c>
      <x:c r="E206" s="6" t="str">
        <x:v>招标代理电子邮件（原文）</x:v>
      </x:c>
      <x:c r="F206" s="6" t="str">
        <x:v>mindd@gcbidding.com</x:v>
      </x:c>
      <x:c r="G206" s="6" t="str"/>
      <x:c r="H206" s="13" t="d">
        <x:v>2026-06-03T00:00:00.000Z</x:v>
      </x:c>
      <x:c r="I206" s="6" t="str">
        <x:v>招标代理机构：公诚管理咨询有限公司
</x:v>
      </x:c>
      <x:c r="J206" s="6" t="str">
        <x:v>O013</x:v>
      </x:c>
      <x:c r="K206" s="6" t="str">
        <x:v>关联或待核</x:v>
      </x:c>
      <x:c r="L206" s="6" t="str">
        <x:v>原文明确</x:v>
      </x:c>
    </x:row>
    <x:row r="207" ht="56" customHeight="1">
      <x:c r="A207" s="6" t="str">
        <x:v>R0196</x:v>
      </x:c>
      <x:c r="B207" s="6" t="str">
        <x:v>字段</x:v>
      </x:c>
      <x:c r="C207" s="18" t="n">
        <x:v>1</x:v>
      </x:c>
      <x:c r="D207" s="6" t="str">
        <x:v>深圳市比亚迪锂电池有限公司</x:v>
      </x:c>
      <x:c r="E207" s="6" t="str">
        <x:v>实际采购主体</x:v>
      </x:c>
      <x:c r="F207" s="6" t="str">
        <x:v>深圳市比亚迪锂电池有限公司</x:v>
      </x:c>
      <x:c r="G207" s="6" t="str"/>
      <x:c r="H207" s="13" t="d">
        <x:v>2026-05-13T00:00:00.000Z</x:v>
      </x:c>
      <x:c r="I207" s="6" t="str">
        <x:v>深圳市比亚迪锂电池有限公司（以下简称“招标人”）委托公诚管理咨询有限公司（以下简称“招标代理机构”）就软包三电极电池检测柜采购项目（招标代理项目编号： SZ-05-04A-2026-D-F-E10658）进行公开招标采购</x:v>
      </x:c>
      <x:c r="J207" s="6" t="str">
        <x:v>O014</x:v>
      </x:c>
      <x:c r="K207" s="6" t="str">
        <x:v>纳入核验字段</x:v>
      </x:c>
      <x:c r="L207" s="6" t="str">
        <x:v>原文明确</x:v>
      </x:c>
    </x:row>
    <x:row r="208" ht="34" customHeight="1">
      <x:c r="A208" s="6" t="str">
        <x:v>R0197</x:v>
      </x:c>
      <x:c r="B208" s="6" t="str">
        <x:v>字段</x:v>
      </x:c>
      <x:c r="C208" s="18" t="n">
        <x:v>1</x:v>
      </x:c>
      <x:c r="D208" s="6" t="str">
        <x:v>深圳市比亚迪锂电池有限公司</x:v>
      </x:c>
      <x:c r="E208" s="6" t="str">
        <x:v>公告采购方联系地址</x:v>
      </x:c>
      <x:c r="F208" s="6" t="str">
        <x:v>深圳市龙岗区宝龙街道宝龙比亚迪三期二栋</x:v>
      </x:c>
      <x:c r="G208" s="6" t="str"/>
      <x:c r="H208" s="13" t="d">
        <x:v>2026-05-13T00:00:00.000Z</x:v>
      </x:c>
      <x:c r="I208" s="6" t="str">
        <x:v>地 址：深圳市龙岗区宝龙街道宝龙比亚迪三期二栋</x:v>
      </x:c>
      <x:c r="J208" s="6" t="str">
        <x:v>O014</x:v>
      </x:c>
      <x:c r="K208" s="6" t="str">
        <x:v>纳入核验字段</x:v>
      </x:c>
      <x:c r="L208" s="6" t="str">
        <x:v>原文明确</x:v>
      </x:c>
    </x:row>
    <x:row r="209" ht="40" customHeight="1">
      <x:c r="A209" s="6" t="str">
        <x:v>R0198</x:v>
      </x:c>
      <x:c r="B209" s="6" t="str">
        <x:v>字段</x:v>
      </x:c>
      <x:c r="C209" s="18" t="n">
        <x:v>1</x:v>
      </x:c>
      <x:c r="D209" s="6" t="str">
        <x:v>深圳市比亚迪锂电池有限公司</x:v>
      </x:c>
      <x:c r="E209" s="6" t="str">
        <x:v>采购方联系人</x:v>
      </x:c>
      <x:c r="F209" s="6" t="str">
        <x:v>郭工</x:v>
      </x:c>
      <x:c r="G209" s="6" t="str"/>
      <x:c r="H209" s="13" t="d">
        <x:v>2026-05-13T00:00:00.000Z</x:v>
      </x:c>
      <x:c r="I209" s="6" t="str">
        <x:v>招标人：深圳市比亚迪锂电池有限公司
地 址：深圳市龙岗区宝龙街道宝龙比亚迪三期二栋
联 系 人：郭工
电 话： 18998128178</x:v>
      </x:c>
      <x:c r="J209" s="6" t="str">
        <x:v>O014</x:v>
      </x:c>
      <x:c r="K209" s="6" t="str">
        <x:v>纳入核验字段</x:v>
      </x:c>
      <x:c r="L209" s="6" t="str">
        <x:v>原文明确</x:v>
      </x:c>
    </x:row>
    <x:row r="210" ht="40" customHeight="1">
      <x:c r="A210" s="6" t="str">
        <x:v>R0199</x:v>
      </x:c>
      <x:c r="B210" s="6" t="str">
        <x:v>字段</x:v>
      </x:c>
      <x:c r="C210" s="18" t="n">
        <x:v>1</x:v>
      </x:c>
      <x:c r="D210" s="6" t="str">
        <x:v>深圳市比亚迪锂电池有限公司</x:v>
      </x:c>
      <x:c r="E210" s="6" t="str">
        <x:v>采购方联系电话</x:v>
      </x:c>
      <x:c r="F210" s="14" t="str">
        <x:v>18998128178</x:v>
      </x:c>
      <x:c r="G210" s="6" t="str"/>
      <x:c r="H210" s="13" t="d">
        <x:v>2026-05-13T00:00:00.000Z</x:v>
      </x:c>
      <x:c r="I210" s="6" t="str">
        <x:v>招标人：深圳市比亚迪锂电池有限公司
地 址：深圳市龙岗区宝龙街道宝龙比亚迪三期二栋
联 系 人：郭工
电 话： 18998128178</x:v>
      </x:c>
      <x:c r="J210" s="6" t="str">
        <x:v>O014</x:v>
      </x:c>
      <x:c r="K210" s="6" t="str">
        <x:v>纳入核验字段</x:v>
      </x:c>
      <x:c r="L210" s="6" t="str">
        <x:v>原文明确</x:v>
      </x:c>
    </x:row>
    <x:row r="211" ht="34" customHeight="1">
      <x:c r="A211" s="6" t="str">
        <x:v>R0200</x:v>
      </x:c>
      <x:c r="B211" s="6" t="str">
        <x:v>字段</x:v>
      </x:c>
      <x:c r="C211" s="18" t="n">
        <x:v>1</x:v>
      </x:c>
      <x:c r="D211" s="6" t="str">
        <x:v>深圳市比亚迪锂电池有限公司</x:v>
      </x:c>
      <x:c r="E211" s="6" t="str">
        <x:v>项目交货地点</x:v>
      </x:c>
      <x:c r="F211" s="6" t="str">
        <x:v>深圳市龙岗区</x:v>
      </x:c>
      <x:c r="G211" s="6" t="str"/>
      <x:c r="H211" s="13" t="d">
        <x:v>2026-05-13T00:00:00.000Z</x:v>
      </x:c>
      <x:c r="I211" s="6" t="str">
        <x:v>2.6交货地点：深圳市龙岗区</x:v>
      </x:c>
      <x:c r="J211" s="6" t="str">
        <x:v>O014</x:v>
      </x:c>
      <x:c r="K211" s="6" t="str">
        <x:v>纳入核验字段</x:v>
      </x:c>
      <x:c r="L211" s="6" t="str">
        <x:v>原文明确</x:v>
      </x:c>
    </x:row>
    <x:row r="212" ht="34" customHeight="1">
      <x:c r="A212" s="6" t="str">
        <x:v>R0201</x:v>
      </x:c>
      <x:c r="B212" s="6" t="str">
        <x:v>字段</x:v>
      </x:c>
      <x:c r="C212" s="18" t="n">
        <x:v>1</x:v>
      </x:c>
      <x:c r="D212" s="6" t="str">
        <x:v>深圳市比亚迪锂电池有限公司</x:v>
      </x:c>
      <x:c r="E212" s="6" t="str">
        <x:v>采购预算（不含税）</x:v>
      </x:c>
      <x:c r="F212" s="14" t="str">
        <x:v>465000</x:v>
      </x:c>
      <x:c r="G212" s="6" t="str">
        <x:v>元</x:v>
      </x:c>
      <x:c r="H212" s="13" t="d">
        <x:v>2026-05-13T00:00:00.000Z</x:v>
      </x:c>
      <x:c r="I212" s="6" t="str">
        <x:v>项目不含税预算金额46.5万元</x:v>
      </x:c>
      <x:c r="J212" s="6" t="str">
        <x:v>O014</x:v>
      </x:c>
      <x:c r="K212" s="6" t="str">
        <x:v>纳入核验字段</x:v>
      </x:c>
      <x:c r="L212" s="6" t="str">
        <x:v>原文明确</x:v>
      </x:c>
    </x:row>
    <x:row r="213" ht="136" customHeight="1">
      <x:c r="A213" s="6" t="str">
        <x:v>R0202</x:v>
      </x:c>
      <x:c r="B213" s="6" t="str">
        <x:v>字段</x:v>
      </x:c>
      <x:c r="C213" s="18" t="n">
        <x:v>1</x:v>
      </x:c>
      <x:c r="D213" s="6" t="str">
        <x:v>深圳市比亚迪锂电池有限公司</x:v>
      </x:c>
      <x:c r="E213" s="6" t="str">
        <x:v>采购内容与关键要求</x:v>
      </x:c>
      <x:c r="F213" s="6" t="str">
        <x:v>拟选定一家供应商为招标人提供软包三电极电池检测柜 5台。设备主要技术参数如下表,具体要求详见第五章 技术规范书。
项目
技术参数需求
通道需求
5V30A，共计16CH/台，5台
主电压
充电范围为0V-5V；电压测量控制精度±0.02%F.S.@25±5℃；分辨率0.1mV；
主电流
充放电电流范围为-30A~30A，电流控制精度±0.02%F.S@25±5℃；最小电流≤1mA；分辨率1mA；
辅助电压
主通道及两个辅助通道电压检测量程：0~5V，主通道及两个辅助通道电压检测精度均需满足±0.02%F.S.@25±5℃，分辨率0.1mV；</x:v>
      </x:c>
      <x:c r="G213" s="6" t="str"/>
      <x:c r="H213" s="13" t="d">
        <x:v>2026-05-13T00:00:00.000Z</x:v>
      </x:c>
      <x:c r="I213" s="6" t="str">
        <x:v>2.2招标内容：拟选定一家供应商为招标人提供软包三电极电池检测柜 5台。设备主要技术参数如下表,具体要求详见第五章 技术规范书。
项目
技术参数需求
通道需求
5V30A，共计16CH/台，5台
主电压
充电范围为0V-5V；电压测量控制精度±0.02%F.S.@25±5℃；分辨率0.1mV；
主电流
充放电电流范围为-30A~30A，电流控制精度±0.02%F.S@25±5℃；最小电流≤1mA；分辨率1mA；
辅助电压
主通道及两个辅助通道电压检测量程：0~5V，主通道及两个辅助通道电压检测精度均需满足±0.02%F.S.@25±5℃，分辨率0.1mV；
</x:v>
      </x:c>
      <x:c r="J213" s="6" t="str">
        <x:v>O014</x:v>
      </x:c>
      <x:c r="K213" s="6" t="str">
        <x:v>纳入核验字段</x:v>
      </x:c>
      <x:c r="L213" s="6" t="str">
        <x:v>原文明确</x:v>
      </x:c>
    </x:row>
    <x:row r="214" ht="40" customHeight="1">
      <x:c r="A214" s="6" t="str">
        <x:v>R0203</x:v>
      </x:c>
      <x:c r="B214" s="6" t="str">
        <x:v>字段</x:v>
      </x:c>
      <x:c r="C214" s="18" t="n">
        <x:v>1</x:v>
      </x:c>
      <x:c r="D214" s="6" t="str">
        <x:v>深圳市比亚迪锂电池有限公司</x:v>
      </x:c>
      <x:c r="E214" s="6" t="str">
        <x:v>付款条件</x:v>
      </x:c>
      <x:c r="F214" s="6" t="str">
        <x:v>付款条件：项目不含税预算金额46.5万元，设备单价不含税限价9.3万元/台。付款条件：货到凭票付60%，验收合格凭票付30%，质保1年满付10%，全部电汇。</x:v>
      </x:c>
      <x:c r="G214" s="6" t="str"/>
      <x:c r="H214" s="13" t="d">
        <x:v>2026-05-13T00:00:00.000Z</x:v>
      </x:c>
      <x:c r="I214" s="6" t="str">
        <x:v>付款条件：项目不含税预算金额46.5万元，设备单价不含税限价9.3万元/台。付款条件：货到凭票付60%，验收合格凭票付30%，质保1年满付10%，全部电汇。
</x:v>
      </x:c>
      <x:c r="J214" s="6" t="str">
        <x:v>O014</x:v>
      </x:c>
      <x:c r="K214" s="6" t="str">
        <x:v>纳入核验字段</x:v>
      </x:c>
      <x:c r="L214" s="6" t="str">
        <x:v>原文明确</x:v>
      </x:c>
    </x:row>
    <x:row r="215" ht="34" customHeight="1">
      <x:c r="A215" s="6" t="str">
        <x:v>R0204</x:v>
      </x:c>
      <x:c r="B215" s="6" t="str">
        <x:v>字段</x:v>
      </x:c>
      <x:c r="C215" s="18" t="n">
        <x:v>1</x:v>
      </x:c>
      <x:c r="D215" s="6" t="str">
        <x:v>深圳市比亚迪锂电池有限公司</x:v>
      </x:c>
      <x:c r="E215" s="6" t="str">
        <x:v>交货期限</x:v>
      </x:c>
      <x:c r="F215" s="6" t="str">
        <x:v>2. 5交货期限：签订合同后60天内交货。</x:v>
      </x:c>
      <x:c r="G215" s="6" t="str"/>
      <x:c r="H215" s="13" t="d">
        <x:v>2026-05-13T00:00:00.000Z</x:v>
      </x:c>
      <x:c r="I215" s="6" t="str">
        <x:v>2. 5交货期限：签订合同后60天内交货。</x:v>
      </x:c>
      <x:c r="J215" s="6" t="str">
        <x:v>O014</x:v>
      </x:c>
      <x:c r="K215" s="6" t="str">
        <x:v>纳入核验字段</x:v>
      </x:c>
      <x:c r="L215" s="6" t="str">
        <x:v>原文明确</x:v>
      </x:c>
    </x:row>
    <x:row r="216" ht="88" customHeight="1">
      <x:c r="A216" s="6" t="str">
        <x:v>R0205</x:v>
      </x:c>
      <x:c r="B216" s="6" t="str">
        <x:v>字段</x:v>
      </x:c>
      <x:c r="C216" s="18" t="n">
        <x:v>1</x:v>
      </x:c>
      <x:c r="D216" s="6" t="str">
        <x:v>深圳市比亚迪锂电池有限公司</x:v>
      </x:c>
      <x:c r="E216" s="6" t="str">
        <x:v>供应商资格</x:v>
      </x:c>
      <x:c r="F216" s="6" t="str">
        <x:v>3.2 投标人必须是软包三电极电池检测柜设备的制造商或合法代理商。投标人是制造商的，须出具制造商声明函；投标人为代理商的，须提供代理商资格声明函及制造商(分公司、办事处授权无效)对本次投标项目出具的唯一、合法且有效的授权书。若同一制造商在本项目中授权两家或以上代理商参与投标，代理商均按无效标处理；制造商与其合法代理商同时参加本次投标，代理商按无效标处理。（按要求提供有效证明材料）。</x:v>
      </x:c>
      <x:c r="G216" s="6" t="str"/>
      <x:c r="H216" s="13" t="d">
        <x:v>2026-05-13T00:00:00.000Z</x:v>
      </x:c>
      <x:c r="I216" s="6" t="str">
        <x:v>3.2 投标人必须是软包三电极电池检测柜设备的制造商或合法代理商。投标人是制造商的，须出具制造商声明函；投标人为代理商的，须提供代理商资格声明函及制造商(分公司、办事处授权无效)对本次投标项目出具的唯一、合法且有效的授权书。若同一制造商在本项目中授权两家或以上代理商参与投标，代理商均按无效标处理；制造商与其合法代理商同时参加本次投标，代理商按无效标处理。（按要求提供有效证明材料）。
</x:v>
      </x:c>
      <x:c r="J216" s="6" t="str">
        <x:v>O014</x:v>
      </x:c>
      <x:c r="K216" s="6" t="str">
        <x:v>纳入核验字段</x:v>
      </x:c>
      <x:c r="L216" s="6" t="str">
        <x:v>原文明确</x:v>
      </x:c>
    </x:row>
    <x:row r="217" ht="56" customHeight="1">
      <x:c r="A217" s="6" t="str">
        <x:v>R0206</x:v>
      </x:c>
      <x:c r="B217" s="6" t="str">
        <x:v>字段</x:v>
      </x:c>
      <x:c r="C217" s="18" t="n">
        <x:v>1</x:v>
      </x:c>
      <x:c r="D217" s="6" t="str">
        <x:v>深圳市比亚迪锂电池有限公司</x:v>
      </x:c>
      <x:c r="E217" s="6" t="str">
        <x:v>招标文件费用</x:v>
      </x:c>
      <x:c r="F217" s="6" t="str">
        <x:v>5.3 招标文件费用：每套售价500.00元人民币，售后不退。如需要获取纸质招标文件，请凭借购买记录前往深圳市福田区新闻路2号英龙商务中心33楼33E现场领取，或电话联系文件售卖人员进行邮寄，邮寄费用由投标人承担。</x:v>
      </x:c>
      <x:c r="G217" s="6" t="str"/>
      <x:c r="H217" s="13" t="d">
        <x:v>2026-05-13T00:00:00.000Z</x:v>
      </x:c>
      <x:c r="I217" s="6" t="str">
        <x:v>5.3 招标文件费用：每套售价500.00元人民币，售后不退。如需要获取纸质招标文件，请凭借购买记录前往深圳市福田区新闻路2号英龙商务中心33楼33E现场领取，或电话联系文件售卖人员进行邮寄，邮寄费用由投标人承担。</x:v>
      </x:c>
      <x:c r="J217" s="6" t="str">
        <x:v>O014</x:v>
      </x:c>
      <x:c r="K217" s="6" t="str">
        <x:v>纳入核验字段</x:v>
      </x:c>
      <x:c r="L217" s="6" t="str">
        <x:v>原文明确</x:v>
      </x:c>
    </x:row>
    <x:row r="218" ht="72" customHeight="1">
      <x:c r="A218" s="6" t="str">
        <x:v>R0207</x:v>
      </x:c>
      <x:c r="B218" s="6" t="str">
        <x:v>字段</x:v>
      </x:c>
      <x:c r="C218" s="18" t="n">
        <x:v>1</x:v>
      </x:c>
      <x:c r="D218" s="6" t="str">
        <x:v>公诚管理咨询有限公司</x:v>
      </x:c>
      <x:c r="E218" s="6" t="str">
        <x:v>招标代理项目负责人</x:v>
      </x:c>
      <x:c r="F218" s="6" t="str">
        <x:v>闵代道、郑沙、王子怡、何琴琴、王玮、马姗姗、孙婉超、童本锋</x:v>
      </x:c>
      <x:c r="G218" s="6" t="str"/>
      <x:c r="H218" s="13" t="d">
        <x:v>2026-05-13T00:00:00.000Z</x:v>
      </x:c>
      <x:c r="I218" s="6" t="str">
        <x:v>招标代理机构：公诚管理咨询有限公司
地 址：深圳市福田区新闻路2号英龙商务中心 33 E室
项目负责人：闵代道、郑沙、王子怡、何琴琴、王玮、马姗姗、孙婉超、童本锋
电 话： 18126131331、 18617187621
电子邮件： mindd@gcbidding.com (heqq@gcbidding.com)、 zhengsha@gcbidding.com
</x:v>
      </x:c>
      <x:c r="J218" s="6" t="str">
        <x:v>O014</x:v>
      </x:c>
      <x:c r="K218" s="6" t="str">
        <x:v>关联或待核</x:v>
      </x:c>
      <x:c r="L218" s="6" t="str">
        <x:v>原文明确</x:v>
      </x:c>
    </x:row>
    <x:row r="219" ht="72" customHeight="1">
      <x:c r="A219" s="6" t="str">
        <x:v>R0208</x:v>
      </x:c>
      <x:c r="B219" s="6" t="str">
        <x:v>字段</x:v>
      </x:c>
      <x:c r="C219" s="18" t="n">
        <x:v>1</x:v>
      </x:c>
      <x:c r="D219" s="6" t="str">
        <x:v>公诚管理咨询有限公司</x:v>
      </x:c>
      <x:c r="E219" s="6" t="str">
        <x:v>招标代理联系电话</x:v>
      </x:c>
      <x:c r="F219" s="6" t="str">
        <x:v>18126131331、 18617187621</x:v>
      </x:c>
      <x:c r="G219" s="6" t="str"/>
      <x:c r="H219" s="13" t="d">
        <x:v>2026-05-13T00:00:00.000Z</x:v>
      </x:c>
      <x:c r="I219" s="6" t="str">
        <x:v>招标代理机构：公诚管理咨询有限公司
地 址：深圳市福田区新闻路2号英龙商务中心 33 E室
项目负责人：闵代道、郑沙、王子怡、何琴琴、王玮、马姗姗、孙婉超、童本锋
电 话： 18126131331、 18617187621
电子邮件： mindd@gcbidding.com (heqq@gcbidding.com)、 zhengsha@gcbidding.com
</x:v>
      </x:c>
      <x:c r="J219" s="6" t="str">
        <x:v>O014</x:v>
      </x:c>
      <x:c r="K219" s="6" t="str">
        <x:v>关联或待核</x:v>
      </x:c>
      <x:c r="L219" s="6" t="str">
        <x:v>原文明确</x:v>
      </x:c>
    </x:row>
    <x:row r="220" ht="72" customHeight="1">
      <x:c r="A220" s="6" t="str">
        <x:v>R0209</x:v>
      </x:c>
      <x:c r="B220" s="6" t="str">
        <x:v>字段</x:v>
      </x:c>
      <x:c r="C220" s="18" t="n">
        <x:v>1</x:v>
      </x:c>
      <x:c r="D220" s="6" t="str">
        <x:v>公诚管理咨询有限公司</x:v>
      </x:c>
      <x:c r="E220" s="6" t="str">
        <x:v>招标代理电子邮件（原文）</x:v>
      </x:c>
      <x:c r="F220" s="6" t="str">
        <x:v>mindd@gcbidding.com (heqq@gcbidding.com)、 zhengsha@gcbidding.com</x:v>
      </x:c>
      <x:c r="G220" s="6" t="str"/>
      <x:c r="H220" s="13" t="d">
        <x:v>2026-05-13T00:00:00.000Z</x:v>
      </x:c>
      <x:c r="I220" s="6" t="str">
        <x:v>招标代理机构：公诚管理咨询有限公司
地 址：深圳市福田区新闻路2号英龙商务中心 33 E室
项目负责人：闵代道、郑沙、王子怡、何琴琴、王玮、马姗姗、孙婉超、童本锋
电 话： 18126131331、 18617187621
电子邮件： mindd@gcbidding.com (heqq@gcbidding.com)、 zhengsha@gcbidding.com
</x:v>
      </x:c>
      <x:c r="J220" s="6" t="str">
        <x:v>O014</x:v>
      </x:c>
      <x:c r="K220" s="6" t="str">
        <x:v>关联或待核</x:v>
      </x:c>
      <x:c r="L220" s="6" t="str">
        <x:v>原文明确</x:v>
      </x:c>
    </x:row>
    <x:row r="221" ht="40" customHeight="1">
      <x:c r="A221" s="6" t="str">
        <x:v>R0210</x:v>
      </x:c>
      <x:c r="B221" s="6" t="str">
        <x:v>字段</x:v>
      </x:c>
      <x:c r="C221" s="18" t="n">
        <x:v>1</x:v>
      </x:c>
      <x:c r="D221" s="6" t="str">
        <x:v>深圳市比亚迪锂电池有限公司</x:v>
      </x:c>
      <x:c r="E221" s="6" t="str">
        <x:v>质保与原厂服务</x:v>
      </x:c>
      <x:c r="F221" s="6" t="str">
        <x:v>3年原厂整机质保带硬盘保留，3年原厂免费上门服务（提供原厂项目授权函以及原厂服务承诺函）</x:v>
      </x:c>
      <x:c r="G221" s="6" t="str"/>
      <x:c r="H221" s="13" t="d">
        <x:v>2026-08-28T00:00:00.000Z</x:v>
      </x:c>
      <x:c r="I221" s="6" t="str">
        <x:v>3年原厂整机质保带硬盘保留，3年原厂免费上门服务（提供原厂项目授权函以及原厂服务承诺函）</x:v>
      </x:c>
      <x:c r="J221" s="6" t="str">
        <x:v>O004</x:v>
      </x:c>
      <x:c r="K221" s="6" t="str">
        <x:v>纳入核验字段</x:v>
      </x:c>
      <x:c r="L221" s="6" t="str">
        <x:v>原文明确</x:v>
      </x:c>
    </x:row>
    <x:row r="222" ht="34" customHeight="1">
      <x:c r="A222" s="6" t="str">
        <x:v>R0211</x:v>
      </x:c>
      <x:c r="B222" s="6" t="str">
        <x:v>字段</x:v>
      </x:c>
      <x:c r="C222" s="18" t="n">
        <x:v>1</x:v>
      </x:c>
      <x:c r="D222" s="6" t="str">
        <x:v>深圳市比亚迪锂电池有限公司</x:v>
      </x:c>
      <x:c r="E222" s="6" t="str">
        <x:v>验收与退货条件</x:v>
      </x:c>
      <x:c r="F222" s="6" t="str">
        <x:v>稳定运行3个月无故障通过验收。有故障供应商无法解决，招标人有权要求退货。</x:v>
      </x:c>
      <x:c r="G222" s="6" t="str"/>
      <x:c r="H222" s="13" t="d">
        <x:v>2026-08-28T00:00:00.000Z</x:v>
      </x:c>
      <x:c r="I222" s="6" t="str">
        <x:v>稳定运行3个月无故障通过验收。有故障供应商无法解决，招标人有权要求退货。</x:v>
      </x:c>
      <x:c r="J222" s="6" t="str">
        <x:v>O004</x:v>
      </x:c>
      <x:c r="K222" s="6" t="str">
        <x:v>纳入核验字段</x:v>
      </x:c>
      <x:c r="L222" s="6" t="str">
        <x:v>原文明确</x:v>
      </x:c>
    </x:row>
    <x:row r="223" ht="34" customHeight="1">
      <x:c r="A223" s="6" t="str">
        <x:v>R0212</x:v>
      </x:c>
      <x:c r="B223" s="6" t="str">
        <x:v>字段</x:v>
      </x:c>
      <x:c r="C223" s="18" t="n">
        <x:v>1</x:v>
      </x:c>
      <x:c r="D223" s="6" t="str">
        <x:v>深圳市比亚迪锂电池有限公司</x:v>
      </x:c>
      <x:c r="E223" s="6" t="str">
        <x:v>检测柜单台不含税限价</x:v>
      </x:c>
      <x:c r="F223" s="14" t="str">
        <x:v>93000</x:v>
      </x:c>
      <x:c r="G223" s="6" t="str">
        <x:v>元/台</x:v>
      </x:c>
      <x:c r="H223" s="13" t="d">
        <x:v>2026-05-13T00:00:00.000Z</x:v>
      </x:c>
      <x:c r="I223" s="6" t="str">
        <x:v>项目不含税预算金额46.5万元，设备单价不含税限价9.3万元/台</x:v>
      </x:c>
      <x:c r="J223" s="6" t="str">
        <x:v>O014</x:v>
      </x:c>
      <x:c r="K223" s="6" t="str">
        <x:v>纳入核验字段</x:v>
      </x:c>
      <x:c r="L223" s="6" t="str">
        <x:v>原文明确</x:v>
      </x:c>
    </x:row>
    <x:row r="224" ht="40" customHeight="1">
      <x:c r="A224" s="6" t="str">
        <x:v>R0213</x:v>
      </x:c>
      <x:c r="B224" s="6" t="str">
        <x:v>公告</x:v>
      </x:c>
      <x:c r="C224" s="18" t="n">
        <x:v>1</x:v>
      </x:c>
      <x:c r="D224" s="6" t="str">
        <x:v>惠州比亚迪电池有限公司</x:v>
      </x:c>
      <x:c r="E224" s="6" t="str">
        <x:v>比亚迪公司流化床采购项目招标公告</x:v>
      </x:c>
      <x:c r="F224" s="6" t="str">
        <x:v>项目不含税预算金额250万元</x:v>
      </x:c>
      <x:c r="G224" s="6" t="str"/>
      <x:c r="H224" s="13" t="d">
        <x:v>2026-07-01T00:00:00.000Z</x:v>
      </x:c>
      <x:c r="I224" s="6" t="str">
        <x:v>2.3项目预算及付款条件：项目不含税预算金额250万元。付款条件：预付30%，到货凭票付30%，验收合格后凭票付30%，质保一年付10%，电汇。
2.4标包划分：不划分标包。</x:v>
      </x:c>
      <x:c r="J224" s="6" t="str">
        <x:v>O001</x:v>
      </x:c>
      <x:c r="K224" s="6" t="str">
        <x:v>纳入直接招采</x:v>
      </x:c>
      <x:c r="L224" s="6" t="str">
        <x:v>已核验主体角色和公告正文</x:v>
      </x:c>
    </x:row>
    <x:row r="225" ht="40" customHeight="1">
      <x:c r="A225" s="6" t="str">
        <x:v>R0214</x:v>
      </x:c>
      <x:c r="B225" s="6" t="str">
        <x:v>公告</x:v>
      </x:c>
      <x:c r="C225" s="18" t="n">
        <x:v>1</x:v>
      </x:c>
      <x:c r="D225" s="6" t="str">
        <x:v>深圳市比亚迪锂电池有限公司</x:v>
      </x:c>
      <x:c r="E225" s="6" t="str">
        <x:v>比亚迪公司实验室温等静压机采购项目（二次）招标公告</x:v>
      </x:c>
      <x:c r="F225" s="6" t="str">
        <x:v>项目不含税预算金额500 万元</x:v>
      </x:c>
      <x:c r="G225" s="6" t="str"/>
      <x:c r="H225" s="13" t="d">
        <x:v>2026-07-14T00:00:00.000Z</x:v>
      </x:c>
      <x:c r="I225" s="6" t="str">
        <x:v>2.3 项目预算及付款条件：项目不含税预算金额500 万元。付款条件： 
货到凭票付 60%,验收合格凭票付 40%，全部电汇。 
2.4 标包划分：不划分标包。 </x:v>
      </x:c>
      <x:c r="J225" s="6" t="str">
        <x:v>O002</x:v>
      </x:c>
      <x:c r="K225" s="6" t="str">
        <x:v>纳入直接招采</x:v>
      </x:c>
      <x:c r="L225" s="6" t="str">
        <x:v>已核验主体角色和公告正文</x:v>
      </x:c>
    </x:row>
    <x:row r="226" ht="40" customHeight="1">
      <x:c r="A226" s="6" t="str">
        <x:v>R0215</x:v>
      </x:c>
      <x:c r="B226" s="6" t="str">
        <x:v>公告</x:v>
      </x:c>
      <x:c r="C226" s="18" t="n">
        <x:v>1</x:v>
      </x:c>
      <x:c r="D226" s="6" t="str">
        <x:v>深圳市比亚迪锂电池有限公司</x:v>
      </x:c>
      <x:c r="E226" s="6" t="str">
        <x:v>比亚迪公司硬X射线XPS采购项目招标公告</x:v>
      </x:c>
      <x:c r="F226" s="6" t="str">
        <x:v>项目不含税预算金额700万元</x:v>
      </x:c>
      <x:c r="G226" s="6" t="str"/>
      <x:c r="H226" s="13" t="d">
        <x:v>2026-06-17T00:00:00.000Z</x:v>
      </x:c>
      <x:c r="I226" s="6" t="str">
        <x:v>2. 3项目预算及付款条件：项目不含税预算金额700万元。付款条件：货到凭票付60%，验收合格后凭票付40%，全部电汇。
2.4标包划分：不划分标包。</x:v>
      </x:c>
      <x:c r="J226" s="6" t="str">
        <x:v>O003</x:v>
      </x:c>
      <x:c r="K226" s="6" t="str">
        <x:v>纳入直接招采</x:v>
      </x:c>
      <x:c r="L226" s="6" t="str">
        <x:v>已核验主体角色和公告正文</x:v>
      </x:c>
    </x:row>
    <x:row r="227" ht="40" customHeight="1">
      <x:c r="A227" s="6" t="str">
        <x:v>R0216</x:v>
      </x:c>
      <x:c r="B227" s="6" t="str">
        <x:v>公告</x:v>
      </x:c>
      <x:c r="C227" s="18" t="n">
        <x:v>1</x:v>
      </x:c>
      <x:c r="D227" s="6" t="str">
        <x:v>深圳市比亚迪锂电池有限公司</x:v>
      </x:c>
      <x:c r="E227" s="6" t="str">
        <x:v>比亚迪公司智能体平台采购项目招标公告</x:v>
      </x:c>
      <x:c r="F227" s="6" t="str">
        <x:v>项目不含税预算金额137万元</x:v>
      </x:c>
      <x:c r="G227" s="6" t="str"/>
      <x:c r="H227" s="13" t="d">
        <x:v>2026-08-28T00:00:00.000Z</x:v>
      </x:c>
      <x:c r="I227" s="6" t="str">
        <x:v>2.3项目预算及付款条件：项目不含税预算金额137万元。付款方式：预付30%,到货凭票付30%,验收合格后凭票付30%,质保一年付10%;全部6个月商票。
2.4标包划分：不划分标包。</x:v>
      </x:c>
      <x:c r="J227" s="6" t="str">
        <x:v>O004</x:v>
      </x:c>
      <x:c r="K227" s="6" t="str">
        <x:v>纳入直接招采</x:v>
      </x:c>
      <x:c r="L227" s="6" t="str">
        <x:v>已核验主体角色和公告正文</x:v>
      </x:c>
    </x:row>
    <x:row r="228" ht="40" customHeight="1">
      <x:c r="A228" s="6" t="str">
        <x:v>R0217</x:v>
      </x:c>
      <x:c r="B228" s="6" t="str">
        <x:v>公告</x:v>
      </x:c>
      <x:c r="C228" s="18" t="n">
        <x:v>1</x:v>
      </x:c>
      <x:c r="D228" s="6" t="str">
        <x:v>惠州比亚迪电池有限公司</x:v>
      </x:c>
      <x:c r="E228" s="6" t="str">
        <x:v>比亚迪公司分级机采购项目中止公告</x:v>
      </x:c>
      <x:c r="F228" s="6" t="str"/>
      <x:c r="G228" s="6" t="str"/>
      <x:c r="H228" s="13" t="d">
        <x:v>2026-07-10T00:00:00.000Z</x:v>
      </x:c>
      <x:c r="I228" s="6" t="str">
        <x:v>招标人：惠州比亚迪电池有限公司
地 址：惠州市惠阳区龙山八路惠州比亚迪工业园二期
联 系 人：沈女士
电 话：19928817675</x:v>
      </x:c>
      <x:c r="J228" s="6" t="str">
        <x:v>O005</x:v>
      </x:c>
      <x:c r="K228" s="6" t="str">
        <x:v>纳入直接招采</x:v>
      </x:c>
      <x:c r="L228" s="6" t="str">
        <x:v>已核验主体角色和公告正文</x:v>
      </x:c>
    </x:row>
    <x:row r="229" ht="40" customHeight="1">
      <x:c r="A229" s="6" t="str">
        <x:v>R0218</x:v>
      </x:c>
      <x:c r="B229" s="6" t="str">
        <x:v>公告</x:v>
      </x:c>
      <x:c r="C229" s="18" t="n">
        <x:v>1</x:v>
      </x:c>
      <x:c r="D229" s="6" t="str">
        <x:v>深圳市比亚迪锂电池有限公司</x:v>
      </x:c>
      <x:c r="E229" s="6" t="str">
        <x:v>比亚迪公司场发射扫描电子显微镜采购项目招标公告</x:v>
      </x:c>
      <x:c r="F229" s="6" t="str">
        <x:v>项目不含税预算金额390 万元</x:v>
      </x:c>
      <x:c r="G229" s="6" t="str"/>
      <x:c r="H229" s="13" t="d">
        <x:v>2026-06-25T00:00:00.000Z</x:v>
      </x:c>
      <x:c r="I229" s="6" t="str">
        <x:v>2.3 项目预算及付款条件：项目不含税预算金额390 万元。付款条件： 
货到凭票付 60%,验收合格凭票付 40%；全部电汇。 
2.4 标包划分：不划分标包。 </x:v>
      </x:c>
      <x:c r="J229" s="6" t="str">
        <x:v>O006</x:v>
      </x:c>
      <x:c r="K229" s="6" t="str">
        <x:v>纳入直接招采</x:v>
      </x:c>
      <x:c r="L229" s="6" t="str">
        <x:v>已核验主体角色和公告正文</x:v>
      </x:c>
    </x:row>
    <x:row r="230" ht="40" customHeight="1">
      <x:c r="A230" s="6" t="str">
        <x:v>R0219</x:v>
      </x:c>
      <x:c r="B230" s="6" t="str">
        <x:v>公告</x:v>
      </x:c>
      <x:c r="C230" s="18" t="n">
        <x:v>1</x:v>
      </x:c>
      <x:c r="D230" s="6" t="str">
        <x:v>惠州比亚迪电池有限公司</x:v>
      </x:c>
      <x:c r="E230" s="6" t="str">
        <x:v>比亚迪公司流化床采购项目（二次）招标公告</x:v>
      </x:c>
      <x:c r="F230" s="6" t="str">
        <x:v>项目不含税预算金额200 万元</x:v>
      </x:c>
      <x:c r="G230" s="6" t="str"/>
      <x:c r="H230" s="13" t="d">
        <x:v>2026-07-28T00:00:00.000Z</x:v>
      </x:c>
      <x:c r="I230" s="6" t="str">
        <x:v>2.3 项目预算及付款条件：项目不含税预算金额200 万元。付款方式： 
预付 30%，到货凭票付 30%，验收合格后凭票付 30%，质保一年付10%，电汇。 
2.4 标包划分：不划分标包。 </x:v>
      </x:c>
      <x:c r="J230" s="6" t="str">
        <x:v>O007</x:v>
      </x:c>
      <x:c r="K230" s="6" t="str">
        <x:v>纳入直接招采</x:v>
      </x:c>
      <x:c r="L230" s="6" t="str">
        <x:v>已核验主体角色和公告正文</x:v>
      </x:c>
    </x:row>
    <x:row r="231" ht="40" customHeight="1">
      <x:c r="A231" s="6" t="str">
        <x:v>R0220</x:v>
      </x:c>
      <x:c r="B231" s="6" t="str">
        <x:v>公告</x:v>
      </x:c>
      <x:c r="C231" s="18" t="n">
        <x:v>1</x:v>
      </x:c>
      <x:c r="D231" s="6" t="str">
        <x:v>惠州比亚迪电池有限公司</x:v>
      </x:c>
      <x:c r="E231" s="6" t="str">
        <x:v>比亚迪公司流化床采购项目（二次）中标候选人公示</x:v>
      </x:c>
      <x:c r="F231" s="6" t="str">
        <x:v>不含税投标总价： 1026548.67元，含税投标总价： 1160000.00元</x:v>
      </x:c>
      <x:c r="G231" s="6" t="str"/>
      <x:c r="H231" s="13" t="d">
        <x:v>2026-08-19T00:00:00.000Z</x:v>
      </x:c>
      <x:c r="I231" s="6" t="str">
        <x:v>不含税投标总价： 1026548.67元，含税投标总价： 1160000.00元</x:v>
      </x:c>
      <x:c r="J231" s="6" t="str">
        <x:v>O008</x:v>
      </x:c>
      <x:c r="K231" s="6" t="str">
        <x:v>纳入直接招采</x:v>
      </x:c>
      <x:c r="L231" s="6" t="str">
        <x:v>已核验主体角色和公告正文</x:v>
      </x:c>
    </x:row>
    <x:row r="232" ht="40" customHeight="1">
      <x:c r="A232" s="6" t="str">
        <x:v>R0221</x:v>
      </x:c>
      <x:c r="B232" s="6" t="str">
        <x:v>公告</x:v>
      </x:c>
      <x:c r="C232" s="18" t="n">
        <x:v>1</x:v>
      </x:c>
      <x:c r="D232" s="6" t="str">
        <x:v>深圳市比亚迪锂电池有限公司</x:v>
      </x:c>
      <x:c r="E232" s="6" t="str">
        <x:v>比亚迪公司原位透射电子显微镜系统采购项目（标包一）中标候选人公示</x:v>
      </x:c>
      <x:c r="F232" s="6" t="str">
        <x:v>不含税投标总价：18870000.00元，含税投标总价： 21323100.00元</x:v>
      </x:c>
      <x:c r="G232" s="6" t="str"/>
      <x:c r="H232" s="13" t="d">
        <x:v>2026-07-07T00:00:00.000Z</x:v>
      </x:c>
      <x:c r="I232" s="6" t="str">
        <x:v>不含税投标总价：18870000.00元，含税投标总价： 21323100.00元</x:v>
      </x:c>
      <x:c r="J232" s="6" t="str">
        <x:v>O010</x:v>
      </x:c>
      <x:c r="K232" s="6" t="str">
        <x:v>纳入直接招采</x:v>
      </x:c>
      <x:c r="L232" s="6" t="str">
        <x:v>已核验主体角色和公告正文</x:v>
      </x:c>
    </x:row>
    <x:row r="233" ht="34" customHeight="1">
      <x:c r="A233" s="6" t="str">
        <x:v>R0222</x:v>
      </x:c>
      <x:c r="B233" s="6" t="str">
        <x:v>公告</x:v>
      </x:c>
      <x:c r="C233" s="18" t="n">
        <x:v>1</x:v>
      </x:c>
      <x:c r="D233" s="6" t="str">
        <x:v>惠州比亚迪电池有限公司</x:v>
      </x:c>
      <x:c r="E233" s="6" t="str">
        <x:v>比亚迪公司储罐采购项目(二次）中标候选人公示</x:v>
      </x:c>
      <x:c r="F233" s="6" t="str">
        <x:v>不含税投标总价：101772.57元，含税投标总价：115003.00元</x:v>
      </x:c>
      <x:c r="G233" s="6" t="str"/>
      <x:c r="H233" s="13" t="d">
        <x:v>2026-09-02T00:00:00.000Z</x:v>
      </x:c>
      <x:c r="I233" s="6" t="str">
        <x:v>不含税投标总价：101772.57元，含税投标总价：115003.00元</x:v>
      </x:c>
      <x:c r="J233" s="6" t="str">
        <x:v>O011</x:v>
      </x:c>
      <x:c r="K233" s="6" t="str">
        <x:v>纳入直接招采</x:v>
      </x:c>
      <x:c r="L233" s="6" t="str">
        <x:v>已核验主体角色和公告正文</x:v>
      </x:c>
    </x:row>
    <x:row r="234" ht="34" customHeight="1">
      <x:c r="A234" s="6" t="str">
        <x:v>R0223</x:v>
      </x:c>
      <x:c r="B234" s="6" t="str">
        <x:v>公告</x:v>
      </x:c>
      <x:c r="C234" s="18" t="n">
        <x:v>1</x:v>
      </x:c>
      <x:c r="D234" s="6" t="str">
        <x:v>深圳市比亚迪锂电池有限公司</x:v>
      </x:c>
      <x:c r="E234" s="6" t="str">
        <x:v>数据采集仪采购项目中标候选人公示</x:v>
      </x:c>
      <x:c r="F234" s="6" t="str">
        <x:v>不含税投标总价：260177.00元，含税投标总价：294000.00元</x:v>
      </x:c>
      <x:c r="G234" s="6" t="str"/>
      <x:c r="H234" s="13" t="d">
        <x:v>2026-06-03T00:00:00.000Z</x:v>
      </x:c>
      <x:c r="I234" s="6" t="str">
        <x:v>不含税投标总价：260177.00元，含税投标总价：294000.00元</x:v>
      </x:c>
      <x:c r="J234" s="6" t="str">
        <x:v>O013</x:v>
      </x:c>
      <x:c r="K234" s="6" t="str">
        <x:v>纳入直接招采</x:v>
      </x:c>
      <x:c r="L234" s="6" t="str">
        <x:v>已核验主体角色和公告正文</x:v>
      </x:c>
    </x:row>
    <x:row r="235" ht="56" customHeight="1">
      <x:c r="A235" s="6" t="str">
        <x:v>R0224</x:v>
      </x:c>
      <x:c r="B235" s="6" t="str">
        <x:v>公告</x:v>
      </x:c>
      <x:c r="C235" s="18" t="n">
        <x:v>1</x:v>
      </x:c>
      <x:c r="D235" s="6" t="str">
        <x:v>深圳市比亚迪锂电池有限公司</x:v>
      </x:c>
      <x:c r="E235" s="6" t="str">
        <x:v>软包三电极电池检测柜采购项目招标公告</x:v>
      </x:c>
      <x:c r="F235" s="6" t="str">
        <x:v>项目不含税预算金额46.5万元</x:v>
      </x:c>
      <x:c r="G235" s="6" t="str"/>
      <x:c r="H235" s="13" t="d">
        <x:v>2026-05-13T00:00:00.000Z</x:v>
      </x:c>
      <x:c r="I235" s="6" t="str">
        <x:v>2. 3项目预算及付款条件：项目不含税预算金额46.5万元，设备单价不含税限价9.3万元/台。付款条件：货到凭票付60%，验收合格凭票付30%，质保1年满付10%，全部电汇。
2.4标包划分：不划分标包。</x:v>
      </x:c>
      <x:c r="J235" s="6" t="str">
        <x:v>O014</x:v>
      </x:c>
      <x:c r="K235" s="6" t="str">
        <x:v>纳入直接招采</x:v>
      </x:c>
      <x:c r="L235" s="6" t="str">
        <x:v>已核验主体角色和公告正文</x:v>
      </x:c>
    </x:row>
    <x:row r="236" ht="72" customHeight="1">
      <x:c r="A236" s="6" t="str">
        <x:v>R0225</x:v>
      </x:c>
      <x:c r="B236" s="6" t="str">
        <x:v>字段</x:v>
      </x:c>
      <x:c r="C236" s="18" t="n">
        <x:v>1</x:v>
      </x:c>
      <x:c r="D236" s="6" t="str">
        <x:v>比亚迪股份有限公司</x:v>
      </x:c>
      <x:c r="E236" s="6" t="str">
        <x:v>中文名称</x:v>
      </x:c>
      <x:c r="F236" s="6" t="str">
        <x:v>比亚迪股份有限公司</x:v>
      </x:c>
      <x:c r="G236" s="6" t="str"/>
      <x:c r="H236" s="13" t="d">
        <x:v>2026-08-29T00:00:00.000Z</x:v>
      </x:c>
      <x:c r="I236" s="6" t="str">
        <x:v>[PDF物理第6页；报告印刷第6页] 股票上市证券交易所           深圳证券交易所、香港联合交易所有限公司
公司的中文名称             比亚迪股份有限公司
公司的中文简称             比亚迪
公司的外文名称             BYD COMPANY LIMITED</x:v>
      </x:c>
      <x:c r="J236" s="6" t="str">
        <x:v>F002</x:v>
      </x:c>
      <x:c r="K236" s="6" t="str">
        <x:v>纳入核验字段</x:v>
      </x:c>
      <x:c r="L236" s="6" t="str">
        <x:v>官方披露已核验</x:v>
      </x:c>
    </x:row>
    <x:row r="237" ht="56" customHeight="1">
      <x:c r="A237" s="6" t="str">
        <x:v>R0226</x:v>
      </x:c>
      <x:c r="B237" s="6" t="str">
        <x:v>字段</x:v>
      </x:c>
      <x:c r="C237" s="18" t="n">
        <x:v>1</x:v>
      </x:c>
      <x:c r="D237" s="6" t="str">
        <x:v>比亚迪股份有限公司</x:v>
      </x:c>
      <x:c r="E237" s="6" t="str">
        <x:v>英文名称</x:v>
      </x:c>
      <x:c r="F237" s="6" t="str">
        <x:v>BYD COMPANY LIMITED</x:v>
      </x:c>
      <x:c r="G237" s="6" t="str"/>
      <x:c r="H237" s="13" t="d">
        <x:v>2026-08-29T00:00:00.000Z</x:v>
      </x:c>
      <x:c r="I237" s="6" t="str">
        <x:v>[PDF物理第6页；报告印刷第6页] 公司的中文简称             比亚迪
公司的外文名称             BYD COMPANY LIMITED
公司的外文名称缩写           BYD
公司的法定代表人            王传福</x:v>
      </x:c>
      <x:c r="J237" s="6" t="str">
        <x:v>F002</x:v>
      </x:c>
      <x:c r="K237" s="6" t="str">
        <x:v>纳入核验字段</x:v>
      </x:c>
      <x:c r="L237" s="6" t="str">
        <x:v>官方披露已核验</x:v>
      </x:c>
    </x:row>
    <x:row r="238" ht="56" customHeight="1">
      <x:c r="A238" s="6" t="str">
        <x:v>R0227</x:v>
      </x:c>
      <x:c r="B238" s="6" t="str">
        <x:v>字段</x:v>
      </x:c>
      <x:c r="C238" s="18" t="n">
        <x:v>1</x:v>
      </x:c>
      <x:c r="D238" s="6" t="str">
        <x:v>比亚迪股份有限公司</x:v>
      </x:c>
      <x:c r="E238" s="6" t="str">
        <x:v>中文简称</x:v>
      </x:c>
      <x:c r="F238" s="6" t="str">
        <x:v>比亚迪</x:v>
      </x:c>
      <x:c r="G238" s="6" t="str"/>
      <x:c r="H238" s="13" t="d">
        <x:v>2026-08-29T00:00:00.000Z</x:v>
      </x:c>
      <x:c r="I238" s="6" t="str">
        <x:v>[PDF物理第6页；报告印刷第6页] 公司的中文名称             比亚迪股份有限公司
公司的中文简称             比亚迪
公司的外文名称             BYD COMPANY LIMITED
公司的外文名称缩写           BYD</x:v>
      </x:c>
      <x:c r="J238" s="6" t="str">
        <x:v>F002</x:v>
      </x:c>
      <x:c r="K238" s="6" t="str">
        <x:v>纳入核验字段</x:v>
      </x:c>
      <x:c r="L238" s="6" t="str">
        <x:v>官方披露已核验</x:v>
      </x:c>
    </x:row>
    <x:row r="239" ht="40" customHeight="1">
      <x:c r="A239" s="6" t="str">
        <x:v>R0228</x:v>
      </x:c>
      <x:c r="B239" s="6" t="str">
        <x:v>字段</x:v>
      </x:c>
      <x:c r="C239" s="18" t="n">
        <x:v>1</x:v>
      </x:c>
      <x:c r="D239" s="6" t="str">
        <x:v>比亚迪股份有限公司</x:v>
      </x:c>
      <x:c r="E239" s="6" t="str">
        <x:v>法定代表人</x:v>
      </x:c>
      <x:c r="F239" s="6" t="str">
        <x:v>王传福</x:v>
      </x:c>
      <x:c r="G239" s="6" t="str"/>
      <x:c r="H239" s="13" t="d">
        <x:v>2026-08-29T00:00:00.000Z</x:v>
      </x:c>
      <x:c r="I239" s="6" t="str">
        <x:v>[PDF物理第6页；报告印刷第6页] 公司的外文名称缩写           BYD
公司的法定代表人            王传福
二、联系人和联系方式</x:v>
      </x:c>
      <x:c r="J239" s="6" t="str">
        <x:v>F002</x:v>
      </x:c>
      <x:c r="K239" s="6" t="str">
        <x:v>纳入核验字段</x:v>
      </x:c>
      <x:c r="L239" s="6" t="str">
        <x:v>官方披露已核验</x:v>
      </x:c>
    </x:row>
    <x:row r="240" ht="72" customHeight="1">
      <x:c r="A240" s="6" t="str">
        <x:v>R0229</x:v>
      </x:c>
      <x:c r="B240" s="6" t="str">
        <x:v>字段</x:v>
      </x:c>
      <x:c r="C240" s="18" t="n">
        <x:v>1</x:v>
      </x:c>
      <x:c r="D240" s="6" t="str">
        <x:v>比亚迪股份有限公司</x:v>
      </x:c>
      <x:c r="E240" s="6" t="str">
        <x:v>股票上市交易所</x:v>
      </x:c>
      <x:c r="F240" s="6" t="str">
        <x:v>深圳证券交易所；香港联合交易所有限公司</x:v>
      </x:c>
      <x:c r="G240" s="6" t="str"/>
      <x:c r="H240" s="13" t="d">
        <x:v>2026-08-29T00:00:00.000Z</x:v>
      </x:c>
      <x:c r="I240" s="6" t="str">
        <x:v>[PDF物理第6页；报告印刷第6页] 股票简称                比亚迪（A 股）、比亚迪股份（H    股）   股票代码         002594、01211、81211
股票上市证券交易所           深圳证券交易所、香港联合交易所有限公司
公司的中文名称             比亚迪股份有限公司
公司的中文简称             比亚迪</x:v>
      </x:c>
      <x:c r="J240" s="6" t="str">
        <x:v>F002</x:v>
      </x:c>
      <x:c r="K240" s="6" t="str">
        <x:v>纳入核验字段</x:v>
      </x:c>
      <x:c r="L240" s="6" t="str">
        <x:v>官方披露已核验</x:v>
      </x:c>
    </x:row>
    <x:row r="241" ht="72" customHeight="1">
      <x:c r="A241" s="6" t="str">
        <x:v>R0230</x:v>
      </x:c>
      <x:c r="B241" s="6" t="str">
        <x:v>字段</x:v>
      </x:c>
      <x:c r="C241" s="18" t="n">
        <x:v>1</x:v>
      </x:c>
      <x:c r="D241" s="6" t="str">
        <x:v>比亚迪股份有限公司</x:v>
      </x:c>
      <x:c r="E241" s="6" t="str">
        <x:v>A股代码</x:v>
      </x:c>
      <x:c r="F241" s="14" t="str">
        <x:v>002594</x:v>
      </x:c>
      <x:c r="G241" s="6" t="str"/>
      <x:c r="H241" s="13" t="d">
        <x:v>2026-08-29T00:00:00.000Z</x:v>
      </x:c>
      <x:c r="I241" s="6" t="str">
        <x:v>[PDF物理第6页；报告印刷第6页] 股票简称                比亚迪（A 股）、比亚迪股份（H    股）   股票代码         002594、01211、81211
股票上市证券交易所           深圳证券交易所、香港联合交易所有限公司
公司的中文名称             比亚迪股份有限公司</x:v>
      </x:c>
      <x:c r="J241" s="6" t="str">
        <x:v>F002</x:v>
      </x:c>
      <x:c r="K241" s="6" t="str">
        <x:v>纳入核验字段</x:v>
      </x:c>
      <x:c r="L241" s="6" t="str">
        <x:v>官方披露已核验</x:v>
      </x:c>
    </x:row>
    <x:row r="242" ht="72" customHeight="1">
      <x:c r="A242" s="6" t="str">
        <x:v>R0231</x:v>
      </x:c>
      <x:c r="B242" s="6" t="str">
        <x:v>字段</x:v>
      </x:c>
      <x:c r="C242" s="18" t="n">
        <x:v>1</x:v>
      </x:c>
      <x:c r="D242" s="6" t="str">
        <x:v>比亚迪股份有限公司</x:v>
      </x:c>
      <x:c r="E242" s="6" t="str">
        <x:v>H股港币柜台代码</x:v>
      </x:c>
      <x:c r="F242" s="14" t="str">
        <x:v>01211</x:v>
      </x:c>
      <x:c r="G242" s="6" t="str"/>
      <x:c r="H242" s="13" t="d">
        <x:v>2026-08-29T00:00:00.000Z</x:v>
      </x:c>
      <x:c r="I242" s="6" t="str">
        <x:v>[PDF物理第6页；报告印刷第6页] 股票简称                比亚迪（A 股）、比亚迪股份（H    股）   股票代码         002594、01211、81211
股票上市证券交易所           深圳证券交易所、香港联合交易所有限公司
公司的中文名称             比亚迪股份有限公司</x:v>
      </x:c>
      <x:c r="J242" s="6" t="str">
        <x:v>F002</x:v>
      </x:c>
      <x:c r="K242" s="6" t="str">
        <x:v>纳入核验字段</x:v>
      </x:c>
      <x:c r="L242" s="6" t="str">
        <x:v>官方披露已核验</x:v>
      </x:c>
    </x:row>
    <x:row r="243" ht="72" customHeight="1">
      <x:c r="A243" s="6" t="str">
        <x:v>R0232</x:v>
      </x:c>
      <x:c r="B243" s="6" t="str">
        <x:v>字段</x:v>
      </x:c>
      <x:c r="C243" s="18" t="n">
        <x:v>1</x:v>
      </x:c>
      <x:c r="D243" s="6" t="str">
        <x:v>比亚迪股份有限公司</x:v>
      </x:c>
      <x:c r="E243" s="6" t="str">
        <x:v>H股人民币柜台代码</x:v>
      </x:c>
      <x:c r="F243" s="14" t="str">
        <x:v>81211</x:v>
      </x:c>
      <x:c r="G243" s="6" t="str"/>
      <x:c r="H243" s="13" t="d">
        <x:v>2026-08-29T00:00:00.000Z</x:v>
      </x:c>
      <x:c r="I243" s="6" t="str">
        <x:v>[PDF物理第6页；报告印刷第6页] 股票简称                比亚迪（A 股）、比亚迪股份（H    股）   股票代码         002594、01211、81211
股票上市证券交易所           深圳证券交易所、香港联合交易所有限公司
公司的中文名称             比亚迪股份有限公司</x:v>
      </x:c>
      <x:c r="J243" s="6" t="str">
        <x:v>F002</x:v>
      </x:c>
      <x:c r="K243" s="6" t="str">
        <x:v>纳入核验字段</x:v>
      </x:c>
      <x:c r="L243" s="6" t="str">
        <x:v>官方披露已核验</x:v>
      </x:c>
    </x:row>
    <x:row r="244" ht="104" customHeight="1">
      <x:c r="A244" s="6" t="str">
        <x:v>R0233</x:v>
      </x:c>
      <x:c r="B244" s="6" t="str">
        <x:v>字段</x:v>
      </x:c>
      <x:c r="C244" s="18" t="n">
        <x:v>1</x:v>
      </x:c>
      <x:c r="D244" s="6" t="str">
        <x:v>比亚迪股份有限公司</x:v>
      </x:c>
      <x:c r="E244" s="6" t="str">
        <x:v>董事会秘书</x:v>
      </x:c>
      <x:c r="F244" s="6" t="str">
        <x:v>李黔</x:v>
      </x:c>
      <x:c r="G244" s="6" t="str"/>
      <x:c r="H244" s="13" t="d">
        <x:v>2026-08-29T00:00:00.000Z</x:v>
      </x:c>
      <x:c r="I244" s="6" t="str">
        <x:v>[PDF物理第6页；报告印刷第6页] 董事会秘书                    证券事务代表
姓名                        李黔                        程燕/吴越
联系地址                      深圳市坪山区比亚迪路     3009号      深圳市坪山区比亚迪路    3009号
电话                        （+86）755-8988 8888-62126  （+86）755-8988 8888-62126</x:v>
      </x:c>
      <x:c r="J244" s="6" t="str">
        <x:v>F002</x:v>
      </x:c>
      <x:c r="K244" s="6" t="str">
        <x:v>纳入核验字段</x:v>
      </x:c>
      <x:c r="L244" s="6" t="str">
        <x:v>官方披露已核验</x:v>
      </x:c>
    </x:row>
    <x:row r="245" ht="104" customHeight="1">
      <x:c r="A245" s="6" t="str">
        <x:v>R0234</x:v>
      </x:c>
      <x:c r="B245" s="6" t="str">
        <x:v>字段</x:v>
      </x:c>
      <x:c r="C245" s="18" t="n">
        <x:v>1</x:v>
      </x:c>
      <x:c r="D245" s="6" t="str">
        <x:v>比亚迪股份有限公司</x:v>
      </x:c>
      <x:c r="E245" s="6" t="str">
        <x:v>证券事务代表</x:v>
      </x:c>
      <x:c r="F245" s="6" t="str">
        <x:v>程燕/吴越</x:v>
      </x:c>
      <x:c r="G245" s="6" t="str"/>
      <x:c r="H245" s="13" t="d">
        <x:v>2026-08-29T00:00:00.000Z</x:v>
      </x:c>
      <x:c r="I245" s="6" t="str">
        <x:v>[PDF物理第6页；报告印刷第6页] 董事会秘书                    证券事务代表
姓名                        李黔                        程燕/吴越
联系地址                      深圳市坪山区比亚迪路     3009号      深圳市坪山区比亚迪路    3009号
电话                        （+86）755-8988 8888-62126  （+86）755-8988 8888-62126</x:v>
      </x:c>
      <x:c r="J245" s="6" t="str">
        <x:v>F002</x:v>
      </x:c>
      <x:c r="K245" s="6" t="str">
        <x:v>纳入核验字段</x:v>
      </x:c>
      <x:c r="L245" s="6" t="str">
        <x:v>官方披露已核验</x:v>
      </x:c>
    </x:row>
    <x:row r="246" ht="104" customHeight="1">
      <x:c r="A246" s="6" t="str">
        <x:v>R0235</x:v>
      </x:c>
      <x:c r="B246" s="6" t="str">
        <x:v>字段</x:v>
      </x:c>
      <x:c r="C246" s="18" t="n">
        <x:v>1</x:v>
      </x:c>
      <x:c r="D246" s="6" t="str">
        <x:v>比亚迪股份有限公司</x:v>
      </x:c>
      <x:c r="E246" s="6" t="str">
        <x:v>投资者关系/董秘联系电话</x:v>
      </x:c>
      <x:c r="F246" s="14" t="str">
        <x:v>+86-755-89888888-62126</x:v>
      </x:c>
      <x:c r="G246" s="6" t="str"/>
      <x:c r="H246" s="13" t="d">
        <x:v>2026-08-29T00:00:00.000Z</x:v>
      </x:c>
      <x:c r="I246" s="6" t="str">
        <x:v>[PDF物理第6页；报告印刷第6页] 联系地址                      深圳市坪山区比亚迪路     3009号      深圳市坪山区比亚迪路    3009号
电话                        （+86）755-8988 8888-62126  （+86）755-8988 8888-62126
传真                        （+86）755-8420 2222        （+86）755-8420 2222
电子信箱                      db@byd.com                db@byd.com</x:v>
      </x:c>
      <x:c r="J246" s="6" t="str">
        <x:v>F002</x:v>
      </x:c>
      <x:c r="K246" s="6" t="str">
        <x:v>纳入核验字段</x:v>
      </x:c>
      <x:c r="L246" s="6" t="str">
        <x:v>官方披露已核验</x:v>
      </x:c>
    </x:row>
    <x:row r="247" ht="88" customHeight="1">
      <x:c r="A247" s="6" t="str">
        <x:v>R0236</x:v>
      </x:c>
      <x:c r="B247" s="6" t="str">
        <x:v>字段</x:v>
      </x:c>
      <x:c r="C247" s="18" t="n">
        <x:v>1</x:v>
      </x:c>
      <x:c r="D247" s="6" t="str">
        <x:v>比亚迪股份有限公司</x:v>
      </x:c>
      <x:c r="E247" s="6" t="str">
        <x:v>投资者关系传真</x:v>
      </x:c>
      <x:c r="F247" s="14" t="str">
        <x:v>+86-755-84202222</x:v>
      </x:c>
      <x:c r="G247" s="6" t="str"/>
      <x:c r="H247" s="13" t="d">
        <x:v>2026-08-29T00:00:00.000Z</x:v>
      </x:c>
      <x:c r="I247" s="6" t="str">
        <x:v>[PDF物理第6页；报告印刷第6页] 电话                        （+86）755-8988 8888-62126  （+86）755-8988 8888-62126
传真                        （+86）755-8420 2222        （+86）755-8420 2222
电子信箱                      db@byd.com                db@byd.com</x:v>
      </x:c>
      <x:c r="J247" s="6" t="str">
        <x:v>F002</x:v>
      </x:c>
      <x:c r="K247" s="6" t="str">
        <x:v>纳入核验字段</x:v>
      </x:c>
      <x:c r="L247" s="6" t="str">
        <x:v>官方披露已核验</x:v>
      </x:c>
    </x:row>
    <x:row r="248" ht="72" customHeight="1">
      <x:c r="A248" s="6" t="str">
        <x:v>R0237</x:v>
      </x:c>
      <x:c r="B248" s="6" t="str">
        <x:v>字段</x:v>
      </x:c>
      <x:c r="C248" s="18" t="n">
        <x:v>1</x:v>
      </x:c>
      <x:c r="D248" s="6" t="str">
        <x:v>比亚迪股份有限公司</x:v>
      </x:c>
      <x:c r="E248" s="6" t="str">
        <x:v>投资者关系电子信箱</x:v>
      </x:c>
      <x:c r="F248" s="6" t="str">
        <x:v>db@byd.com</x:v>
      </x:c>
      <x:c r="G248" s="6" t="str"/>
      <x:c r="H248" s="13" t="d">
        <x:v>2026-08-29T00:00:00.000Z</x:v>
      </x:c>
      <x:c r="I248" s="6" t="str">
        <x:v>[PDF物理第6页；报告印刷第6页] 传真                        （+86）755-8420 2222        （+86）755-8420 2222
电子信箱                      db@byd.com                db@byd.com
三、其他情况</x:v>
      </x:c>
      <x:c r="J248" s="6" t="str">
        <x:v>F002</x:v>
      </x:c>
      <x:c r="K248" s="6" t="str">
        <x:v>纳入核验字段</x:v>
      </x:c>
      <x:c r="L248" s="6" t="str">
        <x:v>官方披露已核验</x:v>
      </x:c>
    </x:row>
    <x:row r="249" ht="104" customHeight="1">
      <x:c r="A249" s="6" t="str">
        <x:v>R0238</x:v>
      </x:c>
      <x:c r="B249" s="6" t="str">
        <x:v>字段</x:v>
      </x:c>
      <x:c r="C249" s="18" t="n">
        <x:v>1</x:v>
      </x:c>
      <x:c r="D249" s="6" t="str">
        <x:v>比亚迪股份有限公司</x:v>
      </x:c>
      <x:c r="E249" s="6" t="str">
        <x:v>董秘联系地址</x:v>
      </x:c>
      <x:c r="F249" s="6" t="str">
        <x:v>深圳市坪山区比亚迪路3009号</x:v>
      </x:c>
      <x:c r="G249" s="6" t="str"/>
      <x:c r="H249" s="13" t="d">
        <x:v>2026-08-29T00:00:00.000Z</x:v>
      </x:c>
      <x:c r="I249" s="6" t="str">
        <x:v>[PDF物理第6页；报告印刷第6页] 姓名                        李黔                        程燕/吴越
联系地址                      深圳市坪山区比亚迪路     3009号      深圳市坪山区比亚迪路    3009号
电话                        （+86）755-8988 8888-62126  （+86）755-8988 8888-62126
传真                        （+86）755-8420 2222        （+86）755-8420 2222</x:v>
      </x:c>
      <x:c r="J249" s="6" t="str">
        <x:v>F002</x:v>
      </x:c>
      <x:c r="K249" s="6" t="str">
        <x:v>纳入核验字段</x:v>
      </x:c>
      <x:c r="L249" s="6" t="str">
        <x:v>官方披露已核验</x:v>
      </x:c>
    </x:row>
    <x:row r="250" ht="56" customHeight="1">
      <x:c r="A250" s="6" t="str">
        <x:v>R0239</x:v>
      </x:c>
      <x:c r="B250" s="6" t="str">
        <x:v>字段</x:v>
      </x:c>
      <x:c r="C250" s="18" t="n">
        <x:v>1</x:v>
      </x:c>
      <x:c r="D250" s="6" t="str">
        <x:v>比亚迪股份有限公司</x:v>
      </x:c>
      <x:c r="E250" s="6" t="str">
        <x:v>注册地址</x:v>
      </x:c>
      <x:c r="F250" s="6" t="str">
        <x:v>深圳市大鹏新区葵涌街道延安路一号</x:v>
      </x:c>
      <x:c r="G250" s="6" t="str"/>
      <x:c r="H250" s="13" t="d">
        <x:v>2026-03-28T00:00:00.000Z</x:v>
      </x:c>
      <x:c r="I250" s="6" t="str">
        <x:v>[PDF物理第9页；报告印刷第9页] 公司的法定代表人            王传福
注册地址                深圳市大鹏新区葵涌街道延安路一号
注册地址的邮政编码           518119
公司注册地址历史变更情况        公司注册地址未曾变更</x:v>
      </x:c>
      <x:c r="J250" s="6" t="str">
        <x:v>F001</x:v>
      </x:c>
      <x:c r="K250" s="6" t="str">
        <x:v>纳入核验字段</x:v>
      </x:c>
      <x:c r="L250" s="6" t="str">
        <x:v>官方披露已核验</x:v>
      </x:c>
    </x:row>
    <x:row r="251" ht="72" customHeight="1">
      <x:c r="A251" s="6" t="str">
        <x:v>R0240</x:v>
      </x:c>
      <x:c r="B251" s="6" t="str">
        <x:v>字段</x:v>
      </x:c>
      <x:c r="C251" s="18" t="n">
        <x:v>1</x:v>
      </x:c>
      <x:c r="D251" s="6" t="str">
        <x:v>比亚迪股份有限公司</x:v>
      </x:c>
      <x:c r="E251" s="6" t="str">
        <x:v>注册地址邮编</x:v>
      </x:c>
      <x:c r="F251" s="14" t="str">
        <x:v>518119</x:v>
      </x:c>
      <x:c r="G251" s="6" t="str"/>
      <x:c r="H251" s="13" t="d">
        <x:v>2026-03-28T00:00:00.000Z</x:v>
      </x:c>
      <x:c r="I251" s="6" t="str">
        <x:v>[PDF物理第9页；报告印刷第9页] 注册地址                深圳市大鹏新区葵涌街道延安路一号
注册地址的邮政编码           518119
公司注册地址历史变更情况        公司注册地址未曾变更
办公地址                深圳市坪山区比亚迪路      3009号</x:v>
      </x:c>
      <x:c r="J251" s="6" t="str">
        <x:v>F001</x:v>
      </x:c>
      <x:c r="K251" s="6" t="str">
        <x:v>纳入核验字段</x:v>
      </x:c>
      <x:c r="L251" s="6" t="str">
        <x:v>官方披露已核验</x:v>
      </x:c>
    </x:row>
    <x:row r="252" ht="72" customHeight="1">
      <x:c r="A252" s="6" t="str">
        <x:v>R0241</x:v>
      </x:c>
      <x:c r="B252" s="6" t="str">
        <x:v>字段</x:v>
      </x:c>
      <x:c r="C252" s="18" t="n">
        <x:v>1</x:v>
      </x:c>
      <x:c r="D252" s="6" t="str">
        <x:v>比亚迪股份有限公司</x:v>
      </x:c>
      <x:c r="E252" s="6" t="str">
        <x:v>办公地址</x:v>
      </x:c>
      <x:c r="F252" s="6" t="str">
        <x:v>深圳市坪山区比亚迪路3009号</x:v>
      </x:c>
      <x:c r="G252" s="6" t="str"/>
      <x:c r="H252" s="13" t="d">
        <x:v>2026-03-28T00:00:00.000Z</x:v>
      </x:c>
      <x:c r="I252" s="6" t="str">
        <x:v>[PDF物理第9页；报告印刷第9页] 公司注册地址历史变更情况        公司注册地址未曾变更
办公地址                深圳市坪山区比亚迪路      3009号
办公地址的邮政编码           518118
公司网址                www.bydglobal.com</x:v>
      </x:c>
      <x:c r="J252" s="6" t="str">
        <x:v>F001</x:v>
      </x:c>
      <x:c r="K252" s="6" t="str">
        <x:v>纳入核验字段</x:v>
      </x:c>
      <x:c r="L252" s="6" t="str">
        <x:v>官方披露已核验</x:v>
      </x:c>
    </x:row>
    <x:row r="253" ht="72" customHeight="1">
      <x:c r="A253" s="6" t="str">
        <x:v>R0242</x:v>
      </x:c>
      <x:c r="B253" s="6" t="str">
        <x:v>字段</x:v>
      </x:c>
      <x:c r="C253" s="18" t="n">
        <x:v>1</x:v>
      </x:c>
      <x:c r="D253" s="6" t="str">
        <x:v>比亚迪股份有限公司</x:v>
      </x:c>
      <x:c r="E253" s="6" t="str">
        <x:v>办公地址邮编</x:v>
      </x:c>
      <x:c r="F253" s="14" t="str">
        <x:v>518118</x:v>
      </x:c>
      <x:c r="G253" s="6" t="str"/>
      <x:c r="H253" s="13" t="d">
        <x:v>2026-03-28T00:00:00.000Z</x:v>
      </x:c>
      <x:c r="I253" s="6" t="str">
        <x:v>[PDF物理第9页；报告印刷第9页] 办公地址                深圳市坪山区比亚迪路      3009号
办公地址的邮政编码           518118
公司网址                www.bydglobal.com
电子信箱                db@byd.com</x:v>
      </x:c>
      <x:c r="J253" s="6" t="str">
        <x:v>F001</x:v>
      </x:c>
      <x:c r="K253" s="6" t="str">
        <x:v>纳入核验字段</x:v>
      </x:c>
      <x:c r="L253" s="6" t="str">
        <x:v>官方披露已核验</x:v>
      </x:c>
    </x:row>
    <x:row r="254" ht="56" customHeight="1">
      <x:c r="A254" s="6" t="str">
        <x:v>R0243</x:v>
      </x:c>
      <x:c r="B254" s="6" t="str">
        <x:v>字段</x:v>
      </x:c>
      <x:c r="C254" s="18" t="n">
        <x:v>1</x:v>
      </x:c>
      <x:c r="D254" s="6" t="str">
        <x:v>比亚迪股份有限公司</x:v>
      </x:c>
      <x:c r="E254" s="6" t="str">
        <x:v>官网</x:v>
      </x:c>
      <x:c r="F254" s="6" t="str">
        <x:v>https://www.bydglobal.com</x:v>
      </x:c>
      <x:c r="G254" s="6" t="str"/>
      <x:c r="H254" s="13" t="d">
        <x:v>2026-03-28T00:00:00.000Z</x:v>
      </x:c>
      <x:c r="I254" s="6" t="str">
        <x:v>[PDF物理第9页；报告印刷第9页] 办公地址的邮政编码           518118
公司网址                www.bydglobal.com
电子信箱                db@byd.com</x:v>
      </x:c>
      <x:c r="J254" s="6" t="str">
        <x:v>F001</x:v>
      </x:c>
      <x:c r="K254" s="6" t="str">
        <x:v>纳入核验字段</x:v>
      </x:c>
      <x:c r="L254" s="6" t="str">
        <x:v>官方披露已核验</x:v>
      </x:c>
    </x:row>
    <x:row r="255" ht="72" customHeight="1">
      <x:c r="A255" s="6" t="str">
        <x:v>R0244</x:v>
      </x:c>
      <x:c r="B255" s="6" t="str">
        <x:v>字段</x:v>
      </x:c>
      <x:c r="C255" s="18" t="n">
        <x:v>1</x:v>
      </x:c>
      <x:c r="D255" s="6" t="str">
        <x:v>比亚迪股份有限公司</x:v>
      </x:c>
      <x:c r="E255" s="6" t="str">
        <x:v>统一社会信用代码</x:v>
      </x:c>
      <x:c r="F255" s="6" t="str">
        <x:v>91440300192317458F</x:v>
      </x:c>
      <x:c r="G255" s="6" t="str"/>
      <x:c r="H255" s="13" t="d">
        <x:v>2026-08-29T00:00:00.000Z</x:v>
      </x:c>
      <x:c r="I255" s="6" t="str">
        <x:v>[PDF物理第80页；报告印刷第80页] 目前持有深圳市市场监督管理局颁发的《企业法人营业执照》          (统一社会信用代码：91440300192317458F)。截至
2026年6月30日，本公司所发行人民币普通股     A股为 5,433,798千股已在深圳证券交易所上市，H  股 3,683,400千</x:v>
      </x:c>
      <x:c r="J255" s="6" t="str">
        <x:v>F002</x:v>
      </x:c>
      <x:c r="K255" s="6" t="str">
        <x:v>纳入核验字段</x:v>
      </x:c>
      <x:c r="L255" s="6" t="str">
        <x:v>官方披露已核验</x:v>
      </x:c>
    </x:row>
    <x:row r="256" ht="72" customHeight="1">
      <x:c r="A256" s="6" t="str">
        <x:v>R0245</x:v>
      </x:c>
      <x:c r="B256" s="6" t="str">
        <x:v>字段</x:v>
      </x:c>
      <x:c r="C256" s="18" t="n">
        <x:v>1</x:v>
      </x:c>
      <x:c r="D256" s="6" t="str">
        <x:v>比亚迪股份有限公司</x:v>
      </x:c>
      <x:c r="E256" s="6" t="str">
        <x:v>股份公司整体变更设立日期</x:v>
      </x:c>
      <x:c r="F256" s="6" t="str">
        <x:v>2002-06-11</x:v>
      </x:c>
      <x:c r="G256" s="6" t="str"/>
      <x:c r="H256" s="13" t="d">
        <x:v>2026-08-29T00:00:00.000Z</x:v>
      </x:c>
      <x:c r="I256" s="6" t="str">
        <x:v>[PDF物理第80页；报告印刷第80页] 比亚迪实业有限公司以   2002年4月30日经审计的净资产为基础，于     2002年6月11日整体变更设立本公司。本公司
目前持有深圳市市场监督管理局颁发的《企业法人营业执照》          (统一社会信用代码：91440300192317458F)。截至</x:v>
      </x:c>
      <x:c r="J256" s="6" t="str">
        <x:v>F002</x:v>
      </x:c>
      <x:c r="K256" s="6" t="str">
        <x:v>纳入核验字段</x:v>
      </x:c>
      <x:c r="L256" s="6" t="str">
        <x:v>官方披露已核验</x:v>
      </x:c>
    </x:row>
    <x:row r="257" ht="56" customHeight="1">
      <x:c r="A257" s="6" t="str">
        <x:v>R0246</x:v>
      </x:c>
      <x:c r="B257" s="6" t="str">
        <x:v>字段</x:v>
      </x:c>
      <x:c r="C257" s="18" t="n">
        <x:v>1</x:v>
      </x:c>
      <x:c r="D257" s="6" t="str">
        <x:v>比亚迪股份有限公司</x:v>
      </x:c>
      <x:c r="E257" s="6" t="str">
        <x:v>前身企业</x:v>
      </x:c>
      <x:c r="F257" s="6" t="str">
        <x:v>深圳市比亚迪实业有限公司</x:v>
      </x:c>
      <x:c r="G257" s="6" t="str"/>
      <x:c r="H257" s="13" t="d">
        <x:v>2026-08-29T00:00:00.000Z</x:v>
      </x:c>
      <x:c r="I257" s="6" t="str">
        <x:v>[PDF物理第80页；报告印刷第80页] 比亚迪股份有限公司(“本公司”)是一家在中华人民共和国广东省注册成立的股份有限公司。本公司前身为深圳
市比亚迪实业有限公司，    2002年经原国家经贸委以《关于同意设立      比亚迪股份有限公司    的批复》(国经贸企改</x:v>
      </x:c>
      <x:c r="J257" s="6" t="str">
        <x:v>F002</x:v>
      </x:c>
      <x:c r="K257" s="6" t="str">
        <x:v>纳入核验字段</x:v>
      </x:c>
      <x:c r="L257" s="6" t="str">
        <x:v>官方披露已核验</x:v>
      </x:c>
    </x:row>
    <x:row r="258" ht="40" customHeight="1">
      <x:c r="A258" s="6" t="str">
        <x:v>R0247</x:v>
      </x:c>
      <x:c r="B258" s="6" t="str">
        <x:v>字段</x:v>
      </x:c>
      <x:c r="C258" s="18" t="n">
        <x:v>1</x:v>
      </x:c>
      <x:c r="D258" s="6" t="str">
        <x:v>比亚迪股份有限公司</x:v>
      </x:c>
      <x:c r="E258" s="6" t="str">
        <x:v>主要业务</x:v>
      </x:c>
      <x:c r="F258" s="6" t="str">
        <x:v>新能源汽车；电子；二次充电电池及光伏；城市轨道交通</x:v>
      </x:c>
      <x:c r="G258" s="6" t="str"/>
      <x:c r="H258" s="13" t="d">
        <x:v>2026-08-29T00:00:00.000Z</x:v>
      </x:c>
      <x:c r="I258" s="6" t="str">
        <x:v>[PDF物理第80页；报告印刷第80页] 本集团主要从事新能源汽车业务、电子业务，二次充电电池及光伏业务，同时利用自身的技术优势积极拓展城市
轨道交通业务领域。</x:v>
      </x:c>
      <x:c r="J258" s="6" t="str">
        <x:v>F002</x:v>
      </x:c>
      <x:c r="K258" s="6" t="str">
        <x:v>纳入核验字段</x:v>
      </x:c>
      <x:c r="L258" s="6" t="str">
        <x:v>官方披露已核验</x:v>
      </x:c>
    </x:row>
    <x:row r="259" ht="56" customHeight="1">
      <x:c r="A259" s="6" t="str">
        <x:v>R0248</x:v>
      </x:c>
      <x:c r="B259" s="6" t="str">
        <x:v>字段</x:v>
      </x:c>
      <x:c r="C259" s="18" t="n">
        <x:v>1</x:v>
      </x:c>
      <x:c r="D259" s="6" t="str">
        <x:v>比亚迪股份有限公司</x:v>
      </x:c>
      <x:c r="E259" s="6" t="str">
        <x:v>直接第一大及最终第一大股东</x:v>
      </x:c>
      <x:c r="F259" s="6" t="str">
        <x:v>王传福</x:v>
      </x:c>
      <x:c r="G259" s="6" t="str"/>
      <x:c r="H259" s="13" t="d">
        <x:v>2026-08-29T00:00:00.000Z</x:v>
      </x:c>
      <x:c r="I259" s="6" t="str">
        <x:v>[PDF物理第80页；报告印刷第80页] 本公司直接第一大股东和最终第一大股东均为自然人王传福，持股比例为           17.06%。
  本财务报表业经本公司董事会于     2026年8月28日决议批准报出。</x:v>
      </x:c>
      <x:c r="J259" s="6" t="str">
        <x:v>F002</x:v>
      </x:c>
      <x:c r="K259" s="6" t="str">
        <x:v>纳入核验字段</x:v>
      </x:c>
      <x:c r="L259" s="6" t="str">
        <x:v>官方披露已核验</x:v>
      </x:c>
    </x:row>
    <x:row r="260" ht="56" customHeight="1">
      <x:c r="A260" s="6" t="str">
        <x:v>R0249</x:v>
      </x:c>
      <x:c r="B260" s="6" t="str">
        <x:v>字段</x:v>
      </x:c>
      <x:c r="C260" s="18" t="n">
        <x:v>1</x:v>
      </x:c>
      <x:c r="D260" s="6" t="str">
        <x:v>比亚迪股份有限公司</x:v>
      </x:c>
      <x:c r="E260" s="6" t="str">
        <x:v>王传福持股比例</x:v>
      </x:c>
      <x:c r="F260" s="6" t="str">
        <x:v>17.06</x:v>
      </x:c>
      <x:c r="G260" s="6" t="str">
        <x:v>%</x:v>
      </x:c>
      <x:c r="H260" s="13" t="d">
        <x:v>2026-08-29T00:00:00.000Z</x:v>
      </x:c>
      <x:c r="I260" s="6" t="str">
        <x:v>[PDF物理第80页；报告印刷第80页] 本公司直接第一大股东和最终第一大股东均为自然人王传福，持股比例为           17.06%。
  本财务报表业经本公司董事会于     2026年8月28日决议批准报出。</x:v>
      </x:c>
      <x:c r="J260" s="6" t="str">
        <x:v>F002</x:v>
      </x:c>
      <x:c r="K260" s="6" t="str">
        <x:v>纳入核验字段</x:v>
      </x:c>
      <x:c r="L260" s="6" t="str">
        <x:v>官方披露已核验</x:v>
      </x:c>
    </x:row>
    <x:row r="261" ht="72" customHeight="1">
      <x:c r="A261" s="6" t="str">
        <x:v>R0250</x:v>
      </x:c>
      <x:c r="B261" s="6" t="str">
        <x:v>字段</x:v>
      </x:c>
      <x:c r="C261" s="18" t="n">
        <x:v>1</x:v>
      </x:c>
      <x:c r="D261" s="6" t="str">
        <x:v>比亚迪股份有限公司</x:v>
      </x:c>
      <x:c r="E261" s="6" t="str">
        <x:v>A股发行股数</x:v>
      </x:c>
      <x:c r="F261" s="14" t="str">
        <x:v>5433798</x:v>
      </x:c>
      <x:c r="G261" s="6" t="str">
        <x:v>千股</x:v>
      </x:c>
      <x:c r="H261" s="13" t="d">
        <x:v>2026-08-29T00:00:00.000Z</x:v>
      </x:c>
      <x:c r="I261" s="6" t="str">
        <x:v>[PDF物理第80页；报告印刷第80页] 2026年6月30日，本公司所发行人民币普通股     A股为 5,433,798千股已在深圳证券交易所上市，H  股 3,683,400千
股已在香港联交所上市。本公司住所为广东省深圳市大鹏新区葵涌街道延安路           1号，办公地址为广东省深圳市坪山区</x:v>
      </x:c>
      <x:c r="J261" s="6" t="str">
        <x:v>F002</x:v>
      </x:c>
      <x:c r="K261" s="6" t="str">
        <x:v>纳入核验字段</x:v>
      </x:c>
      <x:c r="L261" s="6" t="str">
        <x:v>官方披露已核验</x:v>
      </x:c>
    </x:row>
    <x:row r="262" ht="72" customHeight="1">
      <x:c r="A262" s="6" t="str">
        <x:v>R0251</x:v>
      </x:c>
      <x:c r="B262" s="6" t="str">
        <x:v>字段</x:v>
      </x:c>
      <x:c r="C262" s="18" t="n">
        <x:v>1</x:v>
      </x:c>
      <x:c r="D262" s="6" t="str">
        <x:v>比亚迪股份有限公司</x:v>
      </x:c>
      <x:c r="E262" s="6" t="str">
        <x:v>H股发行股数</x:v>
      </x:c>
      <x:c r="F262" s="14" t="str">
        <x:v>3683400</x:v>
      </x:c>
      <x:c r="G262" s="6" t="str">
        <x:v>千股</x:v>
      </x:c>
      <x:c r="H262" s="13" t="d">
        <x:v>2026-08-29T00:00:00.000Z</x:v>
      </x:c>
      <x:c r="I262" s="6" t="str">
        <x:v>[PDF物理第80页；报告印刷第80页] 2026年6月30日，本公司所发行人民币普通股     A股为 5,433,798千股已在深圳证券交易所上市，H  股 3,683,400千
股已在香港联交所上市。本公司住所为广东省深圳市大鹏新区葵涌街道延安路           1号，办公地址为广东省深圳市坪山区</x:v>
      </x:c>
      <x:c r="J262" s="6" t="str">
        <x:v>F002</x:v>
      </x:c>
      <x:c r="K262" s="6" t="str">
        <x:v>纳入核验字段</x:v>
      </x:c>
      <x:c r="L262" s="6" t="str">
        <x:v>官方披露已核验</x:v>
      </x:c>
    </x:row>
    <x:row r="263" ht="88" customHeight="1">
      <x:c r="A263" s="6" t="str">
        <x:v>R0252</x:v>
      </x:c>
      <x:c r="B263" s="6" t="str">
        <x:v>字段</x:v>
      </x:c>
      <x:c r="C263" s="18" t="n">
        <x:v>1</x:v>
      </x:c>
      <x:c r="D263" s="6" t="str">
        <x:v>比亚迪股份有限公司</x:v>
      </x:c>
      <x:c r="E263" s="6" t="str">
        <x:v>注册资本</x:v>
      </x:c>
      <x:c r="F263" s="6" t="str">
        <x:v>911719.7565</x:v>
      </x:c>
      <x:c r="G263" s="6" t="str">
        <x:v>人民币万元</x:v>
      </x:c>
      <x:c r="H263" s="13"/>
      <x:c r="I263" s="6" t="str">
        <x:v>
公司名称
比亚迪股份有限公司
公司名称(英文)
BYD COMPANY LIMITED
注册资本
911,719.7565万元人民币
法定代表人
王传福先生
办公地址
深圳市坪山区比亚迪路3009号
注册地址
深圳市大鹏新区葵涌街道延安路一号
H股股票信息
比亚迪股份 - 香港联合交易所有限公司
01211.HK
港币柜台代码
81211.HK
人民币柜台代码
上市时间
2002年7月31日
发行价
10.95港元
A股股票信息
比亚迪 - 深圳证券交易</x:v>
      </x:c>
      <x:c r="J263" s="6" t="str">
        <x:v>F004</x:v>
      </x:c>
      <x:c r="K263" s="6" t="str">
        <x:v>纳入核验字段</x:v>
      </x:c>
      <x:c r="L263" s="6" t="str">
        <x:v>官方静态网页；截至核查日</x:v>
      </x:c>
    </x:row>
    <x:row r="264" ht="88" customHeight="1">
      <x:c r="A264" s="6" t="str">
        <x:v>R0253</x:v>
      </x:c>
      <x:c r="B264" s="6" t="str">
        <x:v>字段</x:v>
      </x:c>
      <x:c r="C264" s="18" t="n">
        <x:v>1</x:v>
      </x:c>
      <x:c r="D264" s="6" t="str">
        <x:v>比亚迪股份有限公司</x:v>
      </x:c>
      <x:c r="E264" s="6" t="str">
        <x:v>H股上市日期</x:v>
      </x:c>
      <x:c r="F264" s="6" t="str">
        <x:v>2002-07-31</x:v>
      </x:c>
      <x:c r="G264" s="6" t="str"/>
      <x:c r="H264" s="13"/>
      <x:c r="I264" s="6" t="str">
        <x:v>香港联合交易所有限公司
01211.HK
港币柜台代码
81211.HK
人民币柜台代码
上市时间
2002年7月31日
发行价
10.95港元
A股股票信息
比亚迪 - 深圳证券交易所
002594.SZ
股票代码
上市时间
2011年6月30日
发行价
18.00元人民币
股价轮播
比亚迪股份(1211.HK)
HK$--
(--, --%)
今日最高
--
今日最低
--
成交数量
--
*历史数据采用前复权数据，数据截至--
分时
日K
周K
月K</x:v>
      </x:c>
      <x:c r="J264" s="6" t="str">
        <x:v>F004</x:v>
      </x:c>
      <x:c r="K264" s="6" t="str">
        <x:v>纳入核验字段</x:v>
      </x:c>
      <x:c r="L264" s="6" t="str">
        <x:v>官方静态网页；截至核查日</x:v>
      </x:c>
    </x:row>
    <x:row r="265" ht="88" customHeight="1">
      <x:c r="A265" s="6" t="str">
        <x:v>R0254</x:v>
      </x:c>
      <x:c r="B265" s="6" t="str">
        <x:v>字段</x:v>
      </x:c>
      <x:c r="C265" s="18" t="n">
        <x:v>1</x:v>
      </x:c>
      <x:c r="D265" s="6" t="str">
        <x:v>比亚迪股份有限公司</x:v>
      </x:c>
      <x:c r="E265" s="6" t="str">
        <x:v>A股上市日期</x:v>
      </x:c>
      <x:c r="F265" s="6" t="str">
        <x:v>2011-06-30</x:v>
      </x:c>
      <x:c r="G265" s="6" t="str"/>
      <x:c r="H265" s="13"/>
      <x:c r="I265" s="6" t="str">
        <x:v>
10.95港元
A股股票信息
比亚迪 - 深圳证券交易所
002594.SZ
股票代码
上市时间
2011年6月30日
发行价
18.00元人民币
股价轮播
比亚迪股份(1211.HK)
HK$--
(--, --%)
今日最高
--
今日最低
--
成交数量
--
*历史数据采用前复权数据，数据截至--
分时
日K
周K
月K
HKD
比亚迪(002594.SZ)
￥--
(--, --%)
今日最高
--
今日最低
--
成交数量
--
*历史数据采</x:v>
      </x:c>
      <x:c r="J265" s="6" t="str">
        <x:v>F004</x:v>
      </x:c>
      <x:c r="K265" s="6" t="str">
        <x:v>纳入核验字段</x:v>
      </x:c>
      <x:c r="L265" s="6" t="str">
        <x:v>官方静态网页；截至核查日</x:v>
      </x:c>
    </x:row>
    <x:row r="266" ht="88" customHeight="1">
      <x:c r="A266" s="6" t="str">
        <x:v>R0255</x:v>
      </x:c>
      <x:c r="B266" s="6" t="str">
        <x:v>字段</x:v>
      </x:c>
      <x:c r="C266" s="18" t="n">
        <x:v>1</x:v>
      </x:c>
      <x:c r="D266" s="6" t="str">
        <x:v>比亚迪股份有限公司</x:v>
      </x:c>
      <x:c r="E266" s="6" t="str">
        <x:v>H股发行价</x:v>
      </x:c>
      <x:c r="F266" s="6" t="str">
        <x:v>10.95</x:v>
      </x:c>
      <x:c r="G266" s="6" t="str">
        <x:v>港元/股</x:v>
      </x:c>
      <x:c r="H266" s="13"/>
      <x:c r="I266" s="6" t="str">
        <x:v>11.HK
港币柜台代码
81211.HK
人民币柜台代码
上市时间
2002年7月31日
发行价
10.95港元
A股股票信息
比亚迪 - 深圳证券交易所
002594.SZ
股票代码
上市时间
2011年6月30日
发行价
18.00元人民币
股价轮播
比亚迪股份(1211.HK)
HK$--
(--, --%)
今日最高
--
今日最低
--
成交数量
--
*历史数据采用前复权数据，数据截至--
分时
日K
周K
月K
HKD
比亚迪(002594</x:v>
      </x:c>
      <x:c r="J266" s="6" t="str">
        <x:v>F004</x:v>
      </x:c>
      <x:c r="K266" s="6" t="str">
        <x:v>纳入核验字段</x:v>
      </x:c>
      <x:c r="L266" s="6" t="str">
        <x:v>官方静态网页；截至核查日</x:v>
      </x:c>
    </x:row>
    <x:row r="267" ht="88" customHeight="1">
      <x:c r="A267" s="6" t="str">
        <x:v>R0256</x:v>
      </x:c>
      <x:c r="B267" s="6" t="str">
        <x:v>字段</x:v>
      </x:c>
      <x:c r="C267" s="18" t="n">
        <x:v>1</x:v>
      </x:c>
      <x:c r="D267" s="6" t="str">
        <x:v>比亚迪股份有限公司</x:v>
      </x:c>
      <x:c r="E267" s="6" t="str">
        <x:v>A股发行价</x:v>
      </x:c>
      <x:c r="F267" s="14" t="str">
        <x:v>18</x:v>
      </x:c>
      <x:c r="G267" s="6" t="str">
        <x:v>人民币元/股</x:v>
      </x:c>
      <x:c r="H267" s="13"/>
      <x:c r="I267" s="6" t="str">
        <x:v>
比亚迪 - 深圳证券交易所
002594.SZ
股票代码
上市时间
2011年6月30日
发行价
18.00元人民币
股价轮播
比亚迪股份(1211.HK)
HK$--
(--, --%)
今日最高
--
今日最低
--
成交数量
--
*历史数据采用前复权数据，数据截至--
分时
日K
周K
月K
HKD
比亚迪(002594.SZ)
￥--
(--, --%)
今日最高
--
今日最低
--
成交数量
--
*历史数据采用前复权数据，数据截至--
分</x:v>
      </x:c>
      <x:c r="J267" s="6" t="str">
        <x:v>F004</x:v>
      </x:c>
      <x:c r="K267" s="6" t="str">
        <x:v>纳入核验字段</x:v>
      </x:c>
      <x:c r="L267" s="6" t="str">
        <x:v>官方静态网页；截至核查日</x:v>
      </x:c>
    </x:row>
    <x:row r="268" ht="88" customHeight="1">
      <x:c r="A268" s="6" t="str">
        <x:v>R0257</x:v>
      </x:c>
      <x:c r="B268" s="6" t="str">
        <x:v>字段</x:v>
      </x:c>
      <x:c r="C268" s="18" t="n">
        <x:v>1</x:v>
      </x:c>
      <x:c r="D268" s="6" t="str">
        <x:v>比亚迪股份有限公司</x:v>
      </x:c>
      <x:c r="E268" s="6" t="str">
        <x:v>香港投资者关系热线</x:v>
      </x:c>
      <x:c r="F268" s="14" t="str">
        <x:v>+852-21366185</x:v>
      </x:c>
      <x:c r="G268" s="6" t="str"/>
      <x:c r="H268" s="13"/>
      <x:c r="I268" s="6" t="str">
        <x:v>d.com
投资者问答：
互动易主页
投资者及传媒关系顾问：IPR公关
IPR公关热线：
(852)21366185
IPR公关邮箱：byd@ipr.com.hk
无搜索结果
暂无数据
查看更多
投资者关系
投资者关系热线：
(+86)755-8988 8888-62126
投资者关系邮箱：db@byd.com
投资者问答：
互动易主页
投资者及传媒关系顾问：IPR公关
IPR公关热线：
(852)21366185
IPR公关邮箱：byd@ipr.com.</x:v>
      </x:c>
      <x:c r="J268" s="6" t="str">
        <x:v>F004</x:v>
      </x:c>
      <x:c r="K268" s="6" t="str">
        <x:v>纳入核验字段</x:v>
      </x:c>
      <x:c r="L268" s="6" t="str">
        <x:v>官方静态网页；截至核查日</x:v>
      </x:c>
    </x:row>
    <x:row r="269" ht="88" customHeight="1">
      <x:c r="A269" s="6" t="str">
        <x:v>R0258</x:v>
      </x:c>
      <x:c r="B269" s="6" t="str">
        <x:v>字段</x:v>
      </x:c>
      <x:c r="C269" s="18" t="n">
        <x:v>1</x:v>
      </x:c>
      <x:c r="D269" s="6" t="str">
        <x:v>比亚迪股份有限公司</x:v>
      </x:c>
      <x:c r="E269" s="6" t="str">
        <x:v>香港IPR公关邮箱</x:v>
      </x:c>
      <x:c r="F269" s="6" t="str">
        <x:v>byd@ipr.com.hk</x:v>
      </x:c>
      <x:c r="G269" s="6" t="str"/>
      <x:c r="H269" s="13"/>
      <x:c r="I269" s="6" t="str">
        <x:v>页
投资者及传媒关系顾问：IPR公关
IPR公关热线：
(852)21366185
IPR公关邮箱：byd@ipr.com.hk
无搜索结果
暂无数据
查看更多
投资者关系
投资者关系热线：
(+86)755-8988 8888-62126
投资者关系邮箱：db@byd.com
投资者问答：
互动易主页
投资者及传媒关系顾问：IPR公关
IPR公关热线：
(852)21366185
IPR公关邮箱：byd@ipr.com.hk
无搜索结果
暂无数据
公司通</x:v>
      </x:c>
      <x:c r="J269" s="6" t="str">
        <x:v>F004</x:v>
      </x:c>
      <x:c r="K269" s="6" t="str">
        <x:v>纳入核验字段</x:v>
      </x:c>
      <x:c r="L269" s="6" t="str">
        <x:v>官方静态网页；截至核查日</x:v>
      </x:c>
    </x:row>
    <x:row r="270" ht="136" customHeight="1">
      <x:c r="A270" s="6" t="str">
        <x:v>R0259</x:v>
      </x:c>
      <x:c r="B270" s="6" t="str">
        <x:v>字段</x:v>
      </x:c>
      <x:c r="C270" s="18" t="n">
        <x:v>1</x:v>
      </x:c>
      <x:c r="D270" s="6" t="str">
        <x:v>比亚迪股份有限公司</x:v>
      </x:c>
      <x:c r="E270" s="6" t="str">
        <x:v>营业收入</x:v>
      </x:c>
      <x:c r="F270" s="14" t="str">
        <x:v>803964958000</x:v>
      </x:c>
      <x:c r="G270" s="6" t="str">
        <x:v>人民币元</x:v>
      </x:c>
      <x:c r="H270" s="13" t="d">
        <x:v>2026-03-28T00:00:00.000Z</x:v>
      </x:c>
      <x:c r="I270" s="6" t="str">
        <x:v>[PDF物理第11页；报告印刷第11页] 2025年             2024年         本年比上年增减              2023年
营业收入（元）                      803,964,958,000.00 777,102,455,000.00         3.46% 602,315,354,000.00
归属于上市公司股东的净利润（元）              32,619,022,000.00 40,254,346,000.00        -18.97%  30,040,811,000.00
归属于上市公司股东的扣除非经常性              29,445,703,000.00 36,982,887,000.00        -20.38%  28,462,432,000.00</x:v>
      </x:c>
      <x:c r="J270" s="6" t="str">
        <x:v>F001</x:v>
      </x:c>
      <x:c r="K270" s="6" t="str">
        <x:v>纳入核验字段</x:v>
      </x:c>
      <x:c r="L270" s="6" t="str">
        <x:v>官方披露已核验</x:v>
      </x:c>
    </x:row>
    <x:row r="271" ht="120" customHeight="1">
      <x:c r="A271" s="6" t="str">
        <x:v>R0260</x:v>
      </x:c>
      <x:c r="B271" s="6" t="str">
        <x:v>字段</x:v>
      </x:c>
      <x:c r="C271" s="18" t="n">
        <x:v>1</x:v>
      </x:c>
      <x:c r="D271" s="6" t="str">
        <x:v>比亚迪股份有限公司</x:v>
      </x:c>
      <x:c r="E271" s="6" t="str">
        <x:v>归属于上市公司股东的净利润</x:v>
      </x:c>
      <x:c r="F271" s="14" t="str">
        <x:v>32619022000</x:v>
      </x:c>
      <x:c r="G271" s="6" t="str">
        <x:v>人民币元</x:v>
      </x:c>
      <x:c r="H271" s="13" t="d">
        <x:v>2026-03-28T00:00:00.000Z</x:v>
      </x:c>
      <x:c r="I271" s="6" t="str">
        <x:v>[PDF物理第11页；报告印刷第11页] 营业收入（元）                      803,964,958,000.00 777,102,455,000.00         3.46% 602,315,354,000.00
归属于上市公司股东的净利润（元）              32,619,022,000.00 40,254,346,000.00        -18.97%  30,040,811,000.00
归属于上市公司股东的扣除非经常性              29,445,703,000.00 36,982,887,000.00        -20.38%  28,462,432,000.00
损益的净利润（元）</x:v>
      </x:c>
      <x:c r="J271" s="6" t="str">
        <x:v>F001</x:v>
      </x:c>
      <x:c r="K271" s="6" t="str">
        <x:v>纳入核验字段</x:v>
      </x:c>
      <x:c r="L271" s="6" t="str">
        <x:v>官方披露已核验</x:v>
      </x:c>
    </x:row>
    <x:row r="272" ht="120" customHeight="1">
      <x:c r="A272" s="6" t="str">
        <x:v>R0261</x:v>
      </x:c>
      <x:c r="B272" s="6" t="str">
        <x:v>字段</x:v>
      </x:c>
      <x:c r="C272" s="18" t="n">
        <x:v>1</x:v>
      </x:c>
      <x:c r="D272" s="6" t="str">
        <x:v>比亚迪股份有限公司</x:v>
      </x:c>
      <x:c r="E272" s="6" t="str">
        <x:v>归母扣非净利润</x:v>
      </x:c>
      <x:c r="F272" s="14" t="str">
        <x:v>29445703000</x:v>
      </x:c>
      <x:c r="G272" s="6" t="str">
        <x:v>人民币元</x:v>
      </x:c>
      <x:c r="H272" s="13" t="d">
        <x:v>2026-03-28T00:00:00.000Z</x:v>
      </x:c>
      <x:c r="I272" s="6" t="str">
        <x:v>[PDF物理第11页；报告印刷第11页] 归属于上市公司股东的净利润（元）              32,619,022,000.00 40,254,346,000.00        -18.97%  30,040,811,000.00
归属于上市公司股东的扣除非经常性              29,445,703,000.00 36,982,887,000.00        -20.38%  28,462,432,000.00
损益的净利润（元）
经营活动产生的现金流量净额（元）              59,135,544,000.00 133,453,873,000.00       -55.69% 169,725,025,000.00</x:v>
      </x:c>
      <x:c r="J272" s="6" t="str">
        <x:v>F001</x:v>
      </x:c>
      <x:c r="K272" s="6" t="str">
        <x:v>纳入核验字段</x:v>
      </x:c>
      <x:c r="L272" s="6" t="str">
        <x:v>官方披露已核验</x:v>
      </x:c>
    </x:row>
    <x:row r="273" ht="120" customHeight="1">
      <x:c r="A273" s="6" t="str">
        <x:v>R0262</x:v>
      </x:c>
      <x:c r="B273" s="6" t="str">
        <x:v>字段</x:v>
      </x:c>
      <x:c r="C273" s="18" t="n">
        <x:v>1</x:v>
      </x:c>
      <x:c r="D273" s="6" t="str">
        <x:v>比亚迪股份有限公司</x:v>
      </x:c>
      <x:c r="E273" s="6" t="str">
        <x:v>经营活动现金流量净额</x:v>
      </x:c>
      <x:c r="F273" s="14" t="str">
        <x:v>59135544000</x:v>
      </x:c>
      <x:c r="G273" s="6" t="str">
        <x:v>人民币元</x:v>
      </x:c>
      <x:c r="H273" s="13" t="d">
        <x:v>2026-03-28T00:00:00.000Z</x:v>
      </x:c>
      <x:c r="I273" s="6" t="str">
        <x:v>[PDF物理第11页；报告印刷第11页] 损益的净利润（元）
经营活动产生的现金流量净额（元）              59,135,544,000.00 133,453,873,000.00       -55.69% 169,725,025,000.00
基本每股收益（元/股）                             3.58              4.61           -22.34%             3.44
稀释每股收益（元/股）                             3.58              4.61           -22.34%             3.44</x:v>
      </x:c>
      <x:c r="J273" s="6" t="str">
        <x:v>F001</x:v>
      </x:c>
      <x:c r="K273" s="6" t="str">
        <x:v>纳入核验字段</x:v>
      </x:c>
      <x:c r="L273" s="6" t="str">
        <x:v>官方披露已核验</x:v>
      </x:c>
    </x:row>
    <x:row r="274" ht="152" customHeight="1">
      <x:c r="A274" s="6" t="str">
        <x:v>R0263</x:v>
      </x:c>
      <x:c r="B274" s="6" t="str">
        <x:v>字段</x:v>
      </x:c>
      <x:c r="C274" s="18" t="n">
        <x:v>1</x:v>
      </x:c>
      <x:c r="D274" s="6" t="str">
        <x:v>比亚迪股份有限公司</x:v>
      </x:c>
      <x:c r="E274" s="6" t="str">
        <x:v>基本每股收益</x:v>
      </x:c>
      <x:c r="F274" s="6" t="str">
        <x:v>3.58</x:v>
      </x:c>
      <x:c r="G274" s="6" t="str">
        <x:v>人民币元/股</x:v>
      </x:c>
      <x:c r="H274" s="13" t="d">
        <x:v>2026-03-28T00:00:00.000Z</x:v>
      </x:c>
      <x:c r="I274" s="6" t="str">
        <x:v>[PDF物理第11页；报告印刷第11页] 经营活动产生的现金流量净额（元）              59,135,544,000.00 133,453,873,000.00       -55.69% 169,725,025,000.00
基本每股收益（元/股）                             3.58              4.61           -22.34%             3.44
稀释每股收益（元/股）                             3.58              4.61           -22.34%             3.44
加权平均净资产收益率                             15.31%           26.05%           -10.74%           24.40%</x:v>
      </x:c>
      <x:c r="J274" s="6" t="str">
        <x:v>F001</x:v>
      </x:c>
      <x:c r="K274" s="6" t="str">
        <x:v>纳入核验字段</x:v>
      </x:c>
      <x:c r="L274" s="6" t="str">
        <x:v>官方披露已核验</x:v>
      </x:c>
    </x:row>
    <x:row r="275" ht="152" customHeight="1">
      <x:c r="A275" s="6" t="str">
        <x:v>R0264</x:v>
      </x:c>
      <x:c r="B275" s="6" t="str">
        <x:v>字段</x:v>
      </x:c>
      <x:c r="C275" s="18" t="n">
        <x:v>1</x:v>
      </x:c>
      <x:c r="D275" s="6" t="str">
        <x:v>比亚迪股份有限公司</x:v>
      </x:c>
      <x:c r="E275" s="6" t="str">
        <x:v>稀释每股收益</x:v>
      </x:c>
      <x:c r="F275" s="6" t="str">
        <x:v>3.58</x:v>
      </x:c>
      <x:c r="G275" s="6" t="str">
        <x:v>人民币元/股</x:v>
      </x:c>
      <x:c r="H275" s="13" t="d">
        <x:v>2026-03-28T00:00:00.000Z</x:v>
      </x:c>
      <x:c r="I275" s="6" t="str">
        <x:v>[PDF物理第11页；报告印刷第11页] 基本每股收益（元/股）                             3.58              4.61           -22.34%             3.44
稀释每股收益（元/股）                             3.58              4.61           -22.34%             3.44
加权平均净资产收益率                             15.31%           26.05%           -10.74%           24.40%
                                 2025年末           2024年末        本年末比上年末增减            2023年末</x:v>
      </x:c>
      <x:c r="J275" s="6" t="str">
        <x:v>F001</x:v>
      </x:c>
      <x:c r="K275" s="6" t="str">
        <x:v>纳入核验字段</x:v>
      </x:c>
      <x:c r="L275" s="6" t="str">
        <x:v>官方披露已核验</x:v>
      </x:c>
    </x:row>
    <x:row r="276" ht="152" customHeight="1">
      <x:c r="A276" s="6" t="str">
        <x:v>R0265</x:v>
      </x:c>
      <x:c r="B276" s="6" t="str">
        <x:v>字段</x:v>
      </x:c>
      <x:c r="C276" s="18" t="n">
        <x:v>1</x:v>
      </x:c>
      <x:c r="D276" s="6" t="str">
        <x:v>比亚迪股份有限公司</x:v>
      </x:c>
      <x:c r="E276" s="6" t="str">
        <x:v>加权平均净资产收益率</x:v>
      </x:c>
      <x:c r="F276" s="6" t="str">
        <x:v>15.31</x:v>
      </x:c>
      <x:c r="G276" s="6" t="str">
        <x:v>%</x:v>
      </x:c>
      <x:c r="H276" s="13" t="d">
        <x:v>2026-03-28T00:00:00.000Z</x:v>
      </x:c>
      <x:c r="I276" s="6" t="str">
        <x:v>[PDF物理第11页；报告印刷第11页] 稀释每股收益（元/股）                             3.58              4.61           -22.34%             3.44
加权平均净资产收益率                             15.31%           26.05%           -10.74%           24.40%
                                 2025年末           2024年末        本年末比上年末增减            2023年末
总资产（元）                       883,729,883,000.00 783,355,855,000.00        12.81% 679,547,670,000.00</x:v>
      </x:c>
      <x:c r="J276" s="6" t="str">
        <x:v>F001</x:v>
      </x:c>
      <x:c r="K276" s="6" t="str">
        <x:v>纳入核验字段</x:v>
      </x:c>
      <x:c r="L276" s="6" t="str">
        <x:v>官方披露已核验</x:v>
      </x:c>
    </x:row>
    <x:row r="277" ht="104" customHeight="1">
      <x:c r="A277" s="6" t="str">
        <x:v>R0266</x:v>
      </x:c>
      <x:c r="B277" s="6" t="str">
        <x:v>字段</x:v>
      </x:c>
      <x:c r="C277" s="18" t="n">
        <x:v>1</x:v>
      </x:c>
      <x:c r="D277" s="6" t="str">
        <x:v>比亚迪股份有限公司</x:v>
      </x:c>
      <x:c r="E277" s="6" t="str">
        <x:v>总资产</x:v>
      </x:c>
      <x:c r="F277" s="14" t="str">
        <x:v>883729883000</x:v>
      </x:c>
      <x:c r="G277" s="6" t="str">
        <x:v>人民币元</x:v>
      </x:c>
      <x:c r="H277" s="13" t="d">
        <x:v>2026-03-28T00:00:00.000Z</x:v>
      </x:c>
      <x:c r="I277" s="6" t="str">
        <x:v>[PDF物理第11页；报告印刷第11页] 2025年末           2024年末        本年末比上年末增减            2023年末
总资产（元）                       883,729,883,000.00 783,355,855,000.00        12.81% 679,547,670,000.00
归属于上市公司股东的净资产（元）             246,274,606,000.00 185,251,104,000.00        32.94% 138,810,065,000.00</x:v>
      </x:c>
      <x:c r="J277" s="6" t="str">
        <x:v>F001</x:v>
      </x:c>
      <x:c r="K277" s="6" t="str">
        <x:v>纳入核验字段</x:v>
      </x:c>
      <x:c r="L277" s="6" t="str">
        <x:v>官方披露已核验</x:v>
      </x:c>
    </x:row>
    <x:row r="278" ht="120" customHeight="1">
      <x:c r="A278" s="6" t="str">
        <x:v>R0267</x:v>
      </x:c>
      <x:c r="B278" s="6" t="str">
        <x:v>字段</x:v>
      </x:c>
      <x:c r="C278" s="18" t="n">
        <x:v>1</x:v>
      </x:c>
      <x:c r="D278" s="6" t="str">
        <x:v>比亚迪股份有限公司</x:v>
      </x:c>
      <x:c r="E278" s="6" t="str">
        <x:v>归属于上市公司股东的净资产</x:v>
      </x:c>
      <x:c r="F278" s="14" t="str">
        <x:v>246274606000</x:v>
      </x:c>
      <x:c r="G278" s="6" t="str">
        <x:v>人民币元</x:v>
      </x:c>
      <x:c r="H278" s="13" t="d">
        <x:v>2026-03-28T00:00:00.000Z</x:v>
      </x:c>
      <x:c r="I278" s="6" t="str">
        <x:v>[PDF物理第11页；报告印刷第11页] 总资产（元）                       883,729,883,000.00 783,355,855,000.00        12.81% 679,547,670,000.00
归属于上市公司股东的净资产（元）             246,274,606,000.00 185,251,104,000.00        32.94% 138,810,065,000.00
   注：于  2025年7月，本公司派发股票股利      2,431,252,684股，资本公积转增股本  3,646,879,026股，派发后的发行在外普通股股数为</x:v>
      </x:c>
      <x:c r="J278" s="6" t="str">
        <x:v>F001</x:v>
      </x:c>
      <x:c r="K278" s="6" t="str">
        <x:v>纳入核验字段</x:v>
      </x:c>
      <x:c r="L278" s="6" t="str">
        <x:v>官方披露已核验</x:v>
      </x:c>
    </x:row>
    <x:row r="279" ht="136" customHeight="1">
      <x:c r="A279" s="6" t="str">
        <x:v>R0268</x:v>
      </x:c>
      <x:c r="B279" s="6" t="str">
        <x:v>字段</x:v>
      </x:c>
      <x:c r="C279" s="18" t="n">
        <x:v>1</x:v>
      </x:c>
      <x:c r="D279" s="6" t="str">
        <x:v>比亚迪股份有限公司</x:v>
      </x:c>
      <x:c r="E279" s="6" t="str">
        <x:v>营业收入同比</x:v>
      </x:c>
      <x:c r="F279" s="6" t="str">
        <x:v>3.46</x:v>
      </x:c>
      <x:c r="G279" s="6" t="str">
        <x:v>%</x:v>
      </x:c>
      <x:c r="H279" s="13" t="d">
        <x:v>2026-03-28T00:00:00.000Z</x:v>
      </x:c>
      <x:c r="I279" s="6" t="str">
        <x:v>[PDF物理第11页；报告印刷第11页] 2025年             2024年         本年比上年增减              2023年
营业收入（元）                      803,964,958,000.00 777,102,455,000.00         3.46% 602,315,354,000.00
归属于上市公司股东的净利润（元）              32,619,022,000.00 40,254,346,000.00        -18.97%  30,040,811,000.00
归属于上市公司股东的扣除非经常性              29,445,703,000.00 36,982,887,000.00        -20.38%  28,462,432,000.00</x:v>
      </x:c>
      <x:c r="J279" s="6" t="str">
        <x:v>F001</x:v>
      </x:c>
      <x:c r="K279" s="6" t="str">
        <x:v>纳入核验字段</x:v>
      </x:c>
      <x:c r="L279" s="6" t="str">
        <x:v>官方披露已核验</x:v>
      </x:c>
    </x:row>
    <x:row r="280" ht="120" customHeight="1">
      <x:c r="A280" s="6" t="str">
        <x:v>R0269</x:v>
      </x:c>
      <x:c r="B280" s="6" t="str">
        <x:v>字段</x:v>
      </x:c>
      <x:c r="C280" s="18" t="n">
        <x:v>1</x:v>
      </x:c>
      <x:c r="D280" s="6" t="str">
        <x:v>比亚迪股份有限公司</x:v>
      </x:c>
      <x:c r="E280" s="6" t="str">
        <x:v>归母净利润同比</x:v>
      </x:c>
      <x:c r="F280" s="6" t="str">
        <x:v>-18.97</x:v>
      </x:c>
      <x:c r="G280" s="6" t="str">
        <x:v>%</x:v>
      </x:c>
      <x:c r="H280" s="13" t="d">
        <x:v>2026-03-28T00:00:00.000Z</x:v>
      </x:c>
      <x:c r="I280" s="6" t="str">
        <x:v>[PDF物理第11页；报告印刷第11页] 营业收入（元）                      803,964,958,000.00 777,102,455,000.00         3.46% 602,315,354,000.00
归属于上市公司股东的净利润（元）              32,619,022,000.00 40,254,346,000.00        -18.97%  30,040,811,000.00
归属于上市公司股东的扣除非经常性              29,445,703,000.00 36,982,887,000.00        -20.38%  28,462,432,000.00
损益的净利润（元）</x:v>
      </x:c>
      <x:c r="J280" s="6" t="str">
        <x:v>F001</x:v>
      </x:c>
      <x:c r="K280" s="6" t="str">
        <x:v>纳入核验字段</x:v>
      </x:c>
      <x:c r="L280" s="6" t="str">
        <x:v>官方披露已核验</x:v>
      </x:c>
    </x:row>
    <x:row r="281" ht="120" customHeight="1">
      <x:c r="A281" s="6" t="str">
        <x:v>R0270</x:v>
      </x:c>
      <x:c r="B281" s="6" t="str">
        <x:v>字段</x:v>
      </x:c>
      <x:c r="C281" s="18" t="n">
        <x:v>1</x:v>
      </x:c>
      <x:c r="D281" s="6" t="str">
        <x:v>比亚迪股份有限公司</x:v>
      </x:c>
      <x:c r="E281" s="6" t="str">
        <x:v>经营活动现金流净额同比</x:v>
      </x:c>
      <x:c r="F281" s="6" t="str">
        <x:v>-55.69</x:v>
      </x:c>
      <x:c r="G281" s="6" t="str">
        <x:v>%</x:v>
      </x:c>
      <x:c r="H281" s="13" t="d">
        <x:v>2026-03-28T00:00:00.000Z</x:v>
      </x:c>
      <x:c r="I281" s="6" t="str">
        <x:v>[PDF物理第11页；报告印刷第11页] 损益的净利润（元）
经营活动产生的现金流量净额（元）              59,135,544,000.00 133,453,873,000.00       -55.69% 169,725,025,000.00
基本每股收益（元/股）                             3.58              4.61           -22.34%             3.44
稀释每股收益（元/股）                             3.58              4.61           -22.34%             3.44</x:v>
      </x:c>
      <x:c r="J281" s="6" t="str">
        <x:v>F001</x:v>
      </x:c>
      <x:c r="K281" s="6" t="str">
        <x:v>纳入核验字段</x:v>
      </x:c>
      <x:c r="L281" s="6" t="str">
        <x:v>官方披露已核验</x:v>
      </x:c>
    </x:row>
    <x:row r="282" ht="104" customHeight="1">
      <x:c r="A282" s="6" t="str">
        <x:v>R0271</x:v>
      </x:c>
      <x:c r="B282" s="6" t="str">
        <x:v>字段</x:v>
      </x:c>
      <x:c r="C282" s="18" t="n">
        <x:v>1</x:v>
      </x:c>
      <x:c r="D282" s="6" t="str">
        <x:v>比亚迪股份有限公司</x:v>
      </x:c>
      <x:c r="E282" s="6" t="str">
        <x:v>营业收入</x:v>
      </x:c>
      <x:c r="F282" s="14" t="str">
        <x:v>344815421000</x:v>
      </x:c>
      <x:c r="G282" s="6" t="str">
        <x:v>人民币元</x:v>
      </x:c>
      <x:c r="H282" s="13" t="d">
        <x:v>2026-08-29T00:00:00.000Z</x:v>
      </x:c>
      <x:c r="I282" s="6" t="str">
        <x:v>[PDF物理第7页；报告印刷第7页] 增减
营业收入（元）                            344,815,421,000.00 371,280,948,000.00    -7.13%
归属于上市公司股东的净利润（元）                    12,325,408,000.00 15,510,533,000.00    -20.54%
归属于上市公司股东的扣除非经常性损益的净利润              12,373,343,000.00 13,599,741,000.00     -9.02%</x:v>
      </x:c>
      <x:c r="J282" s="6" t="str">
        <x:v>F002</x:v>
      </x:c>
      <x:c r="K282" s="6" t="str">
        <x:v>纳入核验字段</x:v>
      </x:c>
      <x:c r="L282" s="6" t="str">
        <x:v>官方披露已核验</x:v>
      </x:c>
    </x:row>
    <x:row r="283" ht="104" customHeight="1">
      <x:c r="A283" s="6" t="str">
        <x:v>R0272</x:v>
      </x:c>
      <x:c r="B283" s="6" t="str">
        <x:v>字段</x:v>
      </x:c>
      <x:c r="C283" s="18" t="n">
        <x:v>1</x:v>
      </x:c>
      <x:c r="D283" s="6" t="str">
        <x:v>比亚迪股份有限公司</x:v>
      </x:c>
      <x:c r="E283" s="6" t="str">
        <x:v>归属于上市公司股东的净利润</x:v>
      </x:c>
      <x:c r="F283" s="14" t="str">
        <x:v>12325408000</x:v>
      </x:c>
      <x:c r="G283" s="6" t="str">
        <x:v>人民币元</x:v>
      </x:c>
      <x:c r="H283" s="13" t="d">
        <x:v>2026-08-29T00:00:00.000Z</x:v>
      </x:c>
      <x:c r="I283" s="6" t="str">
        <x:v>[PDF物理第7页；报告印刷第7页] 营业收入（元）                            344,815,421,000.00 371,280,948,000.00    -7.13%
归属于上市公司股东的净利润（元）                    12,325,408,000.00 15,510,533,000.00    -20.54%
归属于上市公司股东的扣除非经常性损益的净利润              12,373,343,000.00 13,599,741,000.00     -9.02%
（元）</x:v>
      </x:c>
      <x:c r="J283" s="6" t="str">
        <x:v>F002</x:v>
      </x:c>
      <x:c r="K283" s="6" t="str">
        <x:v>纳入核验字段</x:v>
      </x:c>
      <x:c r="L283" s="6" t="str">
        <x:v>官方披露已核验</x:v>
      </x:c>
    </x:row>
    <x:row r="284" ht="104" customHeight="1">
      <x:c r="A284" s="6" t="str">
        <x:v>R0273</x:v>
      </x:c>
      <x:c r="B284" s="6" t="str">
        <x:v>字段</x:v>
      </x:c>
      <x:c r="C284" s="18" t="n">
        <x:v>1</x:v>
      </x:c>
      <x:c r="D284" s="6" t="str">
        <x:v>比亚迪股份有限公司</x:v>
      </x:c>
      <x:c r="E284" s="6" t="str">
        <x:v>归母扣非净利润</x:v>
      </x:c>
      <x:c r="F284" s="14" t="str">
        <x:v>12373343000</x:v>
      </x:c>
      <x:c r="G284" s="6" t="str">
        <x:v>人民币元</x:v>
      </x:c>
      <x:c r="H284" s="13" t="d">
        <x:v>2026-08-29T00:00:00.000Z</x:v>
      </x:c>
      <x:c r="I284" s="6" t="str">
        <x:v>[PDF物理第7页；报告印刷第7页] 归属于上市公司股东的净利润（元）                    12,325,408,000.00 15,510,533,000.00    -20.54%
归属于上市公司股东的扣除非经常性损益的净利润              12,373,343,000.00 13,599,741,000.00     -9.02%
（元）
经营活动产生的现金流量净额（元）                    37,334,744,000.00 31,833,471,000.00     17.28%</x:v>
      </x:c>
      <x:c r="J284" s="6" t="str">
        <x:v>F002</x:v>
      </x:c>
      <x:c r="K284" s="6" t="str">
        <x:v>纳入核验字段</x:v>
      </x:c>
      <x:c r="L284" s="6" t="str">
        <x:v>官方披露已核验</x:v>
      </x:c>
    </x:row>
    <x:row r="285" ht="104" customHeight="1">
      <x:c r="A285" s="6" t="str">
        <x:v>R0274</x:v>
      </x:c>
      <x:c r="B285" s="6" t="str">
        <x:v>字段</x:v>
      </x:c>
      <x:c r="C285" s="18" t="n">
        <x:v>1</x:v>
      </x:c>
      <x:c r="D285" s="6" t="str">
        <x:v>比亚迪股份有限公司</x:v>
      </x:c>
      <x:c r="E285" s="6" t="str">
        <x:v>经营活动现金流量净额</x:v>
      </x:c>
      <x:c r="F285" s="14" t="str">
        <x:v>37334744000</x:v>
      </x:c>
      <x:c r="G285" s="6" t="str">
        <x:v>人民币元</x:v>
      </x:c>
      <x:c r="H285" s="13" t="d">
        <x:v>2026-08-29T00:00:00.000Z</x:v>
      </x:c>
      <x:c r="I285" s="6" t="str">
        <x:v>[PDF物理第7页；报告印刷第7页] （元）
经营活动产生的现金流量净额（元）                    37,334,744,000.00 31,833,471,000.00     17.28%
基本每股收益（元/股）                                   1.35            1.71         -21.05%
稀释每股收益（元/股）                                   1.35            1.71         -21.05%</x:v>
      </x:c>
      <x:c r="J285" s="6" t="str">
        <x:v>F002</x:v>
      </x:c>
      <x:c r="K285" s="6" t="str">
        <x:v>纳入核验字段</x:v>
      </x:c>
      <x:c r="L285" s="6" t="str">
        <x:v>官方披露已核验</x:v>
      </x:c>
    </x:row>
    <x:row r="286" ht="120" customHeight="1">
      <x:c r="A286" s="6" t="str">
        <x:v>R0275</x:v>
      </x:c>
      <x:c r="B286" s="6" t="str">
        <x:v>字段</x:v>
      </x:c>
      <x:c r="C286" s="18" t="n">
        <x:v>1</x:v>
      </x:c>
      <x:c r="D286" s="6" t="str">
        <x:v>比亚迪股份有限公司</x:v>
      </x:c>
      <x:c r="E286" s="6" t="str">
        <x:v>基本每股收益</x:v>
      </x:c>
      <x:c r="F286" s="6" t="str">
        <x:v>1.35</x:v>
      </x:c>
      <x:c r="G286" s="6" t="str">
        <x:v>人民币元/股</x:v>
      </x:c>
      <x:c r="H286" s="13" t="d">
        <x:v>2026-08-29T00:00:00.000Z</x:v>
      </x:c>
      <x:c r="I286" s="6" t="str">
        <x:v>[PDF物理第7页；报告印刷第7页] 经营活动产生的现金流量净额（元）                    37,334,744,000.00 31,833,471,000.00     17.28%
基本每股收益（元/股）                                   1.35            1.71         -21.05%
稀释每股收益（元/股）                                   1.35            1.71         -21.05%
加权平均净资产收益率                                   4.86%           7.43%          -2.57%</x:v>
      </x:c>
      <x:c r="J286" s="6" t="str">
        <x:v>F002</x:v>
      </x:c>
      <x:c r="K286" s="6" t="str">
        <x:v>纳入核验字段</x:v>
      </x:c>
      <x:c r="L286" s="6" t="str">
        <x:v>官方披露已核验</x:v>
      </x:c>
    </x:row>
    <x:row r="287" ht="120" customHeight="1">
      <x:c r="A287" s="6" t="str">
        <x:v>R0276</x:v>
      </x:c>
      <x:c r="B287" s="6" t="str">
        <x:v>字段</x:v>
      </x:c>
      <x:c r="C287" s="18" t="n">
        <x:v>1</x:v>
      </x:c>
      <x:c r="D287" s="6" t="str">
        <x:v>比亚迪股份有限公司</x:v>
      </x:c>
      <x:c r="E287" s="6" t="str">
        <x:v>稀释每股收益</x:v>
      </x:c>
      <x:c r="F287" s="6" t="str">
        <x:v>1.35</x:v>
      </x:c>
      <x:c r="G287" s="6" t="str">
        <x:v>人民币元/股</x:v>
      </x:c>
      <x:c r="H287" s="13" t="d">
        <x:v>2026-08-29T00:00:00.000Z</x:v>
      </x:c>
      <x:c r="I287" s="6" t="str">
        <x:v>[PDF物理第7页；报告印刷第7页] 基本每股收益（元/股）                                   1.35            1.71         -21.05%
稀释每股收益（元/股）                                   1.35            1.71         -21.05%
加权平均净资产收益率                                   4.86%           7.43%          -2.57%
                                      本报告期末            上年度末        本报告期末比上年度</x:v>
      </x:c>
      <x:c r="J287" s="6" t="str">
        <x:v>F002</x:v>
      </x:c>
      <x:c r="K287" s="6" t="str">
        <x:v>纳入核验字段</x:v>
      </x:c>
      <x:c r="L287" s="6" t="str">
        <x:v>官方披露已核验</x:v>
      </x:c>
    </x:row>
    <x:row r="288" ht="120" customHeight="1">
      <x:c r="A288" s="6" t="str">
        <x:v>R0277</x:v>
      </x:c>
      <x:c r="B288" s="6" t="str">
        <x:v>字段</x:v>
      </x:c>
      <x:c r="C288" s="18" t="n">
        <x:v>1</x:v>
      </x:c>
      <x:c r="D288" s="6" t="str">
        <x:v>比亚迪股份有限公司</x:v>
      </x:c>
      <x:c r="E288" s="6" t="str">
        <x:v>加权平均净资产收益率</x:v>
      </x:c>
      <x:c r="F288" s="6" t="str">
        <x:v>4.86</x:v>
      </x:c>
      <x:c r="G288" s="6" t="str">
        <x:v>%</x:v>
      </x:c>
      <x:c r="H288" s="13" t="d">
        <x:v>2026-08-29T00:00:00.000Z</x:v>
      </x:c>
      <x:c r="I288" s="6" t="str">
        <x:v>[PDF物理第7页；报告印刷第7页] 稀释每股收益（元/股）                                   1.35            1.71         -21.05%
加权平均净资产收益率                                   4.86%           7.43%          -2.57%
                                      本报告期末            上年度末        本报告期末比上年度
                                                                       末增减</x:v>
      </x:c>
      <x:c r="J288" s="6" t="str">
        <x:v>F002</x:v>
      </x:c>
      <x:c r="K288" s="6" t="str">
        <x:v>纳入核验字段</x:v>
      </x:c>
      <x:c r="L288" s="6" t="str">
        <x:v>官方披露已核验</x:v>
      </x:c>
    </x:row>
    <x:row r="289" ht="72" customHeight="1">
      <x:c r="A289" s="6" t="str">
        <x:v>R0278</x:v>
      </x:c>
      <x:c r="B289" s="6" t="str">
        <x:v>字段</x:v>
      </x:c>
      <x:c r="C289" s="18" t="n">
        <x:v>1</x:v>
      </x:c>
      <x:c r="D289" s="6" t="str">
        <x:v>比亚迪股份有限公司</x:v>
      </x:c>
      <x:c r="E289" s="6" t="str">
        <x:v>总资产</x:v>
      </x:c>
      <x:c r="F289" s="14" t="str">
        <x:v>941278424000</x:v>
      </x:c>
      <x:c r="G289" s="6" t="str">
        <x:v>人民币元</x:v>
      </x:c>
      <x:c r="H289" s="13" t="d">
        <x:v>2026-08-29T00:00:00.000Z</x:v>
      </x:c>
      <x:c r="I289" s="6" t="str">
        <x:v>[PDF物理第7页；报告印刷第7页] 末增减
总资产（元）                             941,278,424,000.00 883,729,883,000.00     6.51%
归属于上市公司股东的净资产（元）                   260,818,431,000.00 246,274,606,000.00     5.91%</x:v>
      </x:c>
      <x:c r="J289" s="6" t="str">
        <x:v>F002</x:v>
      </x:c>
      <x:c r="K289" s="6" t="str">
        <x:v>纳入核验字段</x:v>
      </x:c>
      <x:c r="L289" s="6" t="str">
        <x:v>官方披露已核验</x:v>
      </x:c>
    </x:row>
    <x:row r="290" ht="104" customHeight="1">
      <x:c r="A290" s="6" t="str">
        <x:v>R0279</x:v>
      </x:c>
      <x:c r="B290" s="6" t="str">
        <x:v>字段</x:v>
      </x:c>
      <x:c r="C290" s="18" t="n">
        <x:v>1</x:v>
      </x:c>
      <x:c r="D290" s="6" t="str">
        <x:v>比亚迪股份有限公司</x:v>
      </x:c>
      <x:c r="E290" s="6" t="str">
        <x:v>归属于上市公司股东的净资产</x:v>
      </x:c>
      <x:c r="F290" s="14" t="str">
        <x:v>260818431000</x:v>
      </x:c>
      <x:c r="G290" s="6" t="str">
        <x:v>人民币元</x:v>
      </x:c>
      <x:c r="H290" s="13" t="d">
        <x:v>2026-08-29T00:00:00.000Z</x:v>
      </x:c>
      <x:c r="I290" s="6" t="str">
        <x:v>[PDF物理第7页；报告印刷第7页] 总资产（元）                             941,278,424,000.00 883,729,883,000.00     6.51%
归属于上市公司股东的净资产（元）                   260,818,431,000.00 246,274,606,000.00     5.91%
 注：于  2025年7 月，本公司派发红股     2,431,252,684股，资本公积转增股本   3,646,879,026股，派发后的发行在外</x:v>
      </x:c>
      <x:c r="J290" s="6" t="str">
        <x:v>F002</x:v>
      </x:c>
      <x:c r="K290" s="6" t="str">
        <x:v>纳入核验字段</x:v>
      </x:c>
      <x:c r="L290" s="6" t="str">
        <x:v>官方披露已核验</x:v>
      </x:c>
    </x:row>
    <x:row r="291" ht="104" customHeight="1">
      <x:c r="A291" s="6" t="str">
        <x:v>R0280</x:v>
      </x:c>
      <x:c r="B291" s="6" t="str">
        <x:v>字段</x:v>
      </x:c>
      <x:c r="C291" s="18" t="n">
        <x:v>1</x:v>
      </x:c>
      <x:c r="D291" s="6" t="str">
        <x:v>比亚迪股份有限公司</x:v>
      </x:c>
      <x:c r="E291" s="6" t="str">
        <x:v>营业收入同比</x:v>
      </x:c>
      <x:c r="F291" s="6" t="str">
        <x:v>-7.13</x:v>
      </x:c>
      <x:c r="G291" s="6" t="str">
        <x:v>%</x:v>
      </x:c>
      <x:c r="H291" s="13" t="d">
        <x:v>2026-08-29T00:00:00.000Z</x:v>
      </x:c>
      <x:c r="I291" s="6" t="str">
        <x:v>[PDF物理第7页；报告印刷第7页] 增减
营业收入（元）                            344,815,421,000.00 371,280,948,000.00    -7.13%
归属于上市公司股东的净利润（元）                    12,325,408,000.00 15,510,533,000.00    -20.54%
归属于上市公司股东的扣除非经常性损益的净利润              12,373,343,000.00 13,599,741,000.00     -9.02%</x:v>
      </x:c>
      <x:c r="J291" s="6" t="str">
        <x:v>F002</x:v>
      </x:c>
      <x:c r="K291" s="6" t="str">
        <x:v>纳入核验字段</x:v>
      </x:c>
      <x:c r="L291" s="6" t="str">
        <x:v>官方披露已核验</x:v>
      </x:c>
    </x:row>
    <x:row r="292" ht="104" customHeight="1">
      <x:c r="A292" s="6" t="str">
        <x:v>R0281</x:v>
      </x:c>
      <x:c r="B292" s="6" t="str">
        <x:v>字段</x:v>
      </x:c>
      <x:c r="C292" s="18" t="n">
        <x:v>1</x:v>
      </x:c>
      <x:c r="D292" s="6" t="str">
        <x:v>比亚迪股份有限公司</x:v>
      </x:c>
      <x:c r="E292" s="6" t="str">
        <x:v>归母净利润同比</x:v>
      </x:c>
      <x:c r="F292" s="6" t="str">
        <x:v>-20.54</x:v>
      </x:c>
      <x:c r="G292" s="6" t="str">
        <x:v>%</x:v>
      </x:c>
      <x:c r="H292" s="13" t="d">
        <x:v>2026-08-29T00:00:00.000Z</x:v>
      </x:c>
      <x:c r="I292" s="6" t="str">
        <x:v>[PDF物理第7页；报告印刷第7页] 营业收入（元）                            344,815,421,000.00 371,280,948,000.00    -7.13%
归属于上市公司股东的净利润（元）                    12,325,408,000.00 15,510,533,000.00    -20.54%
归属于上市公司股东的扣除非经常性损益的净利润              12,373,343,000.00 13,599,741,000.00     -9.02%
（元）</x:v>
      </x:c>
      <x:c r="J292" s="6" t="str">
        <x:v>F002</x:v>
      </x:c>
      <x:c r="K292" s="6" t="str">
        <x:v>纳入核验字段</x:v>
      </x:c>
      <x:c r="L292" s="6" t="str">
        <x:v>官方披露已核验</x:v>
      </x:c>
    </x:row>
    <x:row r="293" ht="104" customHeight="1">
      <x:c r="A293" s="6" t="str">
        <x:v>R0282</x:v>
      </x:c>
      <x:c r="B293" s="6" t="str">
        <x:v>字段</x:v>
      </x:c>
      <x:c r="C293" s="18" t="n">
        <x:v>1</x:v>
      </x:c>
      <x:c r="D293" s="6" t="str">
        <x:v>比亚迪股份有限公司</x:v>
      </x:c>
      <x:c r="E293" s="6" t="str">
        <x:v>经营活动现金流净额同比</x:v>
      </x:c>
      <x:c r="F293" s="6" t="str">
        <x:v>17.28</x:v>
      </x:c>
      <x:c r="G293" s="6" t="str">
        <x:v>%</x:v>
      </x:c>
      <x:c r="H293" s="13" t="d">
        <x:v>2026-08-29T00:00:00.000Z</x:v>
      </x:c>
      <x:c r="I293" s="6" t="str">
        <x:v>[PDF物理第7页；报告印刷第7页] （元）
经营活动产生的现金流量净额（元）                    37,334,744,000.00 31,833,471,000.00     17.28%
基本每股收益（元/股）                                   1.35            1.71         -21.05%
稀释每股收益（元/股）                                   1.35            1.71         -21.05%</x:v>
      </x:c>
      <x:c r="J293" s="6" t="str">
        <x:v>F002</x:v>
      </x:c>
      <x:c r="K293" s="6" t="str">
        <x:v>纳入核验字段</x:v>
      </x:c>
      <x:c r="L293" s="6" t="str">
        <x:v>官方披露已核验</x:v>
      </x:c>
    </x:row>
    <x:row r="294" ht="152" customHeight="1">
      <x:c r="A294" s="6" t="str">
        <x:v>R0283</x:v>
      </x:c>
      <x:c r="B294" s="6" t="str">
        <x:v>字段</x:v>
      </x:c>
      <x:c r="C294" s="18" t="n">
        <x:v>1</x:v>
      </x:c>
      <x:c r="D294" s="6" t="str">
        <x:v>比亚迪股份有限公司</x:v>
      </x:c>
      <x:c r="E294" s="6" t="str">
        <x:v>营业成本</x:v>
      </x:c>
      <x:c r="F294" s="14" t="str">
        <x:v>661305161</x:v>
      </x:c>
      <x:c r="G294" s="6" t="str">
        <x:v>人民币千元</x:v>
      </x:c>
      <x:c r="H294" s="13" t="d">
        <x:v>2026-03-28T00:00:00.000Z</x:v>
      </x:c>
      <x:c r="I294" s="6" t="str">
        <x:v>[PDF物理第126页；报告印刷第126页] 一、     营业收入                                                 45         803,964,958         777,102,455
       减：营业成本                                               45         661,305,161         626,046,616
           税金及附加                                            46          13,580,544          14,752,402
           销售费用                                             47          26,184,568          24,085,317</x:v>
      </x:c>
      <x:c r="J294" s="6" t="str">
        <x:v>F001</x:v>
      </x:c>
      <x:c r="K294" s="6" t="str">
        <x:v>纳入核验字段</x:v>
      </x:c>
      <x:c r="L294" s="6" t="str">
        <x:v>官方披露已核验</x:v>
      </x:c>
    </x:row>
    <x:row r="295" ht="152" customHeight="1">
      <x:c r="A295" s="6" t="str">
        <x:v>R0284</x:v>
      </x:c>
      <x:c r="B295" s="6" t="str">
        <x:v>字段</x:v>
      </x:c>
      <x:c r="C295" s="18" t="n">
        <x:v>1</x:v>
      </x:c>
      <x:c r="D295" s="6" t="str">
        <x:v>比亚迪股份有限公司</x:v>
      </x:c>
      <x:c r="E295" s="6" t="str">
        <x:v>销售费用</x:v>
      </x:c>
      <x:c r="F295" s="14" t="str">
        <x:v>26184568</x:v>
      </x:c>
      <x:c r="G295" s="6" t="str">
        <x:v>人民币千元</x:v>
      </x:c>
      <x:c r="H295" s="13" t="d">
        <x:v>2026-03-28T00:00:00.000Z</x:v>
      </x:c>
      <x:c r="I295" s="6" t="str">
        <x:v>[PDF物理第126页；报告印刷第126页] 税金及附加                                            46          13,580,544          14,752,402
           销售费用                                             47          26,184,568          24,085,317
           管理费用                                             48          20,199,944          18,644,661
           研发费用                                             49          57,978,105          53,194,745</x:v>
      </x:c>
      <x:c r="J295" s="6" t="str">
        <x:v>F001</x:v>
      </x:c>
      <x:c r="K295" s="6" t="str">
        <x:v>纳入核验字段</x:v>
      </x:c>
      <x:c r="L295" s="6" t="str">
        <x:v>官方披露已核验</x:v>
      </x:c>
    </x:row>
    <x:row r="296" ht="152" customHeight="1">
      <x:c r="A296" s="6" t="str">
        <x:v>R0285</x:v>
      </x:c>
      <x:c r="B296" s="6" t="str">
        <x:v>字段</x:v>
      </x:c>
      <x:c r="C296" s="18" t="n">
        <x:v>1</x:v>
      </x:c>
      <x:c r="D296" s="6" t="str">
        <x:v>比亚迪股份有限公司</x:v>
      </x:c>
      <x:c r="E296" s="6" t="str">
        <x:v>管理费用</x:v>
      </x:c>
      <x:c r="F296" s="14" t="str">
        <x:v>20199944</x:v>
      </x:c>
      <x:c r="G296" s="6" t="str">
        <x:v>人民币千元</x:v>
      </x:c>
      <x:c r="H296" s="13" t="d">
        <x:v>2026-03-28T00:00:00.000Z</x:v>
      </x:c>
      <x:c r="I296" s="6" t="str">
        <x:v>[PDF物理第126页；报告印刷第126页] 销售费用                                             47          26,184,568          24,085,317
           管理费用                                             48          20,199,944          18,644,661
           研发费用                                             49          57,978,105          53,194,745
           财务费用                                             50             (649,350 )        1,216,206</x:v>
      </x:c>
      <x:c r="J296" s="6" t="str">
        <x:v>F001</x:v>
      </x:c>
      <x:c r="K296" s="6" t="str">
        <x:v>纳入核验字段</x:v>
      </x:c>
      <x:c r="L296" s="6" t="str">
        <x:v>官方披露已核验</x:v>
      </x:c>
    </x:row>
    <x:row r="297" ht="152" customHeight="1">
      <x:c r="A297" s="6" t="str">
        <x:v>R0286</x:v>
      </x:c>
      <x:c r="B297" s="6" t="str">
        <x:v>字段</x:v>
      </x:c>
      <x:c r="C297" s="18" t="n">
        <x:v>1</x:v>
      </x:c>
      <x:c r="D297" s="6" t="str">
        <x:v>比亚迪股份有限公司</x:v>
      </x:c>
      <x:c r="E297" s="6" t="str">
        <x:v>研发费用</x:v>
      </x:c>
      <x:c r="F297" s="14" t="str">
        <x:v>57978105</x:v>
      </x:c>
      <x:c r="G297" s="6" t="str">
        <x:v>人民币千元</x:v>
      </x:c>
      <x:c r="H297" s="13" t="d">
        <x:v>2026-03-28T00:00:00.000Z</x:v>
      </x:c>
      <x:c r="I297" s="6" t="str">
        <x:v>[PDF物理第126页；报告印刷第126页] 管理费用                                             48          20,199,944          18,644,661
           研发费用                                             49          57,978,105          53,194,745
           财务费用                                             50             (649,350 )        1,216,206
             其中：利息费用                                        50            2,551,657          2,093,781</x:v>
      </x:c>
      <x:c r="J297" s="6" t="str">
        <x:v>F001</x:v>
      </x:c>
      <x:c r="K297" s="6" t="str">
        <x:v>纳入核验字段</x:v>
      </x:c>
      <x:c r="L297" s="6" t="str">
        <x:v>官方披露已核验</x:v>
      </x:c>
    </x:row>
    <x:row r="298" ht="152" customHeight="1">
      <x:c r="A298" s="6" t="str">
        <x:v>R0287</x:v>
      </x:c>
      <x:c r="B298" s="6" t="str">
        <x:v>字段</x:v>
      </x:c>
      <x:c r="C298" s="18" t="n">
        <x:v>1</x:v>
      </x:c>
      <x:c r="D298" s="6" t="str">
        <x:v>比亚迪股份有限公司</x:v>
      </x:c>
      <x:c r="E298" s="6" t="str">
        <x:v>财务费用</x:v>
      </x:c>
      <x:c r="F298" s="6" t="str">
        <x:v>-649350</x:v>
      </x:c>
      <x:c r="G298" s="6" t="str">
        <x:v>人民币千元</x:v>
      </x:c>
      <x:c r="H298" s="13" t="d">
        <x:v>2026-03-28T00:00:00.000Z</x:v>
      </x:c>
      <x:c r="I298" s="6" t="str">
        <x:v>[PDF物理第126页；报告印刷第126页] 研发费用                                             49          57,978,105          53,194,745
           财务费用                                             50             (649,350 )        1,216,206
             其中：利息费用                                        50            2,551,657          2,093,781
                    利息收入                                    50            2,436,953          2,483,756</x:v>
      </x:c>
      <x:c r="J298" s="6" t="str">
        <x:v>F001</x:v>
      </x:c>
      <x:c r="K298" s="6" t="str">
        <x:v>纳入核验字段</x:v>
      </x:c>
      <x:c r="L298" s="6" t="str">
        <x:v>官方披露已核验</x:v>
      </x:c>
    </x:row>
    <x:row r="299" ht="120" customHeight="1">
      <x:c r="A299" s="6" t="str">
        <x:v>R0288</x:v>
      </x:c>
      <x:c r="B299" s="6" t="str">
        <x:v>字段</x:v>
      </x:c>
      <x:c r="C299" s="18" t="n">
        <x:v>1</x:v>
      </x:c>
      <x:c r="D299" s="6" t="str">
        <x:v>比亚迪股份有限公司</x:v>
      </x:c>
      <x:c r="E299" s="6" t="str">
        <x:v>营业利润</x:v>
      </x:c>
      <x:c r="F299" s="14" t="str">
        <x:v>40184709</x:v>
      </x:c>
      <x:c r="G299" s="6" t="str">
        <x:v>人民币千元</x:v>
      </x:c>
      <x:c r="H299" s="13" t="d">
        <x:v>2026-03-28T00:00:00.000Z</x:v>
      </x:c>
      <x:c r="I299" s="6" t="str">
        <x:v>[PDF物理第126页；报告印刷第126页] 二、     营业利润                                                             40,184,709          50,486,047
       加：营业外收入                                              57            1,132,191          1,251,576
       减：营业外支出                                              58           1,563,851           2,056,946</x:v>
      </x:c>
      <x:c r="J299" s="6" t="str">
        <x:v>F001</x:v>
      </x:c>
      <x:c r="K299" s="6" t="str">
        <x:v>纳入核验字段</x:v>
      </x:c>
      <x:c r="L299" s="6" t="str">
        <x:v>官方披露已核验</x:v>
      </x:c>
    </x:row>
    <x:row r="300" ht="88" customHeight="1">
      <x:c r="A300" s="6" t="str">
        <x:v>R0289</x:v>
      </x:c>
      <x:c r="B300" s="6" t="str">
        <x:v>字段</x:v>
      </x:c>
      <x:c r="C300" s="18" t="n">
        <x:v>1</x:v>
      </x:c>
      <x:c r="D300" s="6" t="str">
        <x:v>比亚迪股份有限公司</x:v>
      </x:c>
      <x:c r="E300" s="6" t="str">
        <x:v>利润总额</x:v>
      </x:c>
      <x:c r="F300" s="14" t="str">
        <x:v>39753049</x:v>
      </x:c>
      <x:c r="G300" s="6" t="str">
        <x:v>人民币千元</x:v>
      </x:c>
      <x:c r="H300" s="13" t="d">
        <x:v>2026-03-28T00:00:00.000Z</x:v>
      </x:c>
      <x:c r="I300" s="6" t="str">
        <x:v>[PDF物理第126页；报告印刷第126页] 三、     利润总额                                                             39,753,049          49,680,677
       减：所得税费用                                              59            5,992,291          8,092,737</x:v>
      </x:c>
      <x:c r="J300" s="6" t="str">
        <x:v>F001</x:v>
      </x:c>
      <x:c r="K300" s="6" t="str">
        <x:v>纳入核验字段</x:v>
      </x:c>
      <x:c r="L300" s="6" t="str">
        <x:v>官方披露已核验</x:v>
      </x:c>
    </x:row>
    <x:row r="301" ht="120" customHeight="1">
      <x:c r="A301" s="6" t="str">
        <x:v>R0290</x:v>
      </x:c>
      <x:c r="B301" s="6" t="str">
        <x:v>字段</x:v>
      </x:c>
      <x:c r="C301" s="18" t="n">
        <x:v>1</x:v>
      </x:c>
      <x:c r="D301" s="6" t="str">
        <x:v>比亚迪股份有限公司</x:v>
      </x:c>
      <x:c r="E301" s="6" t="str">
        <x:v>所得税费用</x:v>
      </x:c>
      <x:c r="F301" s="14" t="str">
        <x:v>5992291</x:v>
      </x:c>
      <x:c r="G301" s="6" t="str">
        <x:v>人民币千元</x:v>
      </x:c>
      <x:c r="H301" s="13" t="d">
        <x:v>2026-03-28T00:00:00.000Z</x:v>
      </x:c>
      <x:c r="I301" s="6" t="str">
        <x:v>[PDF物理第126页；报告印刷第126页] 三、     利润总额                                                             39,753,049          49,680,677
       减：所得税费用                                              59            5,992,291          8,092,737
四、     净利润                                                              33,760,758          41,587,940</x:v>
      </x:c>
      <x:c r="J301" s="6" t="str">
        <x:v>F001</x:v>
      </x:c>
      <x:c r="K301" s="6" t="str">
        <x:v>纳入核验字段</x:v>
      </x:c>
      <x:c r="L301" s="6" t="str">
        <x:v>官方披露已核验</x:v>
      </x:c>
    </x:row>
    <x:row r="302" ht="56" customHeight="1">
      <x:c r="A302" s="6" t="str">
        <x:v>R0291</x:v>
      </x:c>
      <x:c r="B302" s="6" t="str">
        <x:v>字段</x:v>
      </x:c>
      <x:c r="C302" s="18" t="n">
        <x:v>1</x:v>
      </x:c>
      <x:c r="D302" s="6" t="str">
        <x:v>比亚迪股份有限公司</x:v>
      </x:c>
      <x:c r="E302" s="6" t="str">
        <x:v>净利润（含少数股东损益）</x:v>
      </x:c>
      <x:c r="F302" s="14" t="str">
        <x:v>33760758</x:v>
      </x:c>
      <x:c r="G302" s="6" t="str">
        <x:v>人民币千元</x:v>
      </x:c>
      <x:c r="H302" s="13" t="d">
        <x:v>2026-03-28T00:00:00.000Z</x:v>
      </x:c>
      <x:c r="I302" s="6" t="str">
        <x:v>[PDF物理第126页；报告印刷第126页] 四、     净利润                                                              33,760,758          41,587,940
五、     按经营持续性分类</x:v>
      </x:c>
      <x:c r="J302" s="6" t="str">
        <x:v>F001</x:v>
      </x:c>
      <x:c r="K302" s="6" t="str">
        <x:v>纳入核验字段</x:v>
      </x:c>
      <x:c r="L302" s="6" t="str">
        <x:v>官方披露已核验</x:v>
      </x:c>
    </x:row>
    <x:row r="303" ht="56" customHeight="1">
      <x:c r="A303" s="6" t="str">
        <x:v>R0292</x:v>
      </x:c>
      <x:c r="B303" s="6" t="str">
        <x:v>字段</x:v>
      </x:c>
      <x:c r="C303" s="18" t="n">
        <x:v>1</x:v>
      </x:c>
      <x:c r="D303" s="6" t="str">
        <x:v>比亚迪股份有限公司</x:v>
      </x:c>
      <x:c r="E303" s="6" t="str">
        <x:v>少数股东损益</x:v>
      </x:c>
      <x:c r="F303" s="14" t="str">
        <x:v>1141736</x:v>
      </x:c>
      <x:c r="G303" s="6" t="str">
        <x:v>人民币千元</x:v>
      </x:c>
      <x:c r="H303" s="13" t="d">
        <x:v>2026-03-28T00:00:00.000Z</x:v>
      </x:c>
      <x:c r="I303" s="6" t="str">
        <x:v>[PDF物理第126页；报告印刷第126页] 少数股东损益                                                            1,141,736           1,333,594
七、     每股收益(元/股)</x:v>
      </x:c>
      <x:c r="J303" s="6" t="str">
        <x:v>F001</x:v>
      </x:c>
      <x:c r="K303" s="6" t="str">
        <x:v>纳入核验字段</x:v>
      </x:c>
      <x:c r="L303" s="6" t="str">
        <x:v>官方披露已核验</x:v>
      </x:c>
    </x:row>
    <x:row r="304" ht="152" customHeight="1">
      <x:c r="A304" s="6" t="str">
        <x:v>R0293</x:v>
      </x:c>
      <x:c r="B304" s="6" t="str">
        <x:v>字段</x:v>
      </x:c>
      <x:c r="C304" s="18" t="n">
        <x:v>1</x:v>
      </x:c>
      <x:c r="D304" s="6" t="str">
        <x:v>比亚迪股份有限公司</x:v>
      </x:c>
      <x:c r="E304" s="6" t="str">
        <x:v>营业成本</x:v>
      </x:c>
      <x:c r="F304" s="14" t="str">
        <x:v>279826859</x:v>
      </x:c>
      <x:c r="G304" s="6" t="str">
        <x:v>人民币千元</x:v>
      </x:c>
      <x:c r="H304" s="13" t="d">
        <x:v>2026-08-29T00:00:00.000Z</x:v>
      </x:c>
      <x:c r="I304" s="6" t="str">
        <x:v>[PDF物理第67页；报告印刷第67页] 一、 营业收入                                                  45             344,815,421           371,280,948
     减：营业成本                                              45             279,826,859           304,415,089
         税金及附加                                           46               4,261,911             5,996,077
         销售费用                                            47              12,523,014            12,410</x:v>
      </x:c>
      <x:c r="J304" s="6" t="str">
        <x:v>F002</x:v>
      </x:c>
      <x:c r="K304" s="6" t="str">
        <x:v>纳入核验字段</x:v>
      </x:c>
      <x:c r="L304" s="6" t="str">
        <x:v>官方披露已核验</x:v>
      </x:c>
    </x:row>
    <x:row r="305" ht="34" customHeight="1">
      <x:c r="A305" s="6" t="str">
        <x:v>R0293</x:v>
      </x:c>
      <x:c r="B305" s="6" t="str">
        <x:v>字段</x:v>
      </x:c>
      <x:c r="C305" s="18" t="n">
        <x:v>2</x:v>
      </x:c>
      <x:c r="D305" s="6" t="str">
        <x:v>比亚迪股份有限公司</x:v>
      </x:c>
      <x:c r="E305" s="6" t="str">
        <x:v>营业成本</x:v>
      </x:c>
      <x:c r="F305" s="6" t="str"/>
      <x:c r="G305" s="6" t="str">
        <x:v>人民币千元</x:v>
      </x:c>
      <x:c r="H305" s="13" t="d">
        <x:v>2026-08-29T00:00:00.000Z</x:v>
      </x:c>
      <x:c r="I305" s="6" t="str">
        <x:v>,973</x:v>
      </x:c>
      <x:c r="J305" s="6" t="str">
        <x:v>F002</x:v>
      </x:c>
      <x:c r="K305" s="6" t="str">
        <x:v>纳入核验字段</x:v>
      </x:c>
      <x:c r="L305" s="6" t="str"/>
    </x:row>
    <x:row r="306" ht="152" customHeight="1">
      <x:c r="A306" s="6" t="str">
        <x:v>R0294</x:v>
      </x:c>
      <x:c r="B306" s="6" t="str">
        <x:v>字段</x:v>
      </x:c>
      <x:c r="C306" s="18" t="n">
        <x:v>1</x:v>
      </x:c>
      <x:c r="D306" s="6" t="str">
        <x:v>比亚迪股份有限公司</x:v>
      </x:c>
      <x:c r="E306" s="6" t="str">
        <x:v>销售费用</x:v>
      </x:c>
      <x:c r="F306" s="14" t="str">
        <x:v>12523014</x:v>
      </x:c>
      <x:c r="G306" s="6" t="str">
        <x:v>人民币千元</x:v>
      </x:c>
      <x:c r="H306" s="13" t="d">
        <x:v>2026-08-29T00:00:00.000Z</x:v>
      </x:c>
      <x:c r="I306" s="6" t="str">
        <x:v>[PDF物理第67页；报告印刷第67页] 税金及附加                                           46               4,261,911             5,996,077
         销售费用                                            47              12,523,014            12,410,973
         管理费用                                            48              10,365,436            10,386,267
         研发费用                                            49              23,307,152            29,596,366</x:v>
      </x:c>
      <x:c r="J306" s="6" t="str">
        <x:v>F002</x:v>
      </x:c>
      <x:c r="K306" s="6" t="str">
        <x:v>纳入核验字段</x:v>
      </x:c>
      <x:c r="L306" s="6" t="str">
        <x:v>官方披露已核验</x:v>
      </x:c>
    </x:row>
    <x:row r="307" ht="152" customHeight="1">
      <x:c r="A307" s="6" t="str">
        <x:v>R0295</x:v>
      </x:c>
      <x:c r="B307" s="6" t="str">
        <x:v>字段</x:v>
      </x:c>
      <x:c r="C307" s="18" t="n">
        <x:v>1</x:v>
      </x:c>
      <x:c r="D307" s="6" t="str">
        <x:v>比亚迪股份有限公司</x:v>
      </x:c>
      <x:c r="E307" s="6" t="str">
        <x:v>管理费用</x:v>
      </x:c>
      <x:c r="F307" s="14" t="str">
        <x:v>10365436</x:v>
      </x:c>
      <x:c r="G307" s="6" t="str">
        <x:v>人民币千元</x:v>
      </x:c>
      <x:c r="H307" s="13" t="d">
        <x:v>2026-08-29T00:00:00.000Z</x:v>
      </x:c>
      <x:c r="I307" s="6" t="str">
        <x:v>[PDF物理第67页；报告印刷第67页] 销售费用                                            47              12,523,014            12,410,973
         管理费用                                            48              10,365,436            10,386,267
         研发费用                                            49              23,307,152            29,596,366
         财务费用                                            50               5,096,026            (3,247,033 )</x:v>
      </x:c>
      <x:c r="J307" s="6" t="str">
        <x:v>F002</x:v>
      </x:c>
      <x:c r="K307" s="6" t="str">
        <x:v>纳入核验字段</x:v>
      </x:c>
      <x:c r="L307" s="6" t="str">
        <x:v>官方披露已核验</x:v>
      </x:c>
    </x:row>
    <x:row r="308" ht="152" customHeight="1">
      <x:c r="A308" s="6" t="str">
        <x:v>R0296</x:v>
      </x:c>
      <x:c r="B308" s="6" t="str">
        <x:v>字段</x:v>
      </x:c>
      <x:c r="C308" s="18" t="n">
        <x:v>1</x:v>
      </x:c>
      <x:c r="D308" s="6" t="str">
        <x:v>比亚迪股份有限公司</x:v>
      </x:c>
      <x:c r="E308" s="6" t="str">
        <x:v>研发费用</x:v>
      </x:c>
      <x:c r="F308" s="14" t="str">
        <x:v>23307152</x:v>
      </x:c>
      <x:c r="G308" s="6" t="str">
        <x:v>人民币千元</x:v>
      </x:c>
      <x:c r="H308" s="13" t="d">
        <x:v>2026-08-29T00:00:00.000Z</x:v>
      </x:c>
      <x:c r="I308" s="6" t="str">
        <x:v>[PDF物理第67页；报告印刷第67页] 管理费用                                            48              10,365,436            10,386,267
         研发费用                                            49              23,307,152            29,596,366
         财务费用                                            50               5,096,026            (3,247,033 )
           其中：利息费用                                       50               1,915,063               972,045</x:v>
      </x:c>
      <x:c r="J308" s="6" t="str">
        <x:v>F002</x:v>
      </x:c>
      <x:c r="K308" s="6" t="str">
        <x:v>纳入核验字段</x:v>
      </x:c>
      <x:c r="L308" s="6" t="str">
        <x:v>官方披露已核验</x:v>
      </x:c>
    </x:row>
    <x:row r="309" ht="152" customHeight="1">
      <x:c r="A309" s="6" t="str">
        <x:v>R0297</x:v>
      </x:c>
      <x:c r="B309" s="6" t="str">
        <x:v>字段</x:v>
      </x:c>
      <x:c r="C309" s="18" t="n">
        <x:v>1</x:v>
      </x:c>
      <x:c r="D309" s="6" t="str">
        <x:v>比亚迪股份有限公司</x:v>
      </x:c>
      <x:c r="E309" s="6" t="str">
        <x:v>财务费用</x:v>
      </x:c>
      <x:c r="F309" s="14" t="str">
        <x:v>5096026</x:v>
      </x:c>
      <x:c r="G309" s="6" t="str">
        <x:v>人民币千元</x:v>
      </x:c>
      <x:c r="H309" s="13" t="d">
        <x:v>2026-08-29T00:00:00.000Z</x:v>
      </x:c>
      <x:c r="I309" s="6" t="str">
        <x:v>[PDF物理第67页；报告印刷第67页] 研发费用                                            49              23,307,152            29,596,366
         财务费用                                            50               5,096,026            (3,247,033 )
           其中：利息费用                                       50               1,915,063               972,045
                 利息收入                                    50               1,696,913             1,078,159</x:v>
      </x:c>
      <x:c r="J309" s="6" t="str">
        <x:v>F002</x:v>
      </x:c>
      <x:c r="K309" s="6" t="str">
        <x:v>纳入核验字段</x:v>
      </x:c>
      <x:c r="L309" s="6" t="str">
        <x:v>官方披露已核验</x:v>
      </x:c>
    </x:row>
    <x:row r="310" ht="120" customHeight="1">
      <x:c r="A310" s="6" t="str">
        <x:v>R0298</x:v>
      </x:c>
      <x:c r="B310" s="6" t="str">
        <x:v>字段</x:v>
      </x:c>
      <x:c r="C310" s="18" t="n">
        <x:v>1</x:v>
      </x:c>
      <x:c r="D310" s="6" t="str">
        <x:v>比亚迪股份有限公司</x:v>
      </x:c>
      <x:c r="E310" s="6" t="str">
        <x:v>营业利润</x:v>
      </x:c>
      <x:c r="F310" s="14" t="str">
        <x:v>14743578</x:v>
      </x:c>
      <x:c r="G310" s="6" t="str">
        <x:v>人民币千元</x:v>
      </x:c>
      <x:c r="H310" s="13" t="d">
        <x:v>2026-08-29T00:00:00.000Z</x:v>
      </x:c>
      <x:c r="I310" s="6" t="str">
        <x:v>[PDF物理第67页；报告印刷第67页] 二、 营业利润                                                                  14,743,578            18,719,509
     加：营业外收入                                             57                 267,415               805,131
     减：营业外支出                                             58                 396,906               614,625</x:v>
      </x:c>
      <x:c r="J310" s="6" t="str">
        <x:v>F002</x:v>
      </x:c>
      <x:c r="K310" s="6" t="str">
        <x:v>纳入核验字段</x:v>
      </x:c>
      <x:c r="L310" s="6" t="str">
        <x:v>官方披露已核验</x:v>
      </x:c>
    </x:row>
    <x:row r="311" ht="88" customHeight="1">
      <x:c r="A311" s="6" t="str">
        <x:v>R0299</x:v>
      </x:c>
      <x:c r="B311" s="6" t="str">
        <x:v>字段</x:v>
      </x:c>
      <x:c r="C311" s="18" t="n">
        <x:v>1</x:v>
      </x:c>
      <x:c r="D311" s="6" t="str">
        <x:v>比亚迪股份有限公司</x:v>
      </x:c>
      <x:c r="E311" s="6" t="str">
        <x:v>利润总额</x:v>
      </x:c>
      <x:c r="F311" s="14" t="str">
        <x:v>14614087</x:v>
      </x:c>
      <x:c r="G311" s="6" t="str">
        <x:v>人民币千元</x:v>
      </x:c>
      <x:c r="H311" s="13" t="d">
        <x:v>2026-08-29T00:00:00.000Z</x:v>
      </x:c>
      <x:c r="I311" s="6" t="str">
        <x:v>[PDF物理第67页；报告印刷第67页] 三、 利润总额                                                                  14,614,087            18,910,015
     减：所得税费用                                             59               2,280,028             2,871,076</x:v>
      </x:c>
      <x:c r="J311" s="6" t="str">
        <x:v>F002</x:v>
      </x:c>
      <x:c r="K311" s="6" t="str">
        <x:v>纳入核验字段</x:v>
      </x:c>
      <x:c r="L311" s="6" t="str">
        <x:v>官方披露已核验</x:v>
      </x:c>
    </x:row>
    <x:row r="312" ht="120" customHeight="1">
      <x:c r="A312" s="6" t="str">
        <x:v>R0300</x:v>
      </x:c>
      <x:c r="B312" s="6" t="str">
        <x:v>字段</x:v>
      </x:c>
      <x:c r="C312" s="18" t="n">
        <x:v>1</x:v>
      </x:c>
      <x:c r="D312" s="6" t="str">
        <x:v>比亚迪股份有限公司</x:v>
      </x:c>
      <x:c r="E312" s="6" t="str">
        <x:v>所得税费用</x:v>
      </x:c>
      <x:c r="F312" s="14" t="str">
        <x:v>2280028</x:v>
      </x:c>
      <x:c r="G312" s="6" t="str">
        <x:v>人民币千元</x:v>
      </x:c>
      <x:c r="H312" s="13" t="d">
        <x:v>2026-08-29T00:00:00.000Z</x:v>
      </x:c>
      <x:c r="I312" s="6" t="str">
        <x:v>[PDF物理第67页；报告印刷第67页] 三、 利润总额                                                                  14,614,087            18,910,015
     减：所得税费用                                             59               2,280,028             2,871,076
四、 净利润                                                                   12,334,059            16,038,939</x:v>
      </x:c>
      <x:c r="J312" s="6" t="str">
        <x:v>F002</x:v>
      </x:c>
      <x:c r="K312" s="6" t="str">
        <x:v>纳入核验字段</x:v>
      </x:c>
      <x:c r="L312" s="6" t="str">
        <x:v>官方披露已核验</x:v>
      </x:c>
    </x:row>
    <x:row r="313" ht="56" customHeight="1">
      <x:c r="A313" s="6" t="str">
        <x:v>R0301</x:v>
      </x:c>
      <x:c r="B313" s="6" t="str">
        <x:v>字段</x:v>
      </x:c>
      <x:c r="C313" s="18" t="n">
        <x:v>1</x:v>
      </x:c>
      <x:c r="D313" s="6" t="str">
        <x:v>比亚迪股份有限公司</x:v>
      </x:c>
      <x:c r="E313" s="6" t="str">
        <x:v>净利润（含少数股东损益）</x:v>
      </x:c>
      <x:c r="F313" s="14" t="str">
        <x:v>12334059</x:v>
      </x:c>
      <x:c r="G313" s="6" t="str">
        <x:v>人民币千元</x:v>
      </x:c>
      <x:c r="H313" s="13" t="d">
        <x:v>2026-08-29T00:00:00.000Z</x:v>
      </x:c>
      <x:c r="I313" s="6" t="str">
        <x:v>[PDF物理第67页；报告印刷第67页] 四、 净利润                                                                   12,334,059            16,038,939
五、 按经营持续性分类</x:v>
      </x:c>
      <x:c r="J313" s="6" t="str">
        <x:v>F002</x:v>
      </x:c>
      <x:c r="K313" s="6" t="str">
        <x:v>纳入核验字段</x:v>
      </x:c>
      <x:c r="L313" s="6" t="str">
        <x:v>官方披露已核验</x:v>
      </x:c>
    </x:row>
    <x:row r="314" ht="56" customHeight="1">
      <x:c r="A314" s="6" t="str">
        <x:v>R0302</x:v>
      </x:c>
      <x:c r="B314" s="6" t="str">
        <x:v>字段</x:v>
      </x:c>
      <x:c r="C314" s="18" t="n">
        <x:v>1</x:v>
      </x:c>
      <x:c r="D314" s="6" t="str">
        <x:v>比亚迪股份有限公司</x:v>
      </x:c>
      <x:c r="E314" s="6" t="str">
        <x:v>少数股东损益</x:v>
      </x:c>
      <x:c r="F314" s="14" t="str">
        <x:v>8651</x:v>
      </x:c>
      <x:c r="G314" s="6" t="str">
        <x:v>人民币千元</x:v>
      </x:c>
      <x:c r="H314" s="13" t="d">
        <x:v>2026-08-29T00:00:00.000Z</x:v>
      </x:c>
      <x:c r="I314" s="6" t="str">
        <x:v>[PDF物理第67页；报告印刷第67页] 少数股东损益                                                                   8,651               528,406</x:v>
      </x:c>
      <x:c r="J314" s="6" t="str">
        <x:v>F002</x:v>
      </x:c>
      <x:c r="K314" s="6" t="str">
        <x:v>纳入核验字段</x:v>
      </x:c>
      <x:c r="L314" s="6" t="str">
        <x:v>官方披露已核验</x:v>
      </x:c>
    </x:row>
    <x:row r="315" ht="88" customHeight="1">
      <x:c r="A315" s="6" t="str">
        <x:v>R0303</x:v>
      </x:c>
      <x:c r="B315" s="6" t="str">
        <x:v>字段</x:v>
      </x:c>
      <x:c r="C315" s="18" t="n">
        <x:v>1</x:v>
      </x:c>
      <x:c r="D315" s="6" t="str">
        <x:v>比亚迪股份有限公司</x:v>
      </x:c>
      <x:c r="E315" s="6" t="str">
        <x:v>研发人员数量</x:v>
      </x:c>
      <x:c r="F315" s="14" t="str">
        <x:v>127665</x:v>
      </x:c>
      <x:c r="G315" s="6" t="str">
        <x:v>人</x:v>
      </x:c>
      <x:c r="H315" s="13" t="d">
        <x:v>2026-03-28T00:00:00.000Z</x:v>
      </x:c>
      <x:c r="I315" s="6" t="str">
        <x:v>[PDF物理第39页；报告印刷第39页] 2025年              2024年             变动比例
   研发人员数量（人）                      127,665            121,598             4.99%
   研发人员数量占比                        14.68%             12.55%             2.13%
   研发人员学历结构</x:v>
      </x:c>
      <x:c r="J315" s="6" t="str">
        <x:v>F001</x:v>
      </x:c>
      <x:c r="K315" s="6" t="str">
        <x:v>纳入核验字段</x:v>
      </x:c>
      <x:c r="L315" s="6" t="str">
        <x:v>官方披露已核验</x:v>
      </x:c>
    </x:row>
    <x:row r="316" ht="104" customHeight="1">
      <x:c r="A316" s="6" t="str">
        <x:v>R0304</x:v>
      </x:c>
      <x:c r="B316" s="6" t="str">
        <x:v>字段</x:v>
      </x:c>
      <x:c r="C316" s="18" t="n">
        <x:v>1</x:v>
      </x:c>
      <x:c r="D316" s="6" t="str">
        <x:v>比亚迪股份有限公司</x:v>
      </x:c>
      <x:c r="E316" s="6" t="str">
        <x:v>研发人员数量占比</x:v>
      </x:c>
      <x:c r="F316" s="6" t="str">
        <x:v>14.68</x:v>
      </x:c>
      <x:c r="G316" s="6" t="str">
        <x:v>%</x:v>
      </x:c>
      <x:c r="H316" s="13" t="d">
        <x:v>2026-03-28T00:00:00.000Z</x:v>
      </x:c>
      <x:c r="I316" s="6" t="str">
        <x:v>[PDF物理第39页；报告印刷第39页] 研发人员数量（人）                      127,665            121,598             4.99%
   研发人员数量占比                        14.68%             12.55%             2.13%
   研发人员学历结构
   本科（人）                           55,564             53,222             4.40%</x:v>
      </x:c>
      <x:c r="J316" s="6" t="str">
        <x:v>F001</x:v>
      </x:c>
      <x:c r="K316" s="6" t="str">
        <x:v>纳入核验字段</x:v>
      </x:c>
      <x:c r="L316" s="6" t="str">
        <x:v>官方披露已核验</x:v>
      </x:c>
    </x:row>
    <x:row r="317" ht="104" customHeight="1">
      <x:c r="A317" s="6" t="str">
        <x:v>R0305</x:v>
      </x:c>
      <x:c r="B317" s="6" t="str">
        <x:v>字段</x:v>
      </x:c>
      <x:c r="C317" s="18" t="n">
        <x:v>1</x:v>
      </x:c>
      <x:c r="D317" s="6" t="str">
        <x:v>比亚迪股份有限公司</x:v>
      </x:c>
      <x:c r="E317" s="6" t="str">
        <x:v>研发投入金额</x:v>
      </x:c>
      <x:c r="F317" s="14" t="str">
        <x:v>63441379000</x:v>
      </x:c>
      <x:c r="G317" s="6" t="str">
        <x:v>人民币元</x:v>
      </x:c>
      <x:c r="H317" s="13" t="d">
        <x:v>2026-03-28T00:00:00.000Z</x:v>
      </x:c>
      <x:c r="I317" s="6" t="str">
        <x:v>[PDF物理第39页；报告印刷第39页] 2025年            2024年           变动比例
   研发投入金额（元）                   63,441,379,000.00 54,160,964,000.00      17.13%
   研发投入占营业收入比例                         7.89%            6.97%            0.92%
   研发投入资本化的金额（元）               5,463,274,000.00   966,219,000.00        465.43%</x:v>
      </x:c>
      <x:c r="J317" s="6" t="str">
        <x:v>F001</x:v>
      </x:c>
      <x:c r="K317" s="6" t="str">
        <x:v>纳入核验字段</x:v>
      </x:c>
      <x:c r="L317" s="6" t="str">
        <x:v>官方披露已核验</x:v>
      </x:c>
    </x:row>
    <x:row r="318" ht="120" customHeight="1">
      <x:c r="A318" s="6" t="str">
        <x:v>R0306</x:v>
      </x:c>
      <x:c r="B318" s="6" t="str">
        <x:v>字段</x:v>
      </x:c>
      <x:c r="C318" s="18" t="n">
        <x:v>1</x:v>
      </x:c>
      <x:c r="D318" s="6" t="str">
        <x:v>比亚迪股份有限公司</x:v>
      </x:c>
      <x:c r="E318" s="6" t="str">
        <x:v>研发投入占营业收入比例</x:v>
      </x:c>
      <x:c r="F318" s="6" t="str">
        <x:v>7.89</x:v>
      </x:c>
      <x:c r="G318" s="6" t="str">
        <x:v>%</x:v>
      </x:c>
      <x:c r="H318" s="13" t="d">
        <x:v>2026-03-28T00:00:00.000Z</x:v>
      </x:c>
      <x:c r="I318" s="6" t="str">
        <x:v>[PDF物理第39页；报告印刷第39页] 研发投入金额（元）                   63,441,379,000.00 54,160,964,000.00      17.13%
   研发投入占营业收入比例                         7.89%            6.97%            0.92%
   研发投入资本化的金额（元）               5,463,274,000.00   966,219,000.00        465.43%
   资本化研发投入占研发投入的比例                     8.61%            1.78%            6.83%</x:v>
      </x:c>
      <x:c r="J318" s="6" t="str">
        <x:v>F001</x:v>
      </x:c>
      <x:c r="K318" s="6" t="str">
        <x:v>纳入核验字段</x:v>
      </x:c>
      <x:c r="L318" s="6" t="str">
        <x:v>官方披露已核验</x:v>
      </x:c>
    </x:row>
    <x:row r="319" ht="104" customHeight="1">
      <x:c r="A319" s="6" t="str">
        <x:v>R0307</x:v>
      </x:c>
      <x:c r="B319" s="6" t="str">
        <x:v>字段</x:v>
      </x:c>
      <x:c r="C319" s="18" t="n">
        <x:v>1</x:v>
      </x:c>
      <x:c r="D319" s="6" t="str">
        <x:v>比亚迪股份有限公司</x:v>
      </x:c>
      <x:c r="E319" s="6" t="str">
        <x:v>资本化研发投入金额</x:v>
      </x:c>
      <x:c r="F319" s="14" t="str">
        <x:v>5463274000</x:v>
      </x:c>
      <x:c r="G319" s="6" t="str">
        <x:v>人民币元</x:v>
      </x:c>
      <x:c r="H319" s="13" t="d">
        <x:v>2026-03-28T00:00:00.000Z</x:v>
      </x:c>
      <x:c r="I319" s="6" t="str">
        <x:v>[PDF物理第39页；报告印刷第39页] 研发投入占营业收入比例                         7.89%            6.97%            0.92%
   研发投入资本化的金额（元）               5,463,274,000.00   966,219,000.00        465.43%
   资本化研发投入占研发投入的比例                     8.61%            1.78%            6.83%</x:v>
      </x:c>
      <x:c r="J319" s="6" t="str">
        <x:v>F001</x:v>
      </x:c>
      <x:c r="K319" s="6" t="str">
        <x:v>纳入核验字段</x:v>
      </x:c>
      <x:c r="L319" s="6" t="str">
        <x:v>官方披露已核验</x:v>
      </x:c>
    </x:row>
    <x:row r="320" ht="72" customHeight="1">
      <x:c r="A320" s="6" t="str">
        <x:v>R0308</x:v>
      </x:c>
      <x:c r="B320" s="6" t="str">
        <x:v>字段</x:v>
      </x:c>
      <x:c r="C320" s="18" t="n">
        <x:v>1</x:v>
      </x:c>
      <x:c r="D320" s="6" t="str">
        <x:v>比亚迪股份有限公司</x:v>
      </x:c>
      <x:c r="E320" s="6" t="str">
        <x:v>资本化研发投入占研发投入比例</x:v>
      </x:c>
      <x:c r="F320" s="6" t="str">
        <x:v>8.61</x:v>
      </x:c>
      <x:c r="G320" s="6" t="str">
        <x:v>%</x:v>
      </x:c>
      <x:c r="H320" s="13" t="d">
        <x:v>2026-03-28T00:00:00.000Z</x:v>
      </x:c>
      <x:c r="I320" s="6" t="str">
        <x:v>[PDF物理第39页；报告印刷第39页] 研发投入资本化的金额（元）               5,463,274,000.00   966,219,000.00        465.43%
   资本化研发投入占研发投入的比例                     8.61%            1.78%            6.83%</x:v>
      </x:c>
      <x:c r="J320" s="6" t="str">
        <x:v>F001</x:v>
      </x:c>
      <x:c r="K320" s="6" t="str">
        <x:v>纳入核验字段</x:v>
      </x:c>
      <x:c r="L320" s="6" t="str">
        <x:v>官方披露已核验</x:v>
      </x:c>
    </x:row>
    <x:row r="321" ht="88" customHeight="1">
      <x:c r="A321" s="6" t="str">
        <x:v>R0309</x:v>
      </x:c>
      <x:c r="B321" s="6" t="str">
        <x:v>字段</x:v>
      </x:c>
      <x:c r="C321" s="18" t="n">
        <x:v>1</x:v>
      </x:c>
      <x:c r="D321" s="6" t="str">
        <x:v>比亚迪股份有限公司</x:v>
      </x:c>
      <x:c r="E321" s="6" t="str">
        <x:v>母公司在职员工数量</x:v>
      </x:c>
      <x:c r="F321" s="14" t="str">
        <x:v>2075</x:v>
      </x:c>
      <x:c r="G321" s="6" t="str">
        <x:v>人</x:v>
      </x:c>
      <x:c r="H321" s="13" t="d">
        <x:v>2026-03-28T00:00:00.000Z</x:v>
      </x:c>
      <x:c r="I321" s="6" t="str">
        <x:v>[PDF物理第69页；报告印刷第69页] 报告期末母公司在职员工的数量（人）                                                 2,075
报告期末主要子公司在职员工的数量（人）                                              867,547
报告期末在职员工的数量合计（人）                                                 869,622</x:v>
      </x:c>
      <x:c r="J321" s="6" t="str">
        <x:v>F001</x:v>
      </x:c>
      <x:c r="K321" s="6" t="str">
        <x:v>纳入核验字段</x:v>
      </x:c>
      <x:c r="L321" s="6" t="str">
        <x:v>官方披露已核验</x:v>
      </x:c>
    </x:row>
    <x:row r="322" ht="120" customHeight="1">
      <x:c r="A322" s="6" t="str">
        <x:v>R0310</x:v>
      </x:c>
      <x:c r="B322" s="6" t="str">
        <x:v>字段</x:v>
      </x:c>
      <x:c r="C322" s="18" t="n">
        <x:v>1</x:v>
      </x:c>
      <x:c r="D322" s="6" t="str">
        <x:v>比亚迪股份有限公司</x:v>
      </x:c>
      <x:c r="E322" s="6" t="str">
        <x:v>主要子公司在职员工数量</x:v>
      </x:c>
      <x:c r="F322" s="14" t="str">
        <x:v>867547</x:v>
      </x:c>
      <x:c r="G322" s="6" t="str">
        <x:v>人</x:v>
      </x:c>
      <x:c r="H322" s="13" t="d">
        <x:v>2026-03-28T00:00:00.000Z</x:v>
      </x:c>
      <x:c r="I322" s="6" t="str">
        <x:v>[PDF物理第69页；报告印刷第69页] 报告期末母公司在职员工的数量（人）                                                 2,075
报告期末主要子公司在职员工的数量（人）                                              867,547
报告期末在职员工的数量合计（人）                                                 869,622
当期领取薪酬员工总人数（人）                                                   869,622</x:v>
      </x:c>
      <x:c r="J322" s="6" t="str">
        <x:v>F001</x:v>
      </x:c>
      <x:c r="K322" s="6" t="str">
        <x:v>纳入核验字段</x:v>
      </x:c>
      <x:c r="L322" s="6" t="str">
        <x:v>官方披露已核验</x:v>
      </x:c>
    </x:row>
    <x:row r="323" ht="120" customHeight="1">
      <x:c r="A323" s="6" t="str">
        <x:v>R0311</x:v>
      </x:c>
      <x:c r="B323" s="6" t="str">
        <x:v>字段</x:v>
      </x:c>
      <x:c r="C323" s="18" t="n">
        <x:v>1</x:v>
      </x:c>
      <x:c r="D323" s="6" t="str">
        <x:v>比亚迪股份有限公司</x:v>
      </x:c>
      <x:c r="E323" s="6" t="str">
        <x:v>在职员工数量合计</x:v>
      </x:c>
      <x:c r="F323" s="14" t="str">
        <x:v>869622</x:v>
      </x:c>
      <x:c r="G323" s="6" t="str">
        <x:v>人</x:v>
      </x:c>
      <x:c r="H323" s="13" t="d">
        <x:v>2026-03-28T00:00:00.000Z</x:v>
      </x:c>
      <x:c r="I323" s="6" t="str">
        <x:v>[PDF物理第69页；报告印刷第69页] 报告期末主要子公司在职员工的数量（人）                                              867,547
报告期末在职员工的数量合计（人）                                                 869,622
当期领取薪酬员工总人数（人）                                                   869,622
母公司及主要子公司需承担费用的离退休职工人数（人）                                            0</x:v>
      </x:c>
      <x:c r="J323" s="6" t="str">
        <x:v>F001</x:v>
      </x:c>
      <x:c r="K323" s="6" t="str">
        <x:v>纳入核验字段</x:v>
      </x:c>
      <x:c r="L323" s="6" t="str">
        <x:v>官方披露已核验</x:v>
      </x:c>
    </x:row>
    <x:row r="324" ht="104" customHeight="1">
      <x:c r="A324" s="6" t="str">
        <x:v>R0312</x:v>
      </x:c>
      <x:c r="B324" s="6" t="str">
        <x:v>字段</x:v>
      </x:c>
      <x:c r="C324" s="18" t="n">
        <x:v>1</x:v>
      </x:c>
      <x:c r="D324" s="6" t="str">
        <x:v>比亚迪股份有限公司</x:v>
      </x:c>
      <x:c r="E324" s="6" t="str">
        <x:v>生产人员数量</x:v>
      </x:c>
      <x:c r="F324" s="14" t="str">
        <x:v>665812</x:v>
      </x:c>
      <x:c r="G324" s="6" t="str">
        <x:v>人</x:v>
      </x:c>
      <x:c r="H324" s="13" t="d">
        <x:v>2026-03-28T00:00:00.000Z</x:v>
      </x:c>
      <x:c r="I324" s="6" t="str">
        <x:v>[PDF物理第69页；报告印刷第69页] 专业构成类别                           专业构成人数（人）
生产人员                                                             665,812
销售人员                                                              40,348
技术人员                                                             127,665</x:v>
      </x:c>
      <x:c r="J324" s="6" t="str">
        <x:v>F001</x:v>
      </x:c>
      <x:c r="K324" s="6" t="str">
        <x:v>纳入核验字段</x:v>
      </x:c>
      <x:c r="L324" s="6" t="str">
        <x:v>官方披露已核验</x:v>
      </x:c>
    </x:row>
    <x:row r="325" ht="120" customHeight="1">
      <x:c r="A325" s="6" t="str">
        <x:v>R0313</x:v>
      </x:c>
      <x:c r="B325" s="6" t="str">
        <x:v>字段</x:v>
      </x:c>
      <x:c r="C325" s="18" t="n">
        <x:v>1</x:v>
      </x:c>
      <x:c r="D325" s="6" t="str">
        <x:v>比亚迪股份有限公司</x:v>
      </x:c>
      <x:c r="E325" s="6" t="str">
        <x:v>销售人员数量</x:v>
      </x:c>
      <x:c r="F325" s="14" t="str">
        <x:v>40348</x:v>
      </x:c>
      <x:c r="G325" s="6" t="str">
        <x:v>人</x:v>
      </x:c>
      <x:c r="H325" s="13" t="d">
        <x:v>2026-03-28T00:00:00.000Z</x:v>
      </x:c>
      <x:c r="I325" s="6" t="str">
        <x:v>[PDF物理第69页；报告印刷第69页] 生产人员                                                             665,812
销售人员                                                              40,348
技术人员                                                             127,665
财务人员                                                              2,075</x:v>
      </x:c>
      <x:c r="J325" s="6" t="str">
        <x:v>F001</x:v>
      </x:c>
      <x:c r="K325" s="6" t="str">
        <x:v>纳入核验字段</x:v>
      </x:c>
      <x:c r="L325" s="6" t="str">
        <x:v>官方披露已核验</x:v>
      </x:c>
    </x:row>
    <x:row r="326" ht="120" customHeight="1">
      <x:c r="A326" s="6" t="str">
        <x:v>R0314</x:v>
      </x:c>
      <x:c r="B326" s="6" t="str">
        <x:v>字段</x:v>
      </x:c>
      <x:c r="C326" s="18" t="n">
        <x:v>1</x:v>
      </x:c>
      <x:c r="D326" s="6" t="str">
        <x:v>比亚迪股份有限公司</x:v>
      </x:c>
      <x:c r="E326" s="6" t="str">
        <x:v>技术人员数量</x:v>
      </x:c>
      <x:c r="F326" s="14" t="str">
        <x:v>127665</x:v>
      </x:c>
      <x:c r="G326" s="6" t="str">
        <x:v>人</x:v>
      </x:c>
      <x:c r="H326" s="13" t="d">
        <x:v>2026-03-28T00:00:00.000Z</x:v>
      </x:c>
      <x:c r="I326" s="6" t="str">
        <x:v>[PDF物理第69页；报告印刷第69页] 销售人员                                                              40,348
技术人员                                                             127,665
财务人员                                                              2,075
行政人员                                                              33,722</x:v>
      </x:c>
      <x:c r="J326" s="6" t="str">
        <x:v>F001</x:v>
      </x:c>
      <x:c r="K326" s="6" t="str">
        <x:v>纳入核验字段</x:v>
      </x:c>
      <x:c r="L326" s="6" t="str">
        <x:v>官方披露已核验</x:v>
      </x:c>
    </x:row>
    <x:row r="327" ht="120" customHeight="1">
      <x:c r="A327" s="6" t="str">
        <x:v>R0315</x:v>
      </x:c>
      <x:c r="B327" s="6" t="str">
        <x:v>字段</x:v>
      </x:c>
      <x:c r="C327" s="18" t="n">
        <x:v>1</x:v>
      </x:c>
      <x:c r="D327" s="6" t="str">
        <x:v>比亚迪股份有限公司</x:v>
      </x:c>
      <x:c r="E327" s="6" t="str">
        <x:v>财务人员数量</x:v>
      </x:c>
      <x:c r="F327" s="14" t="str">
        <x:v>2075</x:v>
      </x:c>
      <x:c r="G327" s="6" t="str">
        <x:v>人</x:v>
      </x:c>
      <x:c r="H327" s="13" t="d">
        <x:v>2026-03-28T00:00:00.000Z</x:v>
      </x:c>
      <x:c r="I327" s="6" t="str">
        <x:v>[PDF物理第69页；报告印刷第69页] 技术人员                                                             127,665
财务人员                                                              2,075
行政人员                                                              33,722
合计                                                               869,622</x:v>
      </x:c>
      <x:c r="J327" s="6" t="str">
        <x:v>F001</x:v>
      </x:c>
      <x:c r="K327" s="6" t="str">
        <x:v>纳入核验字段</x:v>
      </x:c>
      <x:c r="L327" s="6" t="str">
        <x:v>官方披露已核验</x:v>
      </x:c>
    </x:row>
    <x:row r="328" ht="104" customHeight="1">
      <x:c r="A328" s="6" t="str">
        <x:v>R0316</x:v>
      </x:c>
      <x:c r="B328" s="6" t="str">
        <x:v>字段</x:v>
      </x:c>
      <x:c r="C328" s="18" t="n">
        <x:v>1</x:v>
      </x:c>
      <x:c r="D328" s="6" t="str">
        <x:v>比亚迪股份有限公司</x:v>
      </x:c>
      <x:c r="E328" s="6" t="str">
        <x:v>行政人员数量</x:v>
      </x:c>
      <x:c r="F328" s="14" t="str">
        <x:v>33722</x:v>
      </x:c>
      <x:c r="G328" s="6" t="str">
        <x:v>人</x:v>
      </x:c>
      <x:c r="H328" s="13" t="d">
        <x:v>2026-03-28T00:00:00.000Z</x:v>
      </x:c>
      <x:c r="I328" s="6" t="str">
        <x:v>[PDF物理第69页；报告印刷第69页] 财务人员                                                              2,075
行政人员                                                              33,722
合计                                                               869,622
                                教育程度</x:v>
      </x:c>
      <x:c r="J328" s="6" t="str">
        <x:v>F001</x:v>
      </x:c>
      <x:c r="K328" s="6" t="str">
        <x:v>纳入核验字段</x:v>
      </x:c>
      <x:c r="L328" s="6" t="str">
        <x:v>官方披露已核验</x:v>
      </x:c>
    </x:row>
    <x:row r="329" ht="104" customHeight="1">
      <x:c r="A329" s="6" t="str">
        <x:v>R0317</x:v>
      </x:c>
      <x:c r="B329" s="6" t="str">
        <x:v>字段</x:v>
      </x:c>
      <x:c r="C329" s="18" t="n">
        <x:v>1</x:v>
      </x:c>
      <x:c r="D329" s="6" t="str">
        <x:v>比亚迪股份有限公司</x:v>
      </x:c>
      <x:c r="E329" s="6" t="str">
        <x:v>硕士及以上员工人数</x:v>
      </x:c>
      <x:c r="F329" s="14" t="str">
        <x:v>43481</x:v>
      </x:c>
      <x:c r="G329" s="6" t="str">
        <x:v>人</x:v>
      </x:c>
      <x:c r="H329" s="13" t="d">
        <x:v>2026-03-28T00:00:00.000Z</x:v>
      </x:c>
      <x:c r="I329" s="6" t="str">
        <x:v>[PDF物理第69页；报告印刷第69页] 教育程度类别                              数量（人）
硕士及以上（人）                                                          43,481
本科（人）                                                            102,307
大专及以下（人）                                                         723,834</x:v>
      </x:c>
      <x:c r="J329" s="6" t="str">
        <x:v>F001</x:v>
      </x:c>
      <x:c r="K329" s="6" t="str">
        <x:v>纳入核验字段</x:v>
      </x:c>
      <x:c r="L329" s="6" t="str">
        <x:v>官方披露已核验</x:v>
      </x:c>
    </x:row>
    <x:row r="330" ht="120" customHeight="1">
      <x:c r="A330" s="6" t="str">
        <x:v>R0318</x:v>
      </x:c>
      <x:c r="B330" s="6" t="str">
        <x:v>字段</x:v>
      </x:c>
      <x:c r="C330" s="18" t="n">
        <x:v>1</x:v>
      </x:c>
      <x:c r="D330" s="6" t="str">
        <x:v>比亚迪股份有限公司</x:v>
      </x:c>
      <x:c r="E330" s="6" t="str">
        <x:v>本科员工人数</x:v>
      </x:c>
      <x:c r="F330" s="14" t="str">
        <x:v>102307</x:v>
      </x:c>
      <x:c r="G330" s="6" t="str">
        <x:v>人</x:v>
      </x:c>
      <x:c r="H330" s="13" t="d">
        <x:v>2026-03-28T00:00:00.000Z</x:v>
      </x:c>
      <x:c r="I330" s="6" t="str">
        <x:v>[PDF物理第69页；报告印刷第69页] 硕士及以上（人）                                                          43,481
本科（人）                                                            102,307
大专及以下（人）                                                         723,834
合计                                                               869,622</x:v>
      </x:c>
      <x:c r="J330" s="6" t="str">
        <x:v>F001</x:v>
      </x:c>
      <x:c r="K330" s="6" t="str">
        <x:v>纳入核验字段</x:v>
      </x:c>
      <x:c r="L330" s="6" t="str">
        <x:v>官方披露已核验</x:v>
      </x:c>
    </x:row>
    <x:row r="331" ht="88" customHeight="1">
      <x:c r="A331" s="6" t="str">
        <x:v>R0319</x:v>
      </x:c>
      <x:c r="B331" s="6" t="str">
        <x:v>字段</x:v>
      </x:c>
      <x:c r="C331" s="18" t="n">
        <x:v>1</x:v>
      </x:c>
      <x:c r="D331" s="6" t="str">
        <x:v>比亚迪股份有限公司</x:v>
      </x:c>
      <x:c r="E331" s="6" t="str">
        <x:v>大专及以下员工人数</x:v>
      </x:c>
      <x:c r="F331" s="14" t="str">
        <x:v>723834</x:v>
      </x:c>
      <x:c r="G331" s="6" t="str">
        <x:v>人</x:v>
      </x:c>
      <x:c r="H331" s="13" t="d">
        <x:v>2026-03-28T00:00:00.000Z</x:v>
      </x:c>
      <x:c r="I331" s="6" t="str">
        <x:v>[PDF物理第69页；报告印刷第69页] 本科（人）                                                            102,307
大专及以下（人）                                                         723,834
合计                                                               869,622</x:v>
      </x:c>
      <x:c r="J331" s="6" t="str">
        <x:v>F001</x:v>
      </x:c>
      <x:c r="K331" s="6" t="str">
        <x:v>纳入核验字段</x:v>
      </x:c>
      <x:c r="L331" s="6" t="str">
        <x:v>官方披露已核验</x:v>
      </x:c>
    </x:row>
    <x:row r="332" ht="88" customHeight="1">
      <x:c r="A332" s="6" t="str">
        <x:v>R0320</x:v>
      </x:c>
      <x:c r="B332" s="6" t="str">
        <x:v>字段</x:v>
      </x:c>
      <x:c r="C332" s="18" t="n">
        <x:v>1</x:v>
      </x:c>
      <x:c r="D332" s="6" t="str">
        <x:v>比亚迪股份有限公司</x:v>
      </x:c>
      <x:c r="E332" s="6" t="str">
        <x:v>手机部件、组装及其他产品收入</x:v>
      </x:c>
      <x:c r="F332" s="14" t="str">
        <x:v>155236528000</x:v>
      </x:c>
      <x:c r="G332" s="6" t="str">
        <x:v>人民币元</x:v>
      </x:c>
      <x:c r="H332" s="13" t="d">
        <x:v>2026-03-28T00:00:00.000Z</x:v>
      </x:c>
      <x:c r="I332" s="6" t="str">
        <x:v>[PDF物理第29页；报告印刷第29页] 分产品
手机部件、组装          155,236,528,000.00       19.31%     159,608,576,000.00          20.54%           -2.74%
及其他产品
汽车、汽车相关          648,645,636,000.00       80.68%     617,381,935,000.00          79.45%            5.06%</x:v>
      </x:c>
      <x:c r="J332" s="6" t="str">
        <x:v>F001</x:v>
      </x:c>
      <x:c r="K332" s="6" t="str">
        <x:v>纳入核验字段</x:v>
      </x:c>
      <x:c r="L332" s="6" t="str">
        <x:v>官方披露已核验</x:v>
      </x:c>
    </x:row>
    <x:row r="333" ht="88" customHeight="1">
      <x:c r="A333" s="6" t="str">
        <x:v>R0321</x:v>
      </x:c>
      <x:c r="B333" s="6" t="str">
        <x:v>字段</x:v>
      </x:c>
      <x:c r="C333" s="18" t="n">
        <x:v>1</x:v>
      </x:c>
      <x:c r="D333" s="6" t="str">
        <x:v>比亚迪股份有限公司</x:v>
      </x:c>
      <x:c r="E333" s="6" t="str">
        <x:v>汽车、汽车相关产品及其他产品收入</x:v>
      </x:c>
      <x:c r="F333" s="14" t="str">
        <x:v>648645636000</x:v>
      </x:c>
      <x:c r="G333" s="6" t="str">
        <x:v>人民币元</x:v>
      </x:c>
      <x:c r="H333" s="13" t="d">
        <x:v>2026-03-28T00:00:00.000Z</x:v>
      </x:c>
      <x:c r="I333" s="6" t="str">
        <x:v>[PDF物理第29页；报告印刷第29页] 及其他产品
汽车、汽车相关          648,645,636,000.00       80.68%     617,381,935,000.00          79.45%            5.06%
产品及其他产品
其他                    82,794,000.00       0.01%          111,944,000.00          0.01%           -26.04%</x:v>
      </x:c>
      <x:c r="J333" s="6" t="str">
        <x:v>F001</x:v>
      </x:c>
      <x:c r="K333" s="6" t="str">
        <x:v>纳入核验字段</x:v>
      </x:c>
      <x:c r="L333" s="6" t="str">
        <x:v>官方披露已核验</x:v>
      </x:c>
    </x:row>
    <x:row r="334" ht="88" customHeight="1">
      <x:c r="A334" s="6" t="str">
        <x:v>R0322</x:v>
      </x:c>
      <x:c r="B334" s="6" t="str">
        <x:v>字段</x:v>
      </x:c>
      <x:c r="C334" s="18" t="n">
        <x:v>1</x:v>
      </x:c>
      <x:c r="D334" s="6" t="str">
        <x:v>比亚迪股份有限公司</x:v>
      </x:c>
      <x:c r="E334" s="6" t="str">
        <x:v>中国（包括港澳台）收入</x:v>
      </x:c>
      <x:c r="F334" s="14" t="str">
        <x:v>493223970000</x:v>
      </x:c>
      <x:c r="G334" s="6" t="str">
        <x:v>人民币元</x:v>
      </x:c>
      <x:c r="H334" s="13" t="d">
        <x:v>2026-03-28T00:00:00.000Z</x:v>
      </x:c>
      <x:c r="I334" s="6" t="str">
        <x:v>[PDF物理第29页；报告印刷第29页] 分地区
中国（包括港澳          493,223,970,000.00       61.35%     555,217,682,000.00          71.45%          -11.17%
台地区）
境外               310,740,988,000.00       38.65%     221,884,773,000.00          28.55%           40.05%</x:v>
      </x:c>
      <x:c r="J334" s="6" t="str">
        <x:v>F001</x:v>
      </x:c>
      <x:c r="K334" s="6" t="str">
        <x:v>纳入核验字段</x:v>
      </x:c>
      <x:c r="L334" s="6" t="str">
        <x:v>官方披露已核验</x:v>
      </x:c>
    </x:row>
    <x:row r="335" ht="88" customHeight="1">
      <x:c r="A335" s="6" t="str">
        <x:v>R0323</x:v>
      </x:c>
      <x:c r="B335" s="6" t="str">
        <x:v>字段</x:v>
      </x:c>
      <x:c r="C335" s="18" t="n">
        <x:v>1</x:v>
      </x:c>
      <x:c r="D335" s="6" t="str">
        <x:v>比亚迪股份有限公司</x:v>
      </x:c>
      <x:c r="E335" s="6" t="str">
        <x:v>境外收入</x:v>
      </x:c>
      <x:c r="F335" s="14" t="str">
        <x:v>310740988000</x:v>
      </x:c>
      <x:c r="G335" s="6" t="str">
        <x:v>人民币元</x:v>
      </x:c>
      <x:c r="H335" s="13" t="d">
        <x:v>2026-03-28T00:00:00.000Z</x:v>
      </x:c>
      <x:c r="I335" s="6" t="str">
        <x:v>[PDF物理第29页；报告印刷第29页] 台地区）
境外               310,740,988,000.00       38.65%     221,884,773,000.00          28.55%           40.05%
分销售模式
直销               367,210,862,000.00       45.67%     373,156,016,000.00          48.02%           -1.59%</x:v>
      </x:c>
      <x:c r="J335" s="6" t="str">
        <x:v>F001</x:v>
      </x:c>
      <x:c r="K335" s="6" t="str">
        <x:v>纳入核验字段</x:v>
      </x:c>
      <x:c r="L335" s="6" t="str">
        <x:v>官方披露已核验</x:v>
      </x:c>
    </x:row>
    <x:row r="336" ht="88" customHeight="1">
      <x:c r="A336" s="6" t="str">
        <x:v>R0324</x:v>
      </x:c>
      <x:c r="B336" s="6" t="str">
        <x:v>字段</x:v>
      </x:c>
      <x:c r="C336" s="18" t="n">
        <x:v>1</x:v>
      </x:c>
      <x:c r="D336" s="6" t="str">
        <x:v>比亚迪股份有限公司</x:v>
      </x:c>
      <x:c r="E336" s="6" t="str">
        <x:v>境外收入占比</x:v>
      </x:c>
      <x:c r="F336" s="6" t="str">
        <x:v>38.65</x:v>
      </x:c>
      <x:c r="G336" s="6" t="str">
        <x:v>%</x:v>
      </x:c>
      <x:c r="H336" s="13" t="d">
        <x:v>2026-03-28T00:00:00.000Z</x:v>
      </x:c>
      <x:c r="I336" s="6" t="str">
        <x:v>[PDF物理第29页；报告印刷第29页] 台地区）
境外               310,740,988,000.00       38.65%     221,884,773,000.00          28.55%           40.05%
分销售模式
直销               367,210,862,000.00       45.67%     373,156,016,000.00          48.02%           -1.59%</x:v>
      </x:c>
      <x:c r="J336" s="6" t="str">
        <x:v>F001</x:v>
      </x:c>
      <x:c r="K336" s="6" t="str">
        <x:v>纳入核验字段</x:v>
      </x:c>
      <x:c r="L336" s="6" t="str">
        <x:v>官方披露已核验</x:v>
      </x:c>
    </x:row>
    <x:row r="337" ht="88" customHeight="1">
      <x:c r="A337" s="6" t="str">
        <x:v>R0325</x:v>
      </x:c>
      <x:c r="B337" s="6" t="str">
        <x:v>字段</x:v>
      </x:c>
      <x:c r="C337" s="18" t="n">
        <x:v>1</x:v>
      </x:c>
      <x:c r="D337" s="6" t="str">
        <x:v>比亚迪股份有限公司</x:v>
      </x:c>
      <x:c r="E337" s="6" t="str">
        <x:v>境外收入同比</x:v>
      </x:c>
      <x:c r="F337" s="6" t="str">
        <x:v>40.05</x:v>
      </x:c>
      <x:c r="G337" s="6" t="str">
        <x:v>%</x:v>
      </x:c>
      <x:c r="H337" s="13" t="d">
        <x:v>2026-03-28T00:00:00.000Z</x:v>
      </x:c>
      <x:c r="I337" s="6" t="str">
        <x:v>[PDF物理第29页；报告印刷第29页] 台地区）
境外               310,740,988,000.00       38.65%     221,884,773,000.00          28.55%           40.05%
分销售模式
直销               367,210,862,000.00       45.67%     373,156,016,000.00          48.02%           -1.59%</x:v>
      </x:c>
      <x:c r="J337" s="6" t="str">
        <x:v>F001</x:v>
      </x:c>
      <x:c r="K337" s="6" t="str">
        <x:v>纳入核验字段</x:v>
      </x:c>
      <x:c r="L337" s="6" t="str">
        <x:v>官方披露已核验</x:v>
      </x:c>
    </x:row>
    <x:row r="338" ht="88" customHeight="1">
      <x:c r="A338" s="6" t="str">
        <x:v>R0326</x:v>
      </x:c>
      <x:c r="B338" s="6" t="str">
        <x:v>字段</x:v>
      </x:c>
      <x:c r="C338" s="18" t="n">
        <x:v>1</x:v>
      </x:c>
      <x:c r="D338" s="6" t="str">
        <x:v>比亚迪股份有限公司</x:v>
      </x:c>
      <x:c r="E338" s="6" t="str">
        <x:v>直销收入</x:v>
      </x:c>
      <x:c r="F338" s="14" t="str">
        <x:v>367210862000</x:v>
      </x:c>
      <x:c r="G338" s="6" t="str">
        <x:v>人民币元</x:v>
      </x:c>
      <x:c r="H338" s="13" t="d">
        <x:v>2026-03-28T00:00:00.000Z</x:v>
      </x:c>
      <x:c r="I338" s="6" t="str">
        <x:v>[PDF物理第29页；报告印刷第29页] 分销售模式
直销               367,210,862,000.00       45.67%     373,156,016,000.00          48.02%           -1.59%
经销               436,754,096,000.00       54.33%     403,946,439,000.00          51.98%            8.12%</x:v>
      </x:c>
      <x:c r="J338" s="6" t="str">
        <x:v>F001</x:v>
      </x:c>
      <x:c r="K338" s="6" t="str">
        <x:v>纳入核验字段</x:v>
      </x:c>
      <x:c r="L338" s="6" t="str">
        <x:v>官方披露已核验</x:v>
      </x:c>
    </x:row>
    <x:row r="339" ht="88" customHeight="1">
      <x:c r="A339" s="6" t="str">
        <x:v>R0327</x:v>
      </x:c>
      <x:c r="B339" s="6" t="str">
        <x:v>字段</x:v>
      </x:c>
      <x:c r="C339" s="18" t="n">
        <x:v>1</x:v>
      </x:c>
      <x:c r="D339" s="6" t="str">
        <x:v>比亚迪股份有限公司</x:v>
      </x:c>
      <x:c r="E339" s="6" t="str">
        <x:v>经销收入</x:v>
      </x:c>
      <x:c r="F339" s="14" t="str">
        <x:v>436754096000</x:v>
      </x:c>
      <x:c r="G339" s="6" t="str">
        <x:v>人民币元</x:v>
      </x:c>
      <x:c r="H339" s="13" t="d">
        <x:v>2026-03-28T00:00:00.000Z</x:v>
      </x:c>
      <x:c r="I339" s="6" t="str">
        <x:v>[PDF物理第29页；报告印刷第29页] 直销               367,210,862,000.00       45.67%     373,156,016,000.00          48.02%           -1.59%
经销               436,754,096,000.00       54.33%     403,946,439,000.00          51.98%            8.12%</x:v>
      </x:c>
      <x:c r="J339" s="6" t="str">
        <x:v>F001</x:v>
      </x:c>
      <x:c r="K339" s="6" t="str">
        <x:v>纳入核验字段</x:v>
      </x:c>
      <x:c r="L339" s="6" t="str">
        <x:v>官方披露已核验</x:v>
      </x:c>
    </x:row>
    <x:row r="340" ht="88" customHeight="1">
      <x:c r="A340" s="6" t="str">
        <x:v>R0328</x:v>
      </x:c>
      <x:c r="B340" s="6" t="str">
        <x:v>字段</x:v>
      </x:c>
      <x:c r="C340" s="18" t="n">
        <x:v>1</x:v>
      </x:c>
      <x:c r="D340" s="6" t="str">
        <x:v>比亚迪股份有限公司</x:v>
      </x:c>
      <x:c r="E340" s="6" t="str">
        <x:v>电子及其他产品收入</x:v>
      </x:c>
      <x:c r="F340" s="14" t="str">
        <x:v>69404994000</x:v>
      </x:c>
      <x:c r="G340" s="6" t="str">
        <x:v>人民币元</x:v>
      </x:c>
      <x:c r="H340" s="13" t="d">
        <x:v>2026-08-29T00:00:00.000Z</x:v>
      </x:c>
      <x:c r="I340" s="6" t="str">
        <x:v>[PDF物理第26页；报告印刷第26页] 分产品
电子及其他产品                 69,404,994,000.00        20.13%     68,743,903,000.00        18.51%       0.96%
汽车、汽车相关                275,341,358,000.00        79.85%    302,506,271,000.00        81.48%      -8.98%
产品及其他产品</x:v>
      </x:c>
      <x:c r="J340" s="6" t="str">
        <x:v>F002</x:v>
      </x:c>
      <x:c r="K340" s="6" t="str">
        <x:v>纳入核验字段</x:v>
      </x:c>
      <x:c r="L340" s="6" t="str">
        <x:v>官方披露已核验</x:v>
      </x:c>
    </x:row>
    <x:row r="341" ht="120" customHeight="1">
      <x:c r="A341" s="6" t="str">
        <x:v>R0329</x:v>
      </x:c>
      <x:c r="B341" s="6" t="str">
        <x:v>字段</x:v>
      </x:c>
      <x:c r="C341" s="18" t="n">
        <x:v>1</x:v>
      </x:c>
      <x:c r="D341" s="6" t="str">
        <x:v>比亚迪股份有限公司</x:v>
      </x:c>
      <x:c r="E341" s="6" t="str">
        <x:v>汽车、汽车相关产品及其他产品收入</x:v>
      </x:c>
      <x:c r="F341" s="14" t="str">
        <x:v>275341358000</x:v>
      </x:c>
      <x:c r="G341" s="6" t="str">
        <x:v>人民币元</x:v>
      </x:c>
      <x:c r="H341" s="13" t="d">
        <x:v>2026-08-29T00:00:00.000Z</x:v>
      </x:c>
      <x:c r="I341" s="6" t="str">
        <x:v>[PDF物理第26页；报告印刷第26页] 电子及其他产品                 69,404,994,000.00        20.13%     68,743,903,000.00        18.51%       0.96%
汽车、汽车相关                275,341,358,000.00        79.85%    302,506,271,000.00        81.48%      -8.98%
产品及其他产品
其他                          69,069,000.00         0.02%         30,774,000.00         0.01%     124.44%</x:v>
      </x:c>
      <x:c r="J341" s="6" t="str">
        <x:v>F002</x:v>
      </x:c>
      <x:c r="K341" s="6" t="str">
        <x:v>纳入核验字段</x:v>
      </x:c>
      <x:c r="L341" s="6" t="str">
        <x:v>官方披露已核验</x:v>
      </x:c>
    </x:row>
    <x:row r="342" ht="88" customHeight="1">
      <x:c r="A342" s="6" t="str">
        <x:v>R0330</x:v>
      </x:c>
      <x:c r="B342" s="6" t="str">
        <x:v>字段</x:v>
      </x:c>
      <x:c r="C342" s="18" t="n">
        <x:v>1</x:v>
      </x:c>
      <x:c r="D342" s="6" t="str">
        <x:v>比亚迪股份有限公司</x:v>
      </x:c>
      <x:c r="E342" s="6" t="str">
        <x:v>中国（包括港澳台）收入</x:v>
      </x:c>
      <x:c r="F342" s="14" t="str">
        <x:v>163547247000</x:v>
      </x:c>
      <x:c r="G342" s="6" t="str">
        <x:v>人民币元</x:v>
      </x:c>
      <x:c r="H342" s="13" t="d">
        <x:v>2026-08-29T00:00:00.000Z</x:v>
      </x:c>
      <x:c r="I342" s="6" t="str">
        <x:v>[PDF物理第26页；报告印刷第26页] 分地区
中国（包括港澳                163,547,247,000.00        47.43%    235,923,281,000.00        63.54%     -30.68%
台地区）
境外                     181,268,174,000.00        52.57%    135,357,667,000.00        36.46%      33.92%</x:v>
      </x:c>
      <x:c r="J342" s="6" t="str">
        <x:v>F002</x:v>
      </x:c>
      <x:c r="K342" s="6" t="str">
        <x:v>纳入核验字段</x:v>
      </x:c>
      <x:c r="L342" s="6" t="str">
        <x:v>官方披露已核验</x:v>
      </x:c>
    </x:row>
    <x:row r="343" ht="72" customHeight="1">
      <x:c r="A343" s="6" t="str">
        <x:v>R0331</x:v>
      </x:c>
      <x:c r="B343" s="6" t="str">
        <x:v>字段</x:v>
      </x:c>
      <x:c r="C343" s="18" t="n">
        <x:v>1</x:v>
      </x:c>
      <x:c r="D343" s="6" t="str">
        <x:v>比亚迪股份有限公司</x:v>
      </x:c>
      <x:c r="E343" s="6" t="str">
        <x:v>境外收入</x:v>
      </x:c>
      <x:c r="F343" s="14" t="str">
        <x:v>181268174000</x:v>
      </x:c>
      <x:c r="G343" s="6" t="str">
        <x:v>人民币元</x:v>
      </x:c>
      <x:c r="H343" s="13" t="d">
        <x:v>2026-08-29T00:00:00.000Z</x:v>
      </x:c>
      <x:c r="I343" s="6" t="str">
        <x:v>[PDF物理第26页；报告印刷第26页] 台地区）
境外                     181,268,174,000.00        52.57%    135,357,667,000.00        36.46%      33.92%
 占公司营业收入或营业利润            10%以上的行业、产品或地区情况</x:v>
      </x:c>
      <x:c r="J343" s="6" t="str">
        <x:v>F002</x:v>
      </x:c>
      <x:c r="K343" s="6" t="str">
        <x:v>纳入核验字段</x:v>
      </x:c>
      <x:c r="L343" s="6" t="str">
        <x:v>官方披露已核验</x:v>
      </x:c>
    </x:row>
    <x:row r="344" ht="72" customHeight="1">
      <x:c r="A344" s="6" t="str">
        <x:v>R0332</x:v>
      </x:c>
      <x:c r="B344" s="6" t="str">
        <x:v>字段</x:v>
      </x:c>
      <x:c r="C344" s="18" t="n">
        <x:v>1</x:v>
      </x:c>
      <x:c r="D344" s="6" t="str">
        <x:v>比亚迪股份有限公司</x:v>
      </x:c>
      <x:c r="E344" s="6" t="str">
        <x:v>境外收入占比</x:v>
      </x:c>
      <x:c r="F344" s="6" t="str">
        <x:v>52.57</x:v>
      </x:c>
      <x:c r="G344" s="6" t="str">
        <x:v>%</x:v>
      </x:c>
      <x:c r="H344" s="13" t="d">
        <x:v>2026-08-29T00:00:00.000Z</x:v>
      </x:c>
      <x:c r="I344" s="6" t="str">
        <x:v>[PDF物理第26页；报告印刷第26页] 台地区）
境外                     181,268,174,000.00        52.57%    135,357,667,000.00        36.46%      33.92%
 占公司营业收入或营业利润            10%以上的行业、产品或地区情况</x:v>
      </x:c>
      <x:c r="J344" s="6" t="str">
        <x:v>F002</x:v>
      </x:c>
      <x:c r="K344" s="6" t="str">
        <x:v>纳入核验字段</x:v>
      </x:c>
      <x:c r="L344" s="6" t="str">
        <x:v>官方披露已核验</x:v>
      </x:c>
    </x:row>
    <x:row r="345" ht="72" customHeight="1">
      <x:c r="A345" s="6" t="str">
        <x:v>R0333</x:v>
      </x:c>
      <x:c r="B345" s="6" t="str">
        <x:v>字段</x:v>
      </x:c>
      <x:c r="C345" s="18" t="n">
        <x:v>1</x:v>
      </x:c>
      <x:c r="D345" s="6" t="str">
        <x:v>比亚迪股份有限公司</x:v>
      </x:c>
      <x:c r="E345" s="6" t="str">
        <x:v>境外收入同比</x:v>
      </x:c>
      <x:c r="F345" s="6" t="str">
        <x:v>33.92</x:v>
      </x:c>
      <x:c r="G345" s="6" t="str">
        <x:v>%</x:v>
      </x:c>
      <x:c r="H345" s="13" t="d">
        <x:v>2026-08-29T00:00:00.000Z</x:v>
      </x:c>
      <x:c r="I345" s="6" t="str">
        <x:v>[PDF物理第26页；报告印刷第26页] 台地区）
境外                     181,268,174,000.00        52.57%    135,357,667,000.00        36.46%      33.92%
 占公司营业收入或营业利润            10%以上的行业、产品或地区情况</x:v>
      </x:c>
      <x:c r="J345" s="6" t="str">
        <x:v>F002</x:v>
      </x:c>
      <x:c r="K345" s="6" t="str">
        <x:v>纳入核验字段</x:v>
      </x:c>
      <x:c r="L345" s="6" t="str">
        <x:v>官方披露已核验</x:v>
      </x:c>
    </x:row>
    <x:row r="346" ht="152" customHeight="1">
      <x:c r="A346" s="6" t="str">
        <x:v>R0334</x:v>
      </x:c>
      <x:c r="B346" s="6" t="str">
        <x:v>字段</x:v>
      </x:c>
      <x:c r="C346" s="18" t="n">
        <x:v>1</x:v>
      </x:c>
      <x:c r="D346" s="6" t="str">
        <x:v>比亚迪股份有限公司</x:v>
      </x:c>
      <x:c r="E346" s="6" t="str">
        <x:v>电子及其他产品毛利率</x:v>
      </x:c>
      <x:c r="F346" s="6" t="str">
        <x:v>5.04</x:v>
      </x:c>
      <x:c r="G346" s="6" t="str">
        <x:v>%</x:v>
      </x:c>
      <x:c r="H346" s="13" t="d">
        <x:v>2026-08-29T00:00:00.000Z</x:v>
      </x:c>
      <x:c r="I346" s="6" t="str">
        <x:v>[PDF物理第26页；报告印刷第26页] 占公司营业收入或营业利润            10%以上的行业、产品或地区情况
 适用 □不适用
                                                                                              单位：元
                                                                         营业收入       营业成本       毛利率比
                            营业收入                营业成本            毛利率      比上年同       比上年同       上年同期
                                                                   </x:v>
      </x:c>
      <x:c r="J346" s="6" t="str">
        <x:v>F002</x:v>
      </x:c>
      <x:c r="K346" s="6" t="str">
        <x:v>纳入核验字段</x:v>
      </x:c>
      <x:c r="L346" s="6" t="str">
        <x:v>官方披露已核验</x:v>
      </x:c>
    </x:row>
    <x:row r="347" ht="152" customHeight="1">
      <x:c r="A347" s="6" t="str">
        <x:v>R0334</x:v>
      </x:c>
      <x:c r="B347" s="6" t="str">
        <x:v>字段</x:v>
      </x:c>
      <x:c r="C347" s="18" t="n">
        <x:v>2</x:v>
      </x:c>
      <x:c r="D347" s="6" t="str">
        <x:v>比亚迪股份有限公司</x:v>
      </x:c>
      <x:c r="E347" s="6" t="str">
        <x:v>电子及其他产品毛利率</x:v>
      </x:c>
      <x:c r="F347" s="6" t="str"/>
      <x:c r="G347" s="6" t="str">
        <x:v>%</x:v>
      </x:c>
      <x:c r="H347" s="13" t="d">
        <x:v>2026-08-29T00:00:00.000Z</x:v>
      </x:c>
      <x:c r="I347" s="6" t="str">
        <x:v>       期增减        期增减         增减
分行业
日用电子器件制造业               69,404,994,000.00   65,907,931,000.00    5.04%      0.96%      3.88%     -2.67%
交通运输设备及电气制             275,341,358,000.00  213,863,297,000.00   22.33%     -8.98%    -11.24%      1.98%
造业
分产品
电子及其他产品                 69,404,994,000.00   65,907,931,000.00    5.04%      0.96%      3.88%     -2.67%
汽车、汽车相关产品及             275,341,358,000.00  213,863,297,000.00   22.33%     -8.98%   </x:v>
      </x:c>
      <x:c r="J347" s="6" t="str">
        <x:v>F002</x:v>
      </x:c>
      <x:c r="K347" s="6" t="str">
        <x:v>纳入核验字段</x:v>
      </x:c>
      <x:c r="L347" s="6" t="str"/>
    </x:row>
    <x:row r="348" ht="152" customHeight="1">
      <x:c r="A348" s="6" t="str">
        <x:v>R0334</x:v>
      </x:c>
      <x:c r="B348" s="6" t="str">
        <x:v>字段</x:v>
      </x:c>
      <x:c r="C348" s="18" t="n">
        <x:v>3</x:v>
      </x:c>
      <x:c r="D348" s="6" t="str">
        <x:v>比亚迪股份有限公司</x:v>
      </x:c>
      <x:c r="E348" s="6" t="str">
        <x:v>电子及其他产品毛利率</x:v>
      </x:c>
      <x:c r="F348" s="6" t="str"/>
      <x:c r="G348" s="6" t="str">
        <x:v>%</x:v>
      </x:c>
      <x:c r="H348" s="13" t="d">
        <x:v>2026-08-29T00:00:00.000Z</x:v>
      </x:c>
      <x:c r="I348" s="6" t="str">
        <x:v> -11.24%      1.98%
其他产品
分地区
中国(包括港澳台地区)            163,547,247,000.00  137,917,469,000.00   15.67%    -30.68%    -29.59%     -1.30%
境外                     181,268,174,000.00  141,909,390,000.00   21.71%     33.92%     30.75%      1.90%
 公司主营业务数据统计口径在报告期发生调整的情况下，公司最近                             1期按报告期末口径调整后的主营业务数据
 □适用 不适用
                                                                                                    2</x:v>
      </x:c>
      <x:c r="J348" s="6" t="str">
        <x:v>F002</x:v>
      </x:c>
      <x:c r="K348" s="6" t="str">
        <x:v>纳入核验字段</x:v>
      </x:c>
      <x:c r="L348" s="6" t="str"/>
    </x:row>
    <x:row r="349" ht="34" customHeight="1">
      <x:c r="A349" s="6" t="str">
        <x:v>R0334</x:v>
      </x:c>
      <x:c r="B349" s="6" t="str">
        <x:v>字段</x:v>
      </x:c>
      <x:c r="C349" s="18" t="n">
        <x:v>4</x:v>
      </x:c>
      <x:c r="D349" s="6" t="str">
        <x:v>比亚迪股份有限公司</x:v>
      </x:c>
      <x:c r="E349" s="6" t="str">
        <x:v>电子及其他产品毛利率</x:v>
      </x:c>
      <x:c r="F349" s="6" t="str"/>
      <x:c r="G349" s="6" t="str">
        <x:v>%</x:v>
      </x:c>
      <x:c r="H349" s="13" t="d">
        <x:v>2026-08-29T00:00:00.000Z</x:v>
      </x:c>
      <x:c r="I349" s="6" t="str">
        <x:v>6
</x:v>
      </x:c>
      <x:c r="J349" s="6" t="str">
        <x:v>F002</x:v>
      </x:c>
      <x:c r="K349" s="6" t="str">
        <x:v>纳入核验字段</x:v>
      </x:c>
      <x:c r="L349" s="6" t="str"/>
    </x:row>
    <x:row r="350" ht="152" customHeight="1">
      <x:c r="A350" s="6" t="str">
        <x:v>R0335</x:v>
      </x:c>
      <x:c r="B350" s="6" t="str">
        <x:v>字段</x:v>
      </x:c>
      <x:c r="C350" s="18" t="n">
        <x:v>1</x:v>
      </x:c>
      <x:c r="D350" s="6" t="str">
        <x:v>比亚迪股份有限公司</x:v>
      </x:c>
      <x:c r="E350" s="6" t="str">
        <x:v>汽车业务毛利率</x:v>
      </x:c>
      <x:c r="F350" s="6" t="str">
        <x:v>22.33</x:v>
      </x:c>
      <x:c r="G350" s="6" t="str">
        <x:v>%</x:v>
      </x:c>
      <x:c r="H350" s="13" t="d">
        <x:v>2026-08-29T00:00:00.000Z</x:v>
      </x:c>
      <x:c r="I350" s="6" t="str">
        <x:v>[PDF物理第26页；报告印刷第26页] 占公司营业收入或营业利润            10%以上的行业、产品或地区情况
 适用 □不适用
                                                                                              单位：元
                                                                         营业收入       营业成本       毛利率比
                            营业收入                营业成本            毛利率      比上年同       比上年同       上年同期
                                                                   </x:v>
      </x:c>
      <x:c r="J350" s="6" t="str">
        <x:v>F002</x:v>
      </x:c>
      <x:c r="K350" s="6" t="str">
        <x:v>纳入核验字段</x:v>
      </x:c>
      <x:c r="L350" s="6" t="str">
        <x:v>官方披露已核验</x:v>
      </x:c>
    </x:row>
    <x:row r="351" ht="152" customHeight="1">
      <x:c r="A351" s="6" t="str">
        <x:v>R0335</x:v>
      </x:c>
      <x:c r="B351" s="6" t="str">
        <x:v>字段</x:v>
      </x:c>
      <x:c r="C351" s="18" t="n">
        <x:v>2</x:v>
      </x:c>
      <x:c r="D351" s="6" t="str">
        <x:v>比亚迪股份有限公司</x:v>
      </x:c>
      <x:c r="E351" s="6" t="str">
        <x:v>汽车业务毛利率</x:v>
      </x:c>
      <x:c r="F351" s="6" t="str"/>
      <x:c r="G351" s="6" t="str">
        <x:v>%</x:v>
      </x:c>
      <x:c r="H351" s="13" t="d">
        <x:v>2026-08-29T00:00:00.000Z</x:v>
      </x:c>
      <x:c r="I351" s="6" t="str">
        <x:v>       期增减        期增减         增减
分行业
日用电子器件制造业               69,404,994,000.00   65,907,931,000.00    5.04%      0.96%      3.88%     -2.67%
交通运输设备及电气制             275,341,358,000.00  213,863,297,000.00   22.33%     -8.98%    -11.24%      1.98%
造业
分产品
电子及其他产品                 69,404,994,000.00   65,907,931,000.00    5.04%      0.96%      3.88%     -2.67%
汽车、汽车相关产品及             275,341,358,000.00  213,863,297,000.00   22.33%     -8.98%   </x:v>
      </x:c>
      <x:c r="J351" s="6" t="str">
        <x:v>F002</x:v>
      </x:c>
      <x:c r="K351" s="6" t="str">
        <x:v>纳入核验字段</x:v>
      </x:c>
      <x:c r="L351" s="6" t="str"/>
    </x:row>
    <x:row r="352" ht="152" customHeight="1">
      <x:c r="A352" s="6" t="str">
        <x:v>R0335</x:v>
      </x:c>
      <x:c r="B352" s="6" t="str">
        <x:v>字段</x:v>
      </x:c>
      <x:c r="C352" s="18" t="n">
        <x:v>3</x:v>
      </x:c>
      <x:c r="D352" s="6" t="str">
        <x:v>比亚迪股份有限公司</x:v>
      </x:c>
      <x:c r="E352" s="6" t="str">
        <x:v>汽车业务毛利率</x:v>
      </x:c>
      <x:c r="F352" s="6" t="str"/>
      <x:c r="G352" s="6" t="str">
        <x:v>%</x:v>
      </x:c>
      <x:c r="H352" s="13" t="d">
        <x:v>2026-08-29T00:00:00.000Z</x:v>
      </x:c>
      <x:c r="I352" s="6" t="str">
        <x:v> -11.24%      1.98%
其他产品
分地区
中国(包括港澳台地区)            163,547,247,000.00  137,917,469,000.00   15.67%    -30.68%    -29.59%     -1.30%
境外                     181,268,174,000.00  141,909,390,000.00   21.71%     33.92%     30.75%      1.90%
 公司主营业务数据统计口径在报告期发生调整的情况下，公司最近                             1期按报告期末口径调整后的主营业务数据
 □适用 不适用
                                                                                                    2</x:v>
      </x:c>
      <x:c r="J352" s="6" t="str">
        <x:v>F002</x:v>
      </x:c>
      <x:c r="K352" s="6" t="str">
        <x:v>纳入核验字段</x:v>
      </x:c>
      <x:c r="L352" s="6" t="str"/>
    </x:row>
    <x:row r="353" ht="34" customHeight="1">
      <x:c r="A353" s="6" t="str">
        <x:v>R0335</x:v>
      </x:c>
      <x:c r="B353" s="6" t="str">
        <x:v>字段</x:v>
      </x:c>
      <x:c r="C353" s="18" t="n">
        <x:v>4</x:v>
      </x:c>
      <x:c r="D353" s="6" t="str">
        <x:v>比亚迪股份有限公司</x:v>
      </x:c>
      <x:c r="E353" s="6" t="str">
        <x:v>汽车业务毛利率</x:v>
      </x:c>
      <x:c r="F353" s="6" t="str"/>
      <x:c r="G353" s="6" t="str">
        <x:v>%</x:v>
      </x:c>
      <x:c r="H353" s="13" t="d">
        <x:v>2026-08-29T00:00:00.000Z</x:v>
      </x:c>
      <x:c r="I353" s="6" t="str">
        <x:v>6
</x:v>
      </x:c>
      <x:c r="J353" s="6" t="str">
        <x:v>F002</x:v>
      </x:c>
      <x:c r="K353" s="6" t="str">
        <x:v>纳入核验字段</x:v>
      </x:c>
      <x:c r="L353" s="6" t="str"/>
    </x:row>
    <x:row r="354" ht="88" customHeight="1">
      <x:c r="A354" s="6" t="str">
        <x:v>R0336</x:v>
      </x:c>
      <x:c r="B354" s="6" t="str">
        <x:v>字段</x:v>
      </x:c>
      <x:c r="C354" s="18" t="n">
        <x:v>1</x:v>
      </x:c>
      <x:c r="D354" s="6" t="str">
        <x:v>比亚迪股份有限公司</x:v>
      </x:c>
      <x:c r="E354" s="6" t="str">
        <x:v>前三季度营业收入</x:v>
      </x:c>
      <x:c r="F354" s="14" t="str">
        <x:v>566265546000</x:v>
      </x:c>
      <x:c r="G354" s="6" t="str">
        <x:v>人民币元</x:v>
      </x:c>
      <x:c r="H354" s="13" t="d">
        <x:v>2025-10-31T00:00:00.000Z</x:v>
      </x:c>
      <x:c r="I354" s="6" t="str">
        <x:v>[PDF物理第2页；报告印刷第2页] 增减                             上年同期增减
营业收入（元）              194,984,598,000.00        -3.05%  566,265,546,000.00        12.75%
归属于上市公司股东的净           7,822,640,000.00         -32.60% 23,333,173,000.00         -7.55%
利润（元）</x:v>
      </x:c>
      <x:c r="J354" s="6" t="str">
        <x:v>F003</x:v>
      </x:c>
      <x:c r="K354" s="6" t="str">
        <x:v>纳入核验字段</x:v>
      </x:c>
      <x:c r="L354" s="6" t="str">
        <x:v>官方披露已核验</x:v>
      </x:c>
    </x:row>
    <x:row r="355" ht="88" customHeight="1">
      <x:c r="A355" s="6" t="str">
        <x:v>R0337</x:v>
      </x:c>
      <x:c r="B355" s="6" t="str">
        <x:v>字段</x:v>
      </x:c>
      <x:c r="C355" s="18" t="n">
        <x:v>1</x:v>
      </x:c>
      <x:c r="D355" s="6" t="str">
        <x:v>比亚迪股份有限公司</x:v>
      </x:c>
      <x:c r="E355" s="6" t="str">
        <x:v>前三季度归母净利润</x:v>
      </x:c>
      <x:c r="F355" s="14" t="str">
        <x:v>23333173000</x:v>
      </x:c>
      <x:c r="G355" s="6" t="str">
        <x:v>人民币元</x:v>
      </x:c>
      <x:c r="H355" s="13" t="d">
        <x:v>2025-10-31T00:00:00.000Z</x:v>
      </x:c>
      <x:c r="I355" s="6" t="str">
        <x:v>[PDF物理第2页；报告印刷第2页] 营业收入（元）              194,984,598,000.00        -3.05%  566,265,546,000.00        12.75%
归属于上市公司股东的净           7,822,640,000.00         -32.60% 23,333,173,000.00         -7.55%
利润（元）
归属于上市公司股东的扣</x:v>
      </x:c>
      <x:c r="J355" s="6" t="str">
        <x:v>F003</x:v>
      </x:c>
      <x:c r="K355" s="6" t="str">
        <x:v>纳入核验字段</x:v>
      </x:c>
      <x:c r="L355" s="6" t="str">
        <x:v>官方披露已核验</x:v>
      </x:c>
    </x:row>
    <x:row r="356" ht="88" customHeight="1">
      <x:c r="A356" s="6" t="str">
        <x:v>R0338</x:v>
      </x:c>
      <x:c r="B356" s="6" t="str">
        <x:v>字段</x:v>
      </x:c>
      <x:c r="C356" s="18" t="n">
        <x:v>1</x:v>
      </x:c>
      <x:c r="D356" s="6" t="str">
        <x:v>比亚迪股份有限公司</x:v>
      </x:c>
      <x:c r="E356" s="6" t="str">
        <x:v>前三季度经营现金流净额</x:v>
      </x:c>
      <x:c r="F356" s="14" t="str">
        <x:v>40845498000</x:v>
      </x:c>
      <x:c r="G356" s="6" t="str">
        <x:v>人民币元</x:v>
      </x:c>
      <x:c r="H356" s="13" t="d">
        <x:v>2025-10-31T00:00:00.000Z</x:v>
      </x:c>
      <x:c r="I356" s="6" t="str">
        <x:v>[PDF物理第2页；报告印刷第2页] （元）
经营活动产生的现金流量                —                —          40,845,498,000.00        -27.42%
净额（元）
基本每股收益（元/股）                     0.85           -36.09%            2.56          -11.42%</x:v>
      </x:c>
      <x:c r="J356" s="6" t="str">
        <x:v>F003</x:v>
      </x:c>
      <x:c r="K356" s="6" t="str">
        <x:v>纳入核验字段</x:v>
      </x:c>
      <x:c r="L356" s="6" t="str">
        <x:v>官方披露已核验</x:v>
      </x:c>
    </x:row>
    <x:row r="357" ht="88" customHeight="1">
      <x:c r="A357" s="6" t="str">
        <x:v>R0339</x:v>
      </x:c>
      <x:c r="B357" s="6" t="str">
        <x:v>字段</x:v>
      </x:c>
      <x:c r="C357" s="18" t="n">
        <x:v>1</x:v>
      </x:c>
      <x:c r="D357" s="6" t="str">
        <x:v>比亚迪股份有限公司</x:v>
      </x:c>
      <x:c r="E357" s="6" t="str">
        <x:v>第三季度营业收入</x:v>
      </x:c>
      <x:c r="F357" s="14" t="str">
        <x:v>194984598000</x:v>
      </x:c>
      <x:c r="G357" s="6" t="str">
        <x:v>人民币元</x:v>
      </x:c>
      <x:c r="H357" s="13" t="d">
        <x:v>2025-10-31T00:00:00.000Z</x:v>
      </x:c>
      <x:c r="I357" s="6" t="str">
        <x:v>[PDF物理第2页；报告印刷第2页] 增减                             上年同期增减
营业收入（元）              194,984,598,000.00        -3.05%  566,265,546,000.00        12.75%
归属于上市公司股东的净           7,822,640,000.00         -32.60% 23,333,173,000.00         -7.55%
利润（元）</x:v>
      </x:c>
      <x:c r="J357" s="6" t="str">
        <x:v>F003</x:v>
      </x:c>
      <x:c r="K357" s="6" t="str">
        <x:v>纳入核验字段</x:v>
      </x:c>
      <x:c r="L357" s="6" t="str">
        <x:v>官方披露已核验</x:v>
      </x:c>
    </x:row>
    <x:row r="358" ht="88" customHeight="1">
      <x:c r="A358" s="6" t="str">
        <x:v>R0340</x:v>
      </x:c>
      <x:c r="B358" s="6" t="str">
        <x:v>字段</x:v>
      </x:c>
      <x:c r="C358" s="18" t="n">
        <x:v>1</x:v>
      </x:c>
      <x:c r="D358" s="6" t="str">
        <x:v>比亚迪股份有限公司</x:v>
      </x:c>
      <x:c r="E358" s="6" t="str">
        <x:v>第三季度归母净利润</x:v>
      </x:c>
      <x:c r="F358" s="14" t="str">
        <x:v>7822640000</x:v>
      </x:c>
      <x:c r="G358" s="6" t="str">
        <x:v>人民币元</x:v>
      </x:c>
      <x:c r="H358" s="13" t="d">
        <x:v>2025-10-31T00:00:00.000Z</x:v>
      </x:c>
      <x:c r="I358" s="6" t="str">
        <x:v>[PDF物理第2页；报告印刷第2页] 营业收入（元）              194,984,598,000.00        -3.05%  566,265,546,000.00        12.75%
归属于上市公司股东的净           7,822,640,000.00         -32.60% 23,333,173,000.00         -7.55%
利润（元）
归属于上市公司股东的扣</x:v>
      </x:c>
      <x:c r="J358" s="6" t="str">
        <x:v>F003</x:v>
      </x:c>
      <x:c r="K358" s="6" t="str">
        <x:v>纳入核验字段</x:v>
      </x:c>
      <x:c r="L358" s="6" t="str">
        <x:v>官方披露已核验</x:v>
      </x:c>
    </x:row>
    <x:row r="359" ht="88" customHeight="1">
      <x:c r="A359" s="6" t="str">
        <x:v>R0341</x:v>
      </x:c>
      <x:c r="B359" s="6" t="str">
        <x:v>字段</x:v>
      </x:c>
      <x:c r="C359" s="18" t="n">
        <x:v>1</x:v>
      </x:c>
      <x:c r="D359" s="6" t="str">
        <x:v>比亚迪股份有限公司</x:v>
      </x:c>
      <x:c r="E359" s="6" t="str">
        <x:v>总资产</x:v>
      </x:c>
      <x:c r="F359" s="14" t="str">
        <x:v>901925091000</x:v>
      </x:c>
      <x:c r="G359" s="6" t="str">
        <x:v>人民币元</x:v>
      </x:c>
      <x:c r="H359" s="13" t="d">
        <x:v>2025-10-31T00:00:00.000Z</x:v>
      </x:c>
      <x:c r="I359" s="6" t="str">
        <x:v>[PDF物理第2页；报告印刷第2页] 本报告期末             上年度末              本报告期末比上年度末增减
总资产（元）               901,925,091,000.00783,355,855,000.00                        15.14%
归属于上市公司股东的所          245,515,455,000.00185,251,104,000.00                        32.53%
有者权益（元）</x:v>
      </x:c>
      <x:c r="J359" s="6" t="str">
        <x:v>F003</x:v>
      </x:c>
      <x:c r="K359" s="6" t="str">
        <x:v>纳入核验字段</x:v>
      </x:c>
      <x:c r="L359" s="6" t="str">
        <x:v>官方披露已核验</x:v>
      </x:c>
    </x:row>
    <x:row r="360" ht="104" customHeight="1">
      <x:c r="A360" s="6" t="str">
        <x:v>R0342</x:v>
      </x:c>
      <x:c r="B360" s="6" t="str">
        <x:v>字段</x:v>
      </x:c>
      <x:c r="C360" s="18" t="n">
        <x:v>1</x:v>
      </x:c>
      <x:c r="D360" s="6" t="str">
        <x:v>比亚迪股份有限公司</x:v>
      </x:c>
      <x:c r="E360" s="6" t="str">
        <x:v>归母所有者权益</x:v>
      </x:c>
      <x:c r="F360" s="14" t="str">
        <x:v>245515455000</x:v>
      </x:c>
      <x:c r="G360" s="6" t="str">
        <x:v>人民币元</x:v>
      </x:c>
      <x:c r="H360" s="13" t="d">
        <x:v>2025-10-31T00:00:00.000Z</x:v>
      </x:c>
      <x:c r="I360" s="6" t="str">
        <x:v>[PDF物理第2页；报告印刷第2页] 总资产（元）               901,925,091,000.00783,355,855,000.00                        15.14%
归属于上市公司股东的所          245,515,455,000.00185,251,104,000.00                        32.53%
有者权益（元）
注：于  2025年 7月，本公司派发红股      2,431,252,684股，资本公积转增股本     3,646,879,026股，派发后的发行在外普通</x:v>
      </x:c>
      <x:c r="J360" s="6" t="str">
        <x:v>F003</x:v>
      </x:c>
      <x:c r="K360" s="6" t="str">
        <x:v>纳入核验字段</x:v>
      </x:c>
      <x:c r="L360" s="6" t="str">
        <x:v>官方披露已核验</x:v>
      </x:c>
    </x:row>
    <x:row r="361" ht="88" customHeight="1">
      <x:c r="A361" s="6" t="str">
        <x:v>R0343</x:v>
      </x:c>
      <x:c r="B361" s="6" t="str">
        <x:v>字段</x:v>
      </x:c>
      <x:c r="C361" s="18" t="n">
        <x:v>1</x:v>
      </x:c>
      <x:c r="D361" s="6" t="str">
        <x:v>比亚迪汽车工业有限公司</x:v>
      </x:c>
      <x:c r="E361" s="6" t="str">
        <x:v>母子关系</x:v>
      </x:c>
      <x:c r="F361" s="6" t="str">
        <x:v>比亚迪股份有限公司重要子公司</x:v>
      </x:c>
      <x:c r="G361" s="6" t="str"/>
      <x:c r="H361" s="13" t="d">
        <x:v>2026-08-29T00:00:00.000Z</x:v>
      </x:c>
      <x:c r="I361" s="6" t="str">
        <x:v>[PDF物理第168页；报告印刷第168页] 比亚迪汽车工业有限公司*                     深圳      深圳        制造         美元3,757,654,524   96.79   3.21
长沙市比亚迪汽车有限公司*                    长沙      长沙        制造      人民币1,000,000,000元       -   99.88</x:v>
      </x:c>
      <x:c r="J361" s="6" t="str">
        <x:v>F002</x:v>
      </x:c>
      <x:c r="K361" s="6" t="str">
        <x:v>纳入核验字段</x:v>
      </x:c>
      <x:c r="L361" s="6" t="str">
        <x:v>官方披露已核验</x:v>
      </x:c>
    </x:row>
    <x:row r="362" ht="88" customHeight="1">
      <x:c r="A362" s="6" t="str">
        <x:v>R0344</x:v>
      </x:c>
      <x:c r="B362" s="6" t="str">
        <x:v>字段</x:v>
      </x:c>
      <x:c r="C362" s="18" t="n">
        <x:v>1</x:v>
      </x:c>
      <x:c r="D362" s="6" t="str">
        <x:v>比亚迪汽车工业有限公司</x:v>
      </x:c>
      <x:c r="E362" s="6" t="str">
        <x:v>主要经营地及注册地</x:v>
      </x:c>
      <x:c r="F362" s="6" t="str">
        <x:v>深圳</x:v>
      </x:c>
      <x:c r="G362" s="6" t="str"/>
      <x:c r="H362" s="13" t="d">
        <x:v>2026-08-29T00:00:00.000Z</x:v>
      </x:c>
      <x:c r="I362" s="6" t="str">
        <x:v>[PDF物理第168页；报告印刷第168页] 比亚迪汽车工业有限公司*                     深圳      深圳        制造         美元3,757,654,524   96.79   3.21
长沙市比亚迪汽车有限公司*                    长沙      长沙        制造      人民币1,000,000,000元       -   99.88</x:v>
      </x:c>
      <x:c r="J362" s="6" t="str">
        <x:v>F002</x:v>
      </x:c>
      <x:c r="K362" s="6" t="str">
        <x:v>纳入核验字段</x:v>
      </x:c>
      <x:c r="L362" s="6" t="str">
        <x:v>官方披露已核验</x:v>
      </x:c>
    </x:row>
    <x:row r="363" ht="88" customHeight="1">
      <x:c r="A363" s="6" t="str">
        <x:v>R0345</x:v>
      </x:c>
      <x:c r="B363" s="6" t="str">
        <x:v>字段</x:v>
      </x:c>
      <x:c r="C363" s="18" t="n">
        <x:v>1</x:v>
      </x:c>
      <x:c r="D363" s="6" t="str">
        <x:v>比亚迪汽车工业有限公司</x:v>
      </x:c>
      <x:c r="E363" s="6" t="str">
        <x:v>业务性质</x:v>
      </x:c>
      <x:c r="F363" s="6" t="str">
        <x:v>制造</x:v>
      </x:c>
      <x:c r="G363" s="6" t="str"/>
      <x:c r="H363" s="13" t="d">
        <x:v>2026-08-29T00:00:00.000Z</x:v>
      </x:c>
      <x:c r="I363" s="6" t="str">
        <x:v>[PDF物理第168页；报告印刷第168页] 比亚迪汽车工业有限公司*                     深圳      深圳        制造         美元3,757,654,524   96.79   3.21
长沙市比亚迪汽车有限公司*                    长沙      长沙        制造      人民币1,000,000,000元       -   99.88</x:v>
      </x:c>
      <x:c r="J363" s="6" t="str">
        <x:v>F002</x:v>
      </x:c>
      <x:c r="K363" s="6" t="str">
        <x:v>纳入核验字段</x:v>
      </x:c>
      <x:c r="L363" s="6" t="str">
        <x:v>官方披露已核验</x:v>
      </x:c>
    </x:row>
    <x:row r="364" ht="88" customHeight="1">
      <x:c r="A364" s="6" t="str">
        <x:v>R0346</x:v>
      </x:c>
      <x:c r="B364" s="6" t="str">
        <x:v>字段</x:v>
      </x:c>
      <x:c r="C364" s="18" t="n">
        <x:v>1</x:v>
      </x:c>
      <x:c r="D364" s="6" t="str">
        <x:v>比亚迪汽车工业有限公司</x:v>
      </x:c>
      <x:c r="E364" s="6" t="str">
        <x:v>注册资本/股本</x:v>
      </x:c>
      <x:c r="F364" s="14" t="str">
        <x:v>3757654524</x:v>
      </x:c>
      <x:c r="G364" s="6" t="str">
        <x:v>美元</x:v>
      </x:c>
      <x:c r="H364" s="13" t="d">
        <x:v>2026-08-29T00:00:00.000Z</x:v>
      </x:c>
      <x:c r="I364" s="6" t="str">
        <x:v>[PDF物理第168页；报告印刷第168页] 比亚迪汽车工业有限公司*                     深圳      深圳        制造         美元3,757,654,524   96.79   3.21
长沙市比亚迪汽车有限公司*                    长沙      长沙        制造      人民币1,000,000,000元       -   99.88</x:v>
      </x:c>
      <x:c r="J364" s="6" t="str">
        <x:v>F002</x:v>
      </x:c>
      <x:c r="K364" s="6" t="str">
        <x:v>纳入核验字段</x:v>
      </x:c>
      <x:c r="L364" s="6" t="str">
        <x:v>官方披露已核验</x:v>
      </x:c>
    </x:row>
    <x:row r="365" ht="88" customHeight="1">
      <x:c r="A365" s="6" t="str">
        <x:v>R0347</x:v>
      </x:c>
      <x:c r="B365" s="6" t="str">
        <x:v>字段</x:v>
      </x:c>
      <x:c r="C365" s="18" t="n">
        <x:v>1</x:v>
      </x:c>
      <x:c r="D365" s="6" t="str">
        <x:v>比亚迪汽车工业有限公司</x:v>
      </x:c>
      <x:c r="E365" s="6" t="str">
        <x:v>比亚迪股份直接持股比例</x:v>
      </x:c>
      <x:c r="F365" s="6" t="str">
        <x:v>96.79</x:v>
      </x:c>
      <x:c r="G365" s="6" t="str">
        <x:v>%</x:v>
      </x:c>
      <x:c r="H365" s="13" t="d">
        <x:v>2026-08-29T00:00:00.000Z</x:v>
      </x:c>
      <x:c r="I365" s="6" t="str">
        <x:v>[PDF物理第168页；报告印刷第168页] 比亚迪汽车工业有限公司*                     深圳      深圳        制造         美元3,757,654,524   96.79   3.21
长沙市比亚迪汽车有限公司*                    长沙      长沙        制造      人民币1,000,000,000元       -   99.88</x:v>
      </x:c>
      <x:c r="J365" s="6" t="str">
        <x:v>F002</x:v>
      </x:c>
      <x:c r="K365" s="6" t="str">
        <x:v>纳入核验字段</x:v>
      </x:c>
      <x:c r="L365" s="6" t="str">
        <x:v>官方披露已核验</x:v>
      </x:c>
    </x:row>
    <x:row r="366" ht="88" customHeight="1">
      <x:c r="A366" s="6" t="str">
        <x:v>R0348</x:v>
      </x:c>
      <x:c r="B366" s="6" t="str">
        <x:v>字段</x:v>
      </x:c>
      <x:c r="C366" s="18" t="n">
        <x:v>1</x:v>
      </x:c>
      <x:c r="D366" s="6" t="str">
        <x:v>比亚迪汽车工业有限公司</x:v>
      </x:c>
      <x:c r="E366" s="6" t="str">
        <x:v>比亚迪股份间接持股比例</x:v>
      </x:c>
      <x:c r="F366" s="6" t="str">
        <x:v>3.21</x:v>
      </x:c>
      <x:c r="G366" s="6" t="str">
        <x:v>%</x:v>
      </x:c>
      <x:c r="H366" s="13" t="d">
        <x:v>2026-08-29T00:00:00.000Z</x:v>
      </x:c>
      <x:c r="I366" s="6" t="str">
        <x:v>[PDF物理第168页；报告印刷第168页] 比亚迪汽车工业有限公司*                     深圳      深圳        制造         美元3,757,654,524   96.79   3.21
长沙市比亚迪汽车有限公司*                    长沙      长沙        制造      人民币1,000,000,000元       -   99.88</x:v>
      </x:c>
      <x:c r="J366" s="6" t="str">
        <x:v>F002</x:v>
      </x:c>
      <x:c r="K366" s="6" t="str">
        <x:v>纳入核验字段</x:v>
      </x:c>
      <x:c r="L366" s="6" t="str">
        <x:v>官方披露已核验</x:v>
      </x:c>
    </x:row>
    <x:row r="367" ht="88" customHeight="1">
      <x:c r="A367" s="6" t="str">
        <x:v>R0349</x:v>
      </x:c>
      <x:c r="B367" s="6" t="str">
        <x:v>字段</x:v>
      </x:c>
      <x:c r="C367" s="18" t="n">
        <x:v>1</x:v>
      </x:c>
      <x:c r="D367" s="6" t="str">
        <x:v>长沙市比亚迪汽车有限公司</x:v>
      </x:c>
      <x:c r="E367" s="6" t="str">
        <x:v>母子关系</x:v>
      </x:c>
      <x:c r="F367" s="6" t="str">
        <x:v>比亚迪股份有限公司重要子公司</x:v>
      </x:c>
      <x:c r="G367" s="6" t="str"/>
      <x:c r="H367" s="13" t="d">
        <x:v>2026-08-29T00:00:00.000Z</x:v>
      </x:c>
      <x:c r="I367" s="6" t="str">
        <x:v>[PDF物理第168页；报告印刷第168页] 长沙市比亚迪汽车有限公司*                    长沙      长沙        制造      人民币1,000,000,000元       -   99.88
郑州比亚迪汽车有限公司*                     郑州      郑州        制造        人民币50,000,000元        -   100.00</x:v>
      </x:c>
      <x:c r="J367" s="6" t="str">
        <x:v>F002</x:v>
      </x:c>
      <x:c r="K367" s="6" t="str">
        <x:v>纳入核验字段</x:v>
      </x:c>
      <x:c r="L367" s="6" t="str">
        <x:v>官方披露已核验</x:v>
      </x:c>
    </x:row>
    <x:row r="368" ht="88" customHeight="1">
      <x:c r="A368" s="6" t="str">
        <x:v>R0350</x:v>
      </x:c>
      <x:c r="B368" s="6" t="str">
        <x:v>字段</x:v>
      </x:c>
      <x:c r="C368" s="18" t="n">
        <x:v>1</x:v>
      </x:c>
      <x:c r="D368" s="6" t="str">
        <x:v>长沙市比亚迪汽车有限公司</x:v>
      </x:c>
      <x:c r="E368" s="6" t="str">
        <x:v>主要经营地及注册地</x:v>
      </x:c>
      <x:c r="F368" s="6" t="str">
        <x:v>长沙</x:v>
      </x:c>
      <x:c r="G368" s="6" t="str"/>
      <x:c r="H368" s="13" t="d">
        <x:v>2026-08-29T00:00:00.000Z</x:v>
      </x:c>
      <x:c r="I368" s="6" t="str">
        <x:v>[PDF物理第168页；报告印刷第168页] 长沙市比亚迪汽车有限公司*                    长沙      长沙        制造      人民币1,000,000,000元       -   99.88
郑州比亚迪汽车有限公司*                     郑州      郑州        制造        人民币50,000,000元        -   100.00</x:v>
      </x:c>
      <x:c r="J368" s="6" t="str">
        <x:v>F002</x:v>
      </x:c>
      <x:c r="K368" s="6" t="str">
        <x:v>纳入核验字段</x:v>
      </x:c>
      <x:c r="L368" s="6" t="str">
        <x:v>官方披露已核验</x:v>
      </x:c>
    </x:row>
    <x:row r="369" ht="88" customHeight="1">
      <x:c r="A369" s="6" t="str">
        <x:v>R0351</x:v>
      </x:c>
      <x:c r="B369" s="6" t="str">
        <x:v>字段</x:v>
      </x:c>
      <x:c r="C369" s="18" t="n">
        <x:v>1</x:v>
      </x:c>
      <x:c r="D369" s="6" t="str">
        <x:v>长沙市比亚迪汽车有限公司</x:v>
      </x:c>
      <x:c r="E369" s="6" t="str">
        <x:v>业务性质</x:v>
      </x:c>
      <x:c r="F369" s="6" t="str">
        <x:v>制造</x:v>
      </x:c>
      <x:c r="G369" s="6" t="str"/>
      <x:c r="H369" s="13" t="d">
        <x:v>2026-08-29T00:00:00.000Z</x:v>
      </x:c>
      <x:c r="I369" s="6" t="str">
        <x:v>[PDF物理第168页；报告印刷第168页] 长沙市比亚迪汽车有限公司*                    长沙      长沙        制造      人民币1,000,000,000元       -   99.88
郑州比亚迪汽车有限公司*                     郑州      郑州        制造        人民币50,000,000元        -   100.00</x:v>
      </x:c>
      <x:c r="J369" s="6" t="str">
        <x:v>F002</x:v>
      </x:c>
      <x:c r="K369" s="6" t="str">
        <x:v>纳入核验字段</x:v>
      </x:c>
      <x:c r="L369" s="6" t="str">
        <x:v>官方披露已核验</x:v>
      </x:c>
    </x:row>
    <x:row r="370" ht="88" customHeight="1">
      <x:c r="A370" s="6" t="str">
        <x:v>R0352</x:v>
      </x:c>
      <x:c r="B370" s="6" t="str">
        <x:v>字段</x:v>
      </x:c>
      <x:c r="C370" s="18" t="n">
        <x:v>1</x:v>
      </x:c>
      <x:c r="D370" s="6" t="str">
        <x:v>长沙市比亚迪汽车有限公司</x:v>
      </x:c>
      <x:c r="E370" s="6" t="str">
        <x:v>注册资本/股本</x:v>
      </x:c>
      <x:c r="F370" s="14" t="str">
        <x:v>1000000000</x:v>
      </x:c>
      <x:c r="G370" s="6" t="str">
        <x:v>人民币元</x:v>
      </x:c>
      <x:c r="H370" s="13" t="d">
        <x:v>2026-08-29T00:00:00.000Z</x:v>
      </x:c>
      <x:c r="I370" s="6" t="str">
        <x:v>[PDF物理第168页；报告印刷第168页] 长沙市比亚迪汽车有限公司*                    长沙      长沙        制造      人民币1,000,000,000元       -   99.88
郑州比亚迪汽车有限公司*                     郑州      郑州        制造        人民币50,000,000元        -   100.00</x:v>
      </x:c>
      <x:c r="J370" s="6" t="str">
        <x:v>F002</x:v>
      </x:c>
      <x:c r="K370" s="6" t="str">
        <x:v>纳入核验字段</x:v>
      </x:c>
      <x:c r="L370" s="6" t="str">
        <x:v>官方披露已核验</x:v>
      </x:c>
    </x:row>
    <x:row r="371" ht="88" customHeight="1">
      <x:c r="A371" s="6" t="str">
        <x:v>R0353</x:v>
      </x:c>
      <x:c r="B371" s="6" t="str">
        <x:v>字段</x:v>
      </x:c>
      <x:c r="C371" s="18" t="n">
        <x:v>1</x:v>
      </x:c>
      <x:c r="D371" s="6" t="str">
        <x:v>长沙市比亚迪汽车有限公司</x:v>
      </x:c>
      <x:c r="E371" s="6" t="str">
        <x:v>比亚迪股份间接持股比例</x:v>
      </x:c>
      <x:c r="F371" s="6" t="str">
        <x:v>99.88</x:v>
      </x:c>
      <x:c r="G371" s="6" t="str">
        <x:v>%</x:v>
      </x:c>
      <x:c r="H371" s="13" t="d">
        <x:v>2026-08-29T00:00:00.000Z</x:v>
      </x:c>
      <x:c r="I371" s="6" t="str">
        <x:v>[PDF物理第168页；报告印刷第168页] 长沙市比亚迪汽车有限公司*                    长沙      长沙        制造      人民币1,000,000,000元       -   99.88
郑州比亚迪汽车有限公司*                     郑州      郑州        制造        人民币50,000,000元        -   100.00</x:v>
      </x:c>
      <x:c r="J371" s="6" t="str">
        <x:v>F002</x:v>
      </x:c>
      <x:c r="K371" s="6" t="str">
        <x:v>纳入核验字段</x:v>
      </x:c>
      <x:c r="L371" s="6" t="str">
        <x:v>官方披露已核验</x:v>
      </x:c>
    </x:row>
    <x:row r="372" ht="88" customHeight="1">
      <x:c r="A372" s="6" t="str">
        <x:v>R0354</x:v>
      </x:c>
      <x:c r="B372" s="6" t="str">
        <x:v>字段</x:v>
      </x:c>
      <x:c r="C372" s="18" t="n">
        <x:v>1</x:v>
      </x:c>
      <x:c r="D372" s="6" t="str">
        <x:v>郑州比亚迪汽车有限公司</x:v>
      </x:c>
      <x:c r="E372" s="6" t="str">
        <x:v>母子关系</x:v>
      </x:c>
      <x:c r="F372" s="6" t="str">
        <x:v>比亚迪股份有限公司重要子公司</x:v>
      </x:c>
      <x:c r="G372" s="6" t="str"/>
      <x:c r="H372" s="13" t="d">
        <x:v>2026-08-29T00:00:00.000Z</x:v>
      </x:c>
      <x:c r="I372" s="6" t="str">
        <x:v>[PDF物理第168页；报告印刷第168页] 郑州比亚迪汽车有限公司*                     郑州      郑州        制造        人民币50,000,000元        -   100.00
合肥比亚迪汽车有限公司*                     合肥      合肥        制造      人民币2,000,000,000元       -   100.00</x:v>
      </x:c>
      <x:c r="J372" s="6" t="str">
        <x:v>F002</x:v>
      </x:c>
      <x:c r="K372" s="6" t="str">
        <x:v>纳入核验字段</x:v>
      </x:c>
      <x:c r="L372" s="6" t="str">
        <x:v>官方披露已核验</x:v>
      </x:c>
    </x:row>
    <x:row r="373" ht="88" customHeight="1">
      <x:c r="A373" s="6" t="str">
        <x:v>R0355</x:v>
      </x:c>
      <x:c r="B373" s="6" t="str">
        <x:v>字段</x:v>
      </x:c>
      <x:c r="C373" s="18" t="n">
        <x:v>1</x:v>
      </x:c>
      <x:c r="D373" s="6" t="str">
        <x:v>郑州比亚迪汽车有限公司</x:v>
      </x:c>
      <x:c r="E373" s="6" t="str">
        <x:v>主要经营地及注册地</x:v>
      </x:c>
      <x:c r="F373" s="6" t="str">
        <x:v>郑州</x:v>
      </x:c>
      <x:c r="G373" s="6" t="str"/>
      <x:c r="H373" s="13" t="d">
        <x:v>2026-08-29T00:00:00.000Z</x:v>
      </x:c>
      <x:c r="I373" s="6" t="str">
        <x:v>[PDF物理第168页；报告印刷第168页] 郑州比亚迪汽车有限公司*                     郑州      郑州        制造        人民币50,000,000元        -   100.00
合肥比亚迪汽车有限公司*                     合肥      合肥        制造      人民币2,000,000,000元       -   100.00</x:v>
      </x:c>
      <x:c r="J373" s="6" t="str">
        <x:v>F002</x:v>
      </x:c>
      <x:c r="K373" s="6" t="str">
        <x:v>纳入核验字段</x:v>
      </x:c>
      <x:c r="L373" s="6" t="str">
        <x:v>官方披露已核验</x:v>
      </x:c>
    </x:row>
    <x:row r="374" ht="88" customHeight="1">
      <x:c r="A374" s="6" t="str">
        <x:v>R0356</x:v>
      </x:c>
      <x:c r="B374" s="6" t="str">
        <x:v>字段</x:v>
      </x:c>
      <x:c r="C374" s="18" t="n">
        <x:v>1</x:v>
      </x:c>
      <x:c r="D374" s="6" t="str">
        <x:v>郑州比亚迪汽车有限公司</x:v>
      </x:c>
      <x:c r="E374" s="6" t="str">
        <x:v>业务性质</x:v>
      </x:c>
      <x:c r="F374" s="6" t="str">
        <x:v>制造</x:v>
      </x:c>
      <x:c r="G374" s="6" t="str"/>
      <x:c r="H374" s="13" t="d">
        <x:v>2026-08-29T00:00:00.000Z</x:v>
      </x:c>
      <x:c r="I374" s="6" t="str">
        <x:v>[PDF物理第168页；报告印刷第168页] 郑州比亚迪汽车有限公司*                     郑州      郑州        制造        人民币50,000,000元        -   100.00
合肥比亚迪汽车有限公司*                     合肥      合肥        制造      人民币2,000,000,000元       -   100.00</x:v>
      </x:c>
      <x:c r="J374" s="6" t="str">
        <x:v>F002</x:v>
      </x:c>
      <x:c r="K374" s="6" t="str">
        <x:v>纳入核验字段</x:v>
      </x:c>
      <x:c r="L374" s="6" t="str">
        <x:v>官方披露已核验</x:v>
      </x:c>
    </x:row>
    <x:row r="375" ht="88" customHeight="1">
      <x:c r="A375" s="6" t="str">
        <x:v>R0357</x:v>
      </x:c>
      <x:c r="B375" s="6" t="str">
        <x:v>字段</x:v>
      </x:c>
      <x:c r="C375" s="18" t="n">
        <x:v>1</x:v>
      </x:c>
      <x:c r="D375" s="6" t="str">
        <x:v>郑州比亚迪汽车有限公司</x:v>
      </x:c>
      <x:c r="E375" s="6" t="str">
        <x:v>注册资本/股本</x:v>
      </x:c>
      <x:c r="F375" s="14" t="str">
        <x:v>50000000</x:v>
      </x:c>
      <x:c r="G375" s="6" t="str">
        <x:v>人民币元</x:v>
      </x:c>
      <x:c r="H375" s="13" t="d">
        <x:v>2026-08-29T00:00:00.000Z</x:v>
      </x:c>
      <x:c r="I375" s="6" t="str">
        <x:v>[PDF物理第168页；报告印刷第168页] 郑州比亚迪汽车有限公司*                     郑州      郑州        制造        人民币50,000,000元        -   100.00
合肥比亚迪汽车有限公司*                     合肥      合肥        制造      人民币2,000,000,000元       -   100.00</x:v>
      </x:c>
      <x:c r="J375" s="6" t="str">
        <x:v>F002</x:v>
      </x:c>
      <x:c r="K375" s="6" t="str">
        <x:v>纳入核验字段</x:v>
      </x:c>
      <x:c r="L375" s="6" t="str">
        <x:v>官方披露已核验</x:v>
      </x:c>
    </x:row>
    <x:row r="376" ht="88" customHeight="1">
      <x:c r="A376" s="6" t="str">
        <x:v>R0358</x:v>
      </x:c>
      <x:c r="B376" s="6" t="str">
        <x:v>字段</x:v>
      </x:c>
      <x:c r="C376" s="18" t="n">
        <x:v>1</x:v>
      </x:c>
      <x:c r="D376" s="6" t="str">
        <x:v>郑州比亚迪汽车有限公司</x:v>
      </x:c>
      <x:c r="E376" s="6" t="str">
        <x:v>比亚迪股份间接持股比例</x:v>
      </x:c>
      <x:c r="F376" s="14" t="str">
        <x:v>100</x:v>
      </x:c>
      <x:c r="G376" s="6" t="str">
        <x:v>%</x:v>
      </x:c>
      <x:c r="H376" s="13" t="d">
        <x:v>2026-08-29T00:00:00.000Z</x:v>
      </x:c>
      <x:c r="I376" s="6" t="str">
        <x:v>[PDF物理第168页；报告印刷第168页] 郑州比亚迪汽车有限公司*                     郑州      郑州        制造        人民币50,000,000元        -   100.00
合肥比亚迪汽车有限公司*                     合肥      合肥        制造      人民币2,000,000,000元       -   100.00</x:v>
      </x:c>
      <x:c r="J376" s="6" t="str">
        <x:v>F002</x:v>
      </x:c>
      <x:c r="K376" s="6" t="str">
        <x:v>纳入核验字段</x:v>
      </x:c>
      <x:c r="L376" s="6" t="str">
        <x:v>官方披露已核验</x:v>
      </x:c>
    </x:row>
    <x:row r="377" ht="88" customHeight="1">
      <x:c r="A377" s="6" t="str">
        <x:v>R0359</x:v>
      </x:c>
      <x:c r="B377" s="6" t="str">
        <x:v>字段</x:v>
      </x:c>
      <x:c r="C377" s="18" t="n">
        <x:v>1</x:v>
      </x:c>
      <x:c r="D377" s="6" t="str">
        <x:v>合肥比亚迪汽车有限公司</x:v>
      </x:c>
      <x:c r="E377" s="6" t="str">
        <x:v>母子关系</x:v>
      </x:c>
      <x:c r="F377" s="6" t="str">
        <x:v>比亚迪股份有限公司重要子公司</x:v>
      </x:c>
      <x:c r="G377" s="6" t="str"/>
      <x:c r="H377" s="13" t="d">
        <x:v>2026-08-29T00:00:00.000Z</x:v>
      </x:c>
      <x:c r="I377" s="6" t="str">
        <x:v>[PDF物理第168页；报告印刷第168页] 合肥比亚迪汽车有限公司*                     合肥      合肥        制造      人民币2,000,000,000元       -   100.00
广西弗迪电池有限公司*                      南宁      南宁        制造        人民币50,000,000元        -   100.00</x:v>
      </x:c>
      <x:c r="J377" s="6" t="str">
        <x:v>F002</x:v>
      </x:c>
      <x:c r="K377" s="6" t="str">
        <x:v>纳入核验字段</x:v>
      </x:c>
      <x:c r="L377" s="6" t="str">
        <x:v>官方披露已核验</x:v>
      </x:c>
    </x:row>
    <x:row r="378" ht="88" customHeight="1">
      <x:c r="A378" s="6" t="str">
        <x:v>R0360</x:v>
      </x:c>
      <x:c r="B378" s="6" t="str">
        <x:v>字段</x:v>
      </x:c>
      <x:c r="C378" s="18" t="n">
        <x:v>1</x:v>
      </x:c>
      <x:c r="D378" s="6" t="str">
        <x:v>合肥比亚迪汽车有限公司</x:v>
      </x:c>
      <x:c r="E378" s="6" t="str">
        <x:v>主要经营地及注册地</x:v>
      </x:c>
      <x:c r="F378" s="6" t="str">
        <x:v>合肥</x:v>
      </x:c>
      <x:c r="G378" s="6" t="str"/>
      <x:c r="H378" s="13" t="d">
        <x:v>2026-08-29T00:00:00.000Z</x:v>
      </x:c>
      <x:c r="I378" s="6" t="str">
        <x:v>[PDF物理第168页；报告印刷第168页] 合肥比亚迪汽车有限公司*                     合肥      合肥        制造      人民币2,000,000,000元       -   100.00
广西弗迪电池有限公司*                      南宁      南宁        制造        人民币50,000,000元        -   100.00</x:v>
      </x:c>
      <x:c r="J378" s="6" t="str">
        <x:v>F002</x:v>
      </x:c>
      <x:c r="K378" s="6" t="str">
        <x:v>纳入核验字段</x:v>
      </x:c>
      <x:c r="L378" s="6" t="str">
        <x:v>官方披露已核验</x:v>
      </x:c>
    </x:row>
    <x:row r="379" ht="88" customHeight="1">
      <x:c r="A379" s="6" t="str">
        <x:v>R0361</x:v>
      </x:c>
      <x:c r="B379" s="6" t="str">
        <x:v>字段</x:v>
      </x:c>
      <x:c r="C379" s="18" t="n">
        <x:v>1</x:v>
      </x:c>
      <x:c r="D379" s="6" t="str">
        <x:v>合肥比亚迪汽车有限公司</x:v>
      </x:c>
      <x:c r="E379" s="6" t="str">
        <x:v>业务性质</x:v>
      </x:c>
      <x:c r="F379" s="6" t="str">
        <x:v>制造</x:v>
      </x:c>
      <x:c r="G379" s="6" t="str"/>
      <x:c r="H379" s="13" t="d">
        <x:v>2026-08-29T00:00:00.000Z</x:v>
      </x:c>
      <x:c r="I379" s="6" t="str">
        <x:v>[PDF物理第168页；报告印刷第168页] 合肥比亚迪汽车有限公司*                     合肥      合肥        制造      人民币2,000,000,000元       -   100.00
广西弗迪电池有限公司*                      南宁      南宁        制造        人民币50,000,000元        -   100.00</x:v>
      </x:c>
      <x:c r="J379" s="6" t="str">
        <x:v>F002</x:v>
      </x:c>
      <x:c r="K379" s="6" t="str">
        <x:v>纳入核验字段</x:v>
      </x:c>
      <x:c r="L379" s="6" t="str">
        <x:v>官方披露已核验</x:v>
      </x:c>
    </x:row>
    <x:row r="380" ht="88" customHeight="1">
      <x:c r="A380" s="6" t="str">
        <x:v>R0362</x:v>
      </x:c>
      <x:c r="B380" s="6" t="str">
        <x:v>字段</x:v>
      </x:c>
      <x:c r="C380" s="18" t="n">
        <x:v>1</x:v>
      </x:c>
      <x:c r="D380" s="6" t="str">
        <x:v>合肥比亚迪汽车有限公司</x:v>
      </x:c>
      <x:c r="E380" s="6" t="str">
        <x:v>注册资本/股本</x:v>
      </x:c>
      <x:c r="F380" s="14" t="str">
        <x:v>2000000000</x:v>
      </x:c>
      <x:c r="G380" s="6" t="str">
        <x:v>人民币元</x:v>
      </x:c>
      <x:c r="H380" s="13" t="d">
        <x:v>2026-08-29T00:00:00.000Z</x:v>
      </x:c>
      <x:c r="I380" s="6" t="str">
        <x:v>[PDF物理第168页；报告印刷第168页] 合肥比亚迪汽车有限公司*                     合肥      合肥        制造      人民币2,000,000,000元       -   100.00
广西弗迪电池有限公司*                      南宁      南宁        制造        人民币50,000,000元        -   100.00</x:v>
      </x:c>
      <x:c r="J380" s="6" t="str">
        <x:v>F002</x:v>
      </x:c>
      <x:c r="K380" s="6" t="str">
        <x:v>纳入核验字段</x:v>
      </x:c>
      <x:c r="L380" s="6" t="str">
        <x:v>官方披露已核验</x:v>
      </x:c>
    </x:row>
    <x:row r="381" ht="88" customHeight="1">
      <x:c r="A381" s="6" t="str">
        <x:v>R0363</x:v>
      </x:c>
      <x:c r="B381" s="6" t="str">
        <x:v>字段</x:v>
      </x:c>
      <x:c r="C381" s="18" t="n">
        <x:v>1</x:v>
      </x:c>
      <x:c r="D381" s="6" t="str">
        <x:v>合肥比亚迪汽车有限公司</x:v>
      </x:c>
      <x:c r="E381" s="6" t="str">
        <x:v>比亚迪股份间接持股比例</x:v>
      </x:c>
      <x:c r="F381" s="14" t="str">
        <x:v>100</x:v>
      </x:c>
      <x:c r="G381" s="6" t="str">
        <x:v>%</x:v>
      </x:c>
      <x:c r="H381" s="13" t="d">
        <x:v>2026-08-29T00:00:00.000Z</x:v>
      </x:c>
      <x:c r="I381" s="6" t="str">
        <x:v>[PDF物理第168页；报告印刷第168页] 合肥比亚迪汽车有限公司*                     合肥      合肥        制造      人民币2,000,000,000元       -   100.00
广西弗迪电池有限公司*                      南宁      南宁        制造        人民币50,000,000元        -   100.00</x:v>
      </x:c>
      <x:c r="J381" s="6" t="str">
        <x:v>F002</x:v>
      </x:c>
      <x:c r="K381" s="6" t="str">
        <x:v>纳入核验字段</x:v>
      </x:c>
      <x:c r="L381" s="6" t="str">
        <x:v>官方披露已核验</x:v>
      </x:c>
    </x:row>
    <x:row r="382" ht="88" customHeight="1">
      <x:c r="A382" s="6" t="str">
        <x:v>R0364</x:v>
      </x:c>
      <x:c r="B382" s="6" t="str">
        <x:v>字段</x:v>
      </x:c>
      <x:c r="C382" s="18" t="n">
        <x:v>1</x:v>
      </x:c>
      <x:c r="D382" s="6" t="str">
        <x:v>广西弗迪电池有限公司</x:v>
      </x:c>
      <x:c r="E382" s="6" t="str">
        <x:v>母子关系</x:v>
      </x:c>
      <x:c r="F382" s="6" t="str">
        <x:v>比亚迪股份有限公司重要子公司</x:v>
      </x:c>
      <x:c r="G382" s="6" t="str"/>
      <x:c r="H382" s="13" t="d">
        <x:v>2026-08-29T00:00:00.000Z</x:v>
      </x:c>
      <x:c r="I382" s="6" t="str">
        <x:v>[PDF物理第168页；报告印刷第168页] 广西弗迪电池有限公司*                      南宁      南宁        制造        人民币50,000,000元        -   100.00
比亚迪电子（国际）有限公司                    香港      香港   投资控股              港元225,320,450      -   65.76   注2</x:v>
      </x:c>
      <x:c r="J382" s="6" t="str">
        <x:v>F002</x:v>
      </x:c>
      <x:c r="K382" s="6" t="str">
        <x:v>关联或待核</x:v>
      </x:c>
      <x:c r="L382" s="6" t="str">
        <x:v>官方披露已核验</x:v>
      </x:c>
    </x:row>
    <x:row r="383" ht="88" customHeight="1">
      <x:c r="A383" s="6" t="str">
        <x:v>R0365</x:v>
      </x:c>
      <x:c r="B383" s="6" t="str">
        <x:v>字段</x:v>
      </x:c>
      <x:c r="C383" s="18" t="n">
        <x:v>1</x:v>
      </x:c>
      <x:c r="D383" s="6" t="str">
        <x:v>广西弗迪电池有限公司</x:v>
      </x:c>
      <x:c r="E383" s="6" t="str">
        <x:v>主要经营地及注册地</x:v>
      </x:c>
      <x:c r="F383" s="6" t="str">
        <x:v>南宁</x:v>
      </x:c>
      <x:c r="G383" s="6" t="str"/>
      <x:c r="H383" s="13" t="d">
        <x:v>2026-08-29T00:00:00.000Z</x:v>
      </x:c>
      <x:c r="I383" s="6" t="str">
        <x:v>[PDF物理第168页；报告印刷第168页] 广西弗迪电池有限公司*                      南宁      南宁        制造        人民币50,000,000元        -   100.00
比亚迪电子（国际）有限公司                    香港      香港   投资控股              港元225,320,450      -   65.76   注2</x:v>
      </x:c>
      <x:c r="J383" s="6" t="str">
        <x:v>F002</x:v>
      </x:c>
      <x:c r="K383" s="6" t="str">
        <x:v>关联或待核</x:v>
      </x:c>
      <x:c r="L383" s="6" t="str">
        <x:v>官方披露已核验</x:v>
      </x:c>
    </x:row>
    <x:row r="384" ht="88" customHeight="1">
      <x:c r="A384" s="6" t="str">
        <x:v>R0366</x:v>
      </x:c>
      <x:c r="B384" s="6" t="str">
        <x:v>字段</x:v>
      </x:c>
      <x:c r="C384" s="18" t="n">
        <x:v>1</x:v>
      </x:c>
      <x:c r="D384" s="6" t="str">
        <x:v>广西弗迪电池有限公司</x:v>
      </x:c>
      <x:c r="E384" s="6" t="str">
        <x:v>业务性质</x:v>
      </x:c>
      <x:c r="F384" s="6" t="str">
        <x:v>制造</x:v>
      </x:c>
      <x:c r="G384" s="6" t="str"/>
      <x:c r="H384" s="13" t="d">
        <x:v>2026-08-29T00:00:00.000Z</x:v>
      </x:c>
      <x:c r="I384" s="6" t="str">
        <x:v>[PDF物理第168页；报告印刷第168页] 广西弗迪电池有限公司*                      南宁      南宁        制造        人民币50,000,000元        -   100.00
比亚迪电子（国际）有限公司                    香港      香港   投资控股              港元225,320,450      -   65.76   注2</x:v>
      </x:c>
      <x:c r="J384" s="6" t="str">
        <x:v>F002</x:v>
      </x:c>
      <x:c r="K384" s="6" t="str">
        <x:v>关联或待核</x:v>
      </x:c>
      <x:c r="L384" s="6" t="str">
        <x:v>官方披露已核验</x:v>
      </x:c>
    </x:row>
    <x:row r="385" ht="88" customHeight="1">
      <x:c r="A385" s="6" t="str">
        <x:v>R0367</x:v>
      </x:c>
      <x:c r="B385" s="6" t="str">
        <x:v>字段</x:v>
      </x:c>
      <x:c r="C385" s="18" t="n">
        <x:v>1</x:v>
      </x:c>
      <x:c r="D385" s="6" t="str">
        <x:v>广西弗迪电池有限公司</x:v>
      </x:c>
      <x:c r="E385" s="6" t="str">
        <x:v>注册资本/股本</x:v>
      </x:c>
      <x:c r="F385" s="14" t="str">
        <x:v>50000000</x:v>
      </x:c>
      <x:c r="G385" s="6" t="str">
        <x:v>人民币元</x:v>
      </x:c>
      <x:c r="H385" s="13" t="d">
        <x:v>2026-08-29T00:00:00.000Z</x:v>
      </x:c>
      <x:c r="I385" s="6" t="str">
        <x:v>[PDF物理第168页；报告印刷第168页] 广西弗迪电池有限公司*                      南宁      南宁        制造        人民币50,000,000元        -   100.00
比亚迪电子（国际）有限公司                    香港      香港   投资控股              港元225,320,450      -   65.76   注2</x:v>
      </x:c>
      <x:c r="J385" s="6" t="str">
        <x:v>F002</x:v>
      </x:c>
      <x:c r="K385" s="6" t="str">
        <x:v>关联或待核</x:v>
      </x:c>
      <x:c r="L385" s="6" t="str">
        <x:v>官方披露已核验</x:v>
      </x:c>
    </x:row>
    <x:row r="386" ht="88" customHeight="1">
      <x:c r="A386" s="6" t="str">
        <x:v>R0368</x:v>
      </x:c>
      <x:c r="B386" s="6" t="str">
        <x:v>字段</x:v>
      </x:c>
      <x:c r="C386" s="18" t="n">
        <x:v>1</x:v>
      </x:c>
      <x:c r="D386" s="6" t="str">
        <x:v>广西弗迪电池有限公司</x:v>
      </x:c>
      <x:c r="E386" s="6" t="str">
        <x:v>比亚迪股份间接持股比例</x:v>
      </x:c>
      <x:c r="F386" s="14" t="str">
        <x:v>100</x:v>
      </x:c>
      <x:c r="G386" s="6" t="str">
        <x:v>%</x:v>
      </x:c>
      <x:c r="H386" s="13" t="d">
        <x:v>2026-08-29T00:00:00.000Z</x:v>
      </x:c>
      <x:c r="I386" s="6" t="str">
        <x:v>[PDF物理第168页；报告印刷第168页] 广西弗迪电池有限公司*                      南宁      南宁        制造        人民币50,000,000元        -   100.00
比亚迪电子（国际）有限公司                    香港      香港   投资控股              港元225,320,450      -   65.76   注2</x:v>
      </x:c>
      <x:c r="J386" s="6" t="str">
        <x:v>F002</x:v>
      </x:c>
      <x:c r="K386" s="6" t="str">
        <x:v>关联或待核</x:v>
      </x:c>
      <x:c r="L386" s="6" t="str">
        <x:v>官方披露已核验</x:v>
      </x:c>
    </x:row>
    <x:row r="387" ht="88" customHeight="1">
      <x:c r="A387" s="6" t="str">
        <x:v>R0369</x:v>
      </x:c>
      <x:c r="B387" s="6" t="str">
        <x:v>字段</x:v>
      </x:c>
      <x:c r="C387" s="18" t="n">
        <x:v>1</x:v>
      </x:c>
      <x:c r="D387" s="6" t="str">
        <x:v>比亚迪电子（国际）有限公司</x:v>
      </x:c>
      <x:c r="E387" s="6" t="str">
        <x:v>母子关系</x:v>
      </x:c>
      <x:c r="F387" s="6" t="str">
        <x:v>比亚迪股份有限公司重要子公司</x:v>
      </x:c>
      <x:c r="G387" s="6" t="str"/>
      <x:c r="H387" s="13" t="d">
        <x:v>2026-08-29T00:00:00.000Z</x:v>
      </x:c>
      <x:c r="I387" s="6" t="str">
        <x:v>[PDF物理第168页；报告印刷第168页] 比亚迪电子（国际）有限公司                    香港      香港   投资控股              港元225,320,450      -   65.76   注2
比亚迪精密制造有限公司*                     深圳      深圳        制造           美元145,000,000      -   65.76   注1</x:v>
      </x:c>
      <x:c r="J387" s="6" t="str">
        <x:v>F002</x:v>
      </x:c>
      <x:c r="K387" s="6" t="str">
        <x:v>纳入核验字段</x:v>
      </x:c>
      <x:c r="L387" s="6" t="str">
        <x:v>官方披露已核验</x:v>
      </x:c>
    </x:row>
    <x:row r="388" ht="88" customHeight="1">
      <x:c r="A388" s="6" t="str">
        <x:v>R0370</x:v>
      </x:c>
      <x:c r="B388" s="6" t="str">
        <x:v>字段</x:v>
      </x:c>
      <x:c r="C388" s="18" t="n">
        <x:v>1</x:v>
      </x:c>
      <x:c r="D388" s="6" t="str">
        <x:v>比亚迪电子（国际）有限公司</x:v>
      </x:c>
      <x:c r="E388" s="6" t="str">
        <x:v>主要经营地及注册地</x:v>
      </x:c>
      <x:c r="F388" s="6" t="str">
        <x:v>香港</x:v>
      </x:c>
      <x:c r="G388" s="6" t="str"/>
      <x:c r="H388" s="13" t="d">
        <x:v>2026-08-29T00:00:00.000Z</x:v>
      </x:c>
      <x:c r="I388" s="6" t="str">
        <x:v>[PDF物理第168页；报告印刷第168页] 比亚迪电子（国际）有限公司                    香港      香港   投资控股              港元225,320,450      -   65.76   注2
比亚迪精密制造有限公司*                     深圳      深圳        制造           美元145,000,000      -   65.76   注1</x:v>
      </x:c>
      <x:c r="J388" s="6" t="str">
        <x:v>F002</x:v>
      </x:c>
      <x:c r="K388" s="6" t="str">
        <x:v>纳入核验字段</x:v>
      </x:c>
      <x:c r="L388" s="6" t="str">
        <x:v>官方披露已核验</x:v>
      </x:c>
    </x:row>
    <x:row r="389" ht="88" customHeight="1">
      <x:c r="A389" s="6" t="str">
        <x:v>R0371</x:v>
      </x:c>
      <x:c r="B389" s="6" t="str">
        <x:v>字段</x:v>
      </x:c>
      <x:c r="C389" s="18" t="n">
        <x:v>1</x:v>
      </x:c>
      <x:c r="D389" s="6" t="str">
        <x:v>比亚迪电子（国际）有限公司</x:v>
      </x:c>
      <x:c r="E389" s="6" t="str">
        <x:v>业务性质</x:v>
      </x:c>
      <x:c r="F389" s="6" t="str">
        <x:v>投资控股</x:v>
      </x:c>
      <x:c r="G389" s="6" t="str"/>
      <x:c r="H389" s="13" t="d">
        <x:v>2026-08-29T00:00:00.000Z</x:v>
      </x:c>
      <x:c r="I389" s="6" t="str">
        <x:v>[PDF物理第168页；报告印刷第168页] 比亚迪电子（国际）有限公司                    香港      香港   投资控股              港元225,320,450      -   65.76   注2
比亚迪精密制造有限公司*                     深圳      深圳        制造           美元145,000,000      -   65.76   注1</x:v>
      </x:c>
      <x:c r="J389" s="6" t="str">
        <x:v>F002</x:v>
      </x:c>
      <x:c r="K389" s="6" t="str">
        <x:v>纳入核验字段</x:v>
      </x:c>
      <x:c r="L389" s="6" t="str">
        <x:v>官方披露已核验</x:v>
      </x:c>
    </x:row>
    <x:row r="390" ht="88" customHeight="1">
      <x:c r="A390" s="6" t="str">
        <x:v>R0372</x:v>
      </x:c>
      <x:c r="B390" s="6" t="str">
        <x:v>字段</x:v>
      </x:c>
      <x:c r="C390" s="18" t="n">
        <x:v>1</x:v>
      </x:c>
      <x:c r="D390" s="6" t="str">
        <x:v>比亚迪电子（国际）有限公司</x:v>
      </x:c>
      <x:c r="E390" s="6" t="str">
        <x:v>注册资本/股本</x:v>
      </x:c>
      <x:c r="F390" s="14" t="str">
        <x:v>225320450</x:v>
      </x:c>
      <x:c r="G390" s="6" t="str">
        <x:v>港元</x:v>
      </x:c>
      <x:c r="H390" s="13" t="d">
        <x:v>2026-08-29T00:00:00.000Z</x:v>
      </x:c>
      <x:c r="I390" s="6" t="str">
        <x:v>[PDF物理第168页；报告印刷第168页] 比亚迪电子（国际）有限公司                    香港      香港   投资控股              港元225,320,450      -   65.76   注2
比亚迪精密制造有限公司*                     深圳      深圳        制造           美元145,000,000      -   65.76   注1</x:v>
      </x:c>
      <x:c r="J390" s="6" t="str">
        <x:v>F002</x:v>
      </x:c>
      <x:c r="K390" s="6" t="str">
        <x:v>纳入核验字段</x:v>
      </x:c>
      <x:c r="L390" s="6" t="str">
        <x:v>官方披露已核验</x:v>
      </x:c>
    </x:row>
    <x:row r="391" ht="88" customHeight="1">
      <x:c r="A391" s="6" t="str">
        <x:v>R0373</x:v>
      </x:c>
      <x:c r="B391" s="6" t="str">
        <x:v>字段</x:v>
      </x:c>
      <x:c r="C391" s="18" t="n">
        <x:v>1</x:v>
      </x:c>
      <x:c r="D391" s="6" t="str">
        <x:v>比亚迪电子（国际）有限公司</x:v>
      </x:c>
      <x:c r="E391" s="6" t="str">
        <x:v>比亚迪股份间接持股比例</x:v>
      </x:c>
      <x:c r="F391" s="6" t="str">
        <x:v>65.76</x:v>
      </x:c>
      <x:c r="G391" s="6" t="str">
        <x:v>%</x:v>
      </x:c>
      <x:c r="H391" s="13" t="d">
        <x:v>2026-08-29T00:00:00.000Z</x:v>
      </x:c>
      <x:c r="I391" s="6" t="str">
        <x:v>[PDF物理第168页；报告印刷第168页] 比亚迪电子（国际）有限公司                    香港      香港   投资控股              港元225,320,450      -   65.76   注2
比亚迪精密制造有限公司*                     深圳      深圳        制造           美元145,000,000      -   65.76   注1</x:v>
      </x:c>
      <x:c r="J391" s="6" t="str">
        <x:v>F002</x:v>
      </x:c>
      <x:c r="K391" s="6" t="str">
        <x:v>纳入核验字段</x:v>
      </x:c>
      <x:c r="L391" s="6" t="str">
        <x:v>官方披露已核验</x:v>
      </x:c>
    </x:row>
    <x:row r="392" ht="88" customHeight="1">
      <x:c r="A392" s="6" t="str">
        <x:v>R0374</x:v>
      </x:c>
      <x:c r="B392" s="6" t="str">
        <x:v>字段</x:v>
      </x:c>
      <x:c r="C392" s="18" t="n">
        <x:v>1</x:v>
      </x:c>
      <x:c r="D392" s="6" t="str">
        <x:v>比亚迪精密制造有限公司</x:v>
      </x:c>
      <x:c r="E392" s="6" t="str">
        <x:v>母子关系</x:v>
      </x:c>
      <x:c r="F392" s="6" t="str">
        <x:v>比亚迪股份有限公司重要子公司</x:v>
      </x:c>
      <x:c r="G392" s="6" t="str"/>
      <x:c r="H392" s="13" t="d">
        <x:v>2026-08-29T00:00:00.000Z</x:v>
      </x:c>
      <x:c r="I392" s="6" t="str">
        <x:v>[PDF物理第168页；报告印刷第168页] 比亚迪精密制造有限公司*                     深圳      深圳        制造           美元145,000,000      -   65.76   注1
惠州比亚迪电子有限公司*                     惠州      惠州        制造           美元110,000,000      -   65.76   注1</x:v>
      </x:c>
      <x:c r="J392" s="6" t="str">
        <x:v>F002</x:v>
      </x:c>
      <x:c r="K392" s="6" t="str">
        <x:v>纳入核验字段</x:v>
      </x:c>
      <x:c r="L392" s="6" t="str">
        <x:v>官方披露已核验</x:v>
      </x:c>
    </x:row>
    <x:row r="393" ht="88" customHeight="1">
      <x:c r="A393" s="6" t="str">
        <x:v>R0375</x:v>
      </x:c>
      <x:c r="B393" s="6" t="str">
        <x:v>字段</x:v>
      </x:c>
      <x:c r="C393" s="18" t="n">
        <x:v>1</x:v>
      </x:c>
      <x:c r="D393" s="6" t="str">
        <x:v>比亚迪精密制造有限公司</x:v>
      </x:c>
      <x:c r="E393" s="6" t="str">
        <x:v>主要经营地及注册地</x:v>
      </x:c>
      <x:c r="F393" s="6" t="str">
        <x:v>深圳</x:v>
      </x:c>
      <x:c r="G393" s="6" t="str"/>
      <x:c r="H393" s="13" t="d">
        <x:v>2026-08-29T00:00:00.000Z</x:v>
      </x:c>
      <x:c r="I393" s="6" t="str">
        <x:v>[PDF物理第168页；报告印刷第168页] 比亚迪精密制造有限公司*                     深圳      深圳        制造           美元145,000,000      -   65.76   注1
惠州比亚迪电子有限公司*                     惠州      惠州        制造           美元110,000,000      -   65.76   注1</x:v>
      </x:c>
      <x:c r="J393" s="6" t="str">
        <x:v>F002</x:v>
      </x:c>
      <x:c r="K393" s="6" t="str">
        <x:v>纳入核验字段</x:v>
      </x:c>
      <x:c r="L393" s="6" t="str">
        <x:v>官方披露已核验</x:v>
      </x:c>
    </x:row>
    <x:row r="394" ht="88" customHeight="1">
      <x:c r="A394" s="6" t="str">
        <x:v>R0376</x:v>
      </x:c>
      <x:c r="B394" s="6" t="str">
        <x:v>字段</x:v>
      </x:c>
      <x:c r="C394" s="18" t="n">
        <x:v>1</x:v>
      </x:c>
      <x:c r="D394" s="6" t="str">
        <x:v>比亚迪精密制造有限公司</x:v>
      </x:c>
      <x:c r="E394" s="6" t="str">
        <x:v>业务性质</x:v>
      </x:c>
      <x:c r="F394" s="6" t="str">
        <x:v>制造</x:v>
      </x:c>
      <x:c r="G394" s="6" t="str"/>
      <x:c r="H394" s="13" t="d">
        <x:v>2026-08-29T00:00:00.000Z</x:v>
      </x:c>
      <x:c r="I394" s="6" t="str">
        <x:v>[PDF物理第168页；报告印刷第168页] 比亚迪精密制造有限公司*                     深圳      深圳        制造           美元145,000,000      -   65.76   注1
惠州比亚迪电子有限公司*                     惠州      惠州        制造           美元110,000,000      -   65.76   注1</x:v>
      </x:c>
      <x:c r="J394" s="6" t="str">
        <x:v>F002</x:v>
      </x:c>
      <x:c r="K394" s="6" t="str">
        <x:v>纳入核验字段</x:v>
      </x:c>
      <x:c r="L394" s="6" t="str">
        <x:v>官方披露已核验</x:v>
      </x:c>
    </x:row>
    <x:row r="395" ht="88" customHeight="1">
      <x:c r="A395" s="6" t="str">
        <x:v>R0377</x:v>
      </x:c>
      <x:c r="B395" s="6" t="str">
        <x:v>字段</x:v>
      </x:c>
      <x:c r="C395" s="18" t="n">
        <x:v>1</x:v>
      </x:c>
      <x:c r="D395" s="6" t="str">
        <x:v>比亚迪精密制造有限公司</x:v>
      </x:c>
      <x:c r="E395" s="6" t="str">
        <x:v>注册资本/股本</x:v>
      </x:c>
      <x:c r="F395" s="14" t="str">
        <x:v>145000000</x:v>
      </x:c>
      <x:c r="G395" s="6" t="str">
        <x:v>美元</x:v>
      </x:c>
      <x:c r="H395" s="13" t="d">
        <x:v>2026-08-29T00:00:00.000Z</x:v>
      </x:c>
      <x:c r="I395" s="6" t="str">
        <x:v>[PDF物理第168页；报告印刷第168页] 比亚迪精密制造有限公司*                     深圳      深圳        制造           美元145,000,000      -   65.76   注1
惠州比亚迪电子有限公司*                     惠州      惠州        制造           美元110,000,000      -   65.76   注1</x:v>
      </x:c>
      <x:c r="J395" s="6" t="str">
        <x:v>F002</x:v>
      </x:c>
      <x:c r="K395" s="6" t="str">
        <x:v>纳入核验字段</x:v>
      </x:c>
      <x:c r="L395" s="6" t="str">
        <x:v>官方披露已核验</x:v>
      </x:c>
    </x:row>
    <x:row r="396" ht="88" customHeight="1">
      <x:c r="A396" s="6" t="str">
        <x:v>R0378</x:v>
      </x:c>
      <x:c r="B396" s="6" t="str">
        <x:v>字段</x:v>
      </x:c>
      <x:c r="C396" s="18" t="n">
        <x:v>1</x:v>
      </x:c>
      <x:c r="D396" s="6" t="str">
        <x:v>比亚迪精密制造有限公司</x:v>
      </x:c>
      <x:c r="E396" s="6" t="str">
        <x:v>比亚迪股份间接持股比例</x:v>
      </x:c>
      <x:c r="F396" s="6" t="str">
        <x:v>65.76</x:v>
      </x:c>
      <x:c r="G396" s="6" t="str">
        <x:v>%</x:v>
      </x:c>
      <x:c r="H396" s="13" t="d">
        <x:v>2026-08-29T00:00:00.000Z</x:v>
      </x:c>
      <x:c r="I396" s="6" t="str">
        <x:v>[PDF物理第168页；报告印刷第168页] 比亚迪精密制造有限公司*                     深圳      深圳        制造           美元145,000,000      -   65.76   注1
惠州比亚迪电子有限公司*                     惠州      惠州        制造           美元110,000,000      -   65.76   注1</x:v>
      </x:c>
      <x:c r="J396" s="6" t="str">
        <x:v>F002</x:v>
      </x:c>
      <x:c r="K396" s="6" t="str">
        <x:v>纳入核验字段</x:v>
      </x:c>
      <x:c r="L396" s="6" t="str">
        <x:v>官方披露已核验</x:v>
      </x:c>
    </x:row>
    <x:row r="397" ht="88" customHeight="1">
      <x:c r="A397" s="6" t="str">
        <x:v>R0379</x:v>
      </x:c>
      <x:c r="B397" s="6" t="str">
        <x:v>字段</x:v>
      </x:c>
      <x:c r="C397" s="18" t="n">
        <x:v>1</x:v>
      </x:c>
      <x:c r="D397" s="6" t="str">
        <x:v>惠州比亚迪电子有限公司</x:v>
      </x:c>
      <x:c r="E397" s="6" t="str">
        <x:v>母子关系</x:v>
      </x:c>
      <x:c r="F397" s="6" t="str">
        <x:v>比亚迪股份有限公司重要子公司</x:v>
      </x:c>
      <x:c r="G397" s="6" t="str"/>
      <x:c r="H397" s="13" t="d">
        <x:v>2026-08-29T00:00:00.000Z</x:v>
      </x:c>
      <x:c r="I397" s="6" t="str">
        <x:v>[PDF物理第168页；报告印刷第168页] 惠州比亚迪电子有限公司*                     惠州      惠州        制造           美元110,000,000      -   65.76   注1
常州比亚迪汽车有限公司*                     常州      常州        制造        人民币50,000,000元        -   100.00</x:v>
      </x:c>
      <x:c r="J397" s="6" t="str">
        <x:v>F002</x:v>
      </x:c>
      <x:c r="K397" s="6" t="str">
        <x:v>纳入核验字段</x:v>
      </x:c>
      <x:c r="L397" s="6" t="str">
        <x:v>官方披露已核验</x:v>
      </x:c>
    </x:row>
    <x:row r="398" ht="88" customHeight="1">
      <x:c r="A398" s="6" t="str">
        <x:v>R0380</x:v>
      </x:c>
      <x:c r="B398" s="6" t="str">
        <x:v>字段</x:v>
      </x:c>
      <x:c r="C398" s="18" t="n">
        <x:v>1</x:v>
      </x:c>
      <x:c r="D398" s="6" t="str">
        <x:v>惠州比亚迪电子有限公司</x:v>
      </x:c>
      <x:c r="E398" s="6" t="str">
        <x:v>主要经营地及注册地</x:v>
      </x:c>
      <x:c r="F398" s="6" t="str">
        <x:v>惠州</x:v>
      </x:c>
      <x:c r="G398" s="6" t="str"/>
      <x:c r="H398" s="13" t="d">
        <x:v>2026-08-29T00:00:00.000Z</x:v>
      </x:c>
      <x:c r="I398" s="6" t="str">
        <x:v>[PDF物理第168页；报告印刷第168页] 惠州比亚迪电子有限公司*                     惠州      惠州        制造           美元110,000,000      -   65.76   注1
常州比亚迪汽车有限公司*                     常州      常州        制造        人民币50,000,000元        -   100.00</x:v>
      </x:c>
      <x:c r="J398" s="6" t="str">
        <x:v>F002</x:v>
      </x:c>
      <x:c r="K398" s="6" t="str">
        <x:v>纳入核验字段</x:v>
      </x:c>
      <x:c r="L398" s="6" t="str">
        <x:v>官方披露已核验</x:v>
      </x:c>
    </x:row>
    <x:row r="399" ht="88" customHeight="1">
      <x:c r="A399" s="6" t="str">
        <x:v>R0381</x:v>
      </x:c>
      <x:c r="B399" s="6" t="str">
        <x:v>字段</x:v>
      </x:c>
      <x:c r="C399" s="18" t="n">
        <x:v>1</x:v>
      </x:c>
      <x:c r="D399" s="6" t="str">
        <x:v>惠州比亚迪电子有限公司</x:v>
      </x:c>
      <x:c r="E399" s="6" t="str">
        <x:v>业务性质</x:v>
      </x:c>
      <x:c r="F399" s="6" t="str">
        <x:v>制造</x:v>
      </x:c>
      <x:c r="G399" s="6" t="str"/>
      <x:c r="H399" s="13" t="d">
        <x:v>2026-08-29T00:00:00.000Z</x:v>
      </x:c>
      <x:c r="I399" s="6" t="str">
        <x:v>[PDF物理第168页；报告印刷第168页] 惠州比亚迪电子有限公司*                     惠州      惠州        制造           美元110,000,000      -   65.76   注1
常州比亚迪汽车有限公司*                     常州      常州        制造        人民币50,000,000元        -   100.00</x:v>
      </x:c>
      <x:c r="J399" s="6" t="str">
        <x:v>F002</x:v>
      </x:c>
      <x:c r="K399" s="6" t="str">
        <x:v>纳入核验字段</x:v>
      </x:c>
      <x:c r="L399" s="6" t="str">
        <x:v>官方披露已核验</x:v>
      </x:c>
    </x:row>
    <x:row r="400" ht="88" customHeight="1">
      <x:c r="A400" s="6" t="str">
        <x:v>R0382</x:v>
      </x:c>
      <x:c r="B400" s="6" t="str">
        <x:v>字段</x:v>
      </x:c>
      <x:c r="C400" s="18" t="n">
        <x:v>1</x:v>
      </x:c>
      <x:c r="D400" s="6" t="str">
        <x:v>惠州比亚迪电子有限公司</x:v>
      </x:c>
      <x:c r="E400" s="6" t="str">
        <x:v>注册资本/股本</x:v>
      </x:c>
      <x:c r="F400" s="14" t="str">
        <x:v>110000000</x:v>
      </x:c>
      <x:c r="G400" s="6" t="str">
        <x:v>美元</x:v>
      </x:c>
      <x:c r="H400" s="13" t="d">
        <x:v>2026-08-29T00:00:00.000Z</x:v>
      </x:c>
      <x:c r="I400" s="6" t="str">
        <x:v>[PDF物理第168页；报告印刷第168页] 惠州比亚迪电子有限公司*                     惠州      惠州        制造           美元110,000,000      -   65.76   注1
常州比亚迪汽车有限公司*                     常州      常州        制造        人民币50,000,000元        -   100.00</x:v>
      </x:c>
      <x:c r="J400" s="6" t="str">
        <x:v>F002</x:v>
      </x:c>
      <x:c r="K400" s="6" t="str">
        <x:v>纳入核验字段</x:v>
      </x:c>
      <x:c r="L400" s="6" t="str">
        <x:v>官方披露已核验</x:v>
      </x:c>
    </x:row>
    <x:row r="401" ht="88" customHeight="1">
      <x:c r="A401" s="6" t="str">
        <x:v>R0383</x:v>
      </x:c>
      <x:c r="B401" s="6" t="str">
        <x:v>字段</x:v>
      </x:c>
      <x:c r="C401" s="18" t="n">
        <x:v>1</x:v>
      </x:c>
      <x:c r="D401" s="6" t="str">
        <x:v>惠州比亚迪电子有限公司</x:v>
      </x:c>
      <x:c r="E401" s="6" t="str">
        <x:v>比亚迪股份间接持股比例</x:v>
      </x:c>
      <x:c r="F401" s="6" t="str">
        <x:v>65.76</x:v>
      </x:c>
      <x:c r="G401" s="6" t="str">
        <x:v>%</x:v>
      </x:c>
      <x:c r="H401" s="13" t="d">
        <x:v>2026-08-29T00:00:00.000Z</x:v>
      </x:c>
      <x:c r="I401" s="6" t="str">
        <x:v>[PDF物理第168页；报告印刷第168页] 惠州比亚迪电子有限公司*                     惠州      惠州        制造           美元110,000,000      -   65.76   注1
常州比亚迪汽车有限公司*                     常州      常州        制造        人民币50,000,000元        -   100.00</x:v>
      </x:c>
      <x:c r="J401" s="6" t="str">
        <x:v>F002</x:v>
      </x:c>
      <x:c r="K401" s="6" t="str">
        <x:v>纳入核验字段</x:v>
      </x:c>
      <x:c r="L401" s="6" t="str">
        <x:v>官方披露已核验</x:v>
      </x:c>
    </x:row>
    <x:row r="402" ht="88" customHeight="1">
      <x:c r="A402" s="6" t="str">
        <x:v>R0384</x:v>
      </x:c>
      <x:c r="B402" s="6" t="str">
        <x:v>字段</x:v>
      </x:c>
      <x:c r="C402" s="18" t="n">
        <x:v>1</x:v>
      </x:c>
      <x:c r="D402" s="6" t="str">
        <x:v>常州比亚迪汽车有限公司</x:v>
      </x:c>
      <x:c r="E402" s="6" t="str">
        <x:v>母子关系</x:v>
      </x:c>
      <x:c r="F402" s="6" t="str">
        <x:v>比亚迪股份有限公司重要子公司</x:v>
      </x:c>
      <x:c r="G402" s="6" t="str"/>
      <x:c r="H402" s="13" t="d">
        <x:v>2026-08-29T00:00:00.000Z</x:v>
      </x:c>
      <x:c r="I402" s="6" t="str">
        <x:v>[PDF物理第168页；报告印刷第168页] 常州比亚迪汽车有限公司*                     常州      常州        制造        人民币50,000,000元        -   100.00
比亚迪（香港）有限公司                      香港      香港   投资控股           港元17,179,157,085   100.00     -</x:v>
      </x:c>
      <x:c r="J402" s="6" t="str">
        <x:v>F002</x:v>
      </x:c>
      <x:c r="K402" s="6" t="str">
        <x:v>纳入核验字段</x:v>
      </x:c>
      <x:c r="L402" s="6" t="str">
        <x:v>官方披露已核验</x:v>
      </x:c>
    </x:row>
    <x:row r="403" ht="88" customHeight="1">
      <x:c r="A403" s="6" t="str">
        <x:v>R0385</x:v>
      </x:c>
      <x:c r="B403" s="6" t="str">
        <x:v>字段</x:v>
      </x:c>
      <x:c r="C403" s="18" t="n">
        <x:v>1</x:v>
      </x:c>
      <x:c r="D403" s="6" t="str">
        <x:v>常州比亚迪汽车有限公司</x:v>
      </x:c>
      <x:c r="E403" s="6" t="str">
        <x:v>主要经营地及注册地</x:v>
      </x:c>
      <x:c r="F403" s="6" t="str">
        <x:v>常州</x:v>
      </x:c>
      <x:c r="G403" s="6" t="str"/>
      <x:c r="H403" s="13" t="d">
        <x:v>2026-08-29T00:00:00.000Z</x:v>
      </x:c>
      <x:c r="I403" s="6" t="str">
        <x:v>[PDF物理第168页；报告印刷第168页] 常州比亚迪汽车有限公司*                     常州      常州        制造        人民币50,000,000元        -   100.00
比亚迪（香港）有限公司                      香港      香港   投资控股           港元17,179,157,085   100.00     -</x:v>
      </x:c>
      <x:c r="J403" s="6" t="str">
        <x:v>F002</x:v>
      </x:c>
      <x:c r="K403" s="6" t="str">
        <x:v>纳入核验字段</x:v>
      </x:c>
      <x:c r="L403" s="6" t="str">
        <x:v>官方披露已核验</x:v>
      </x:c>
    </x:row>
    <x:row r="404" ht="88" customHeight="1">
      <x:c r="A404" s="6" t="str">
        <x:v>R0386</x:v>
      </x:c>
      <x:c r="B404" s="6" t="str">
        <x:v>字段</x:v>
      </x:c>
      <x:c r="C404" s="18" t="n">
        <x:v>1</x:v>
      </x:c>
      <x:c r="D404" s="6" t="str">
        <x:v>常州比亚迪汽车有限公司</x:v>
      </x:c>
      <x:c r="E404" s="6" t="str">
        <x:v>业务性质</x:v>
      </x:c>
      <x:c r="F404" s="6" t="str">
        <x:v>制造</x:v>
      </x:c>
      <x:c r="G404" s="6" t="str"/>
      <x:c r="H404" s="13" t="d">
        <x:v>2026-08-29T00:00:00.000Z</x:v>
      </x:c>
      <x:c r="I404" s="6" t="str">
        <x:v>[PDF物理第168页；报告印刷第168页] 常州比亚迪汽车有限公司*                     常州      常州        制造        人民币50,000,000元        -   100.00
比亚迪（香港）有限公司                      香港      香港   投资控股           港元17,179,157,085   100.00     -</x:v>
      </x:c>
      <x:c r="J404" s="6" t="str">
        <x:v>F002</x:v>
      </x:c>
      <x:c r="K404" s="6" t="str">
        <x:v>纳入核验字段</x:v>
      </x:c>
      <x:c r="L404" s="6" t="str">
        <x:v>官方披露已核验</x:v>
      </x:c>
    </x:row>
    <x:row r="405" ht="88" customHeight="1">
      <x:c r="A405" s="6" t="str">
        <x:v>R0387</x:v>
      </x:c>
      <x:c r="B405" s="6" t="str">
        <x:v>字段</x:v>
      </x:c>
      <x:c r="C405" s="18" t="n">
        <x:v>1</x:v>
      </x:c>
      <x:c r="D405" s="6" t="str">
        <x:v>常州比亚迪汽车有限公司</x:v>
      </x:c>
      <x:c r="E405" s="6" t="str">
        <x:v>注册资本/股本</x:v>
      </x:c>
      <x:c r="F405" s="14" t="str">
        <x:v>50000000</x:v>
      </x:c>
      <x:c r="G405" s="6" t="str">
        <x:v>人民币元</x:v>
      </x:c>
      <x:c r="H405" s="13" t="d">
        <x:v>2026-08-29T00:00:00.000Z</x:v>
      </x:c>
      <x:c r="I405" s="6" t="str">
        <x:v>[PDF物理第168页；报告印刷第168页] 常州比亚迪汽车有限公司*                     常州      常州        制造        人民币50,000,000元        -   100.00
比亚迪（香港）有限公司                      香港      香港   投资控股           港元17,179,157,085   100.00     -</x:v>
      </x:c>
      <x:c r="J405" s="6" t="str">
        <x:v>F002</x:v>
      </x:c>
      <x:c r="K405" s="6" t="str">
        <x:v>纳入核验字段</x:v>
      </x:c>
      <x:c r="L405" s="6" t="str">
        <x:v>官方披露已核验</x:v>
      </x:c>
    </x:row>
    <x:row r="406" ht="88" customHeight="1">
      <x:c r="A406" s="6" t="str">
        <x:v>R0388</x:v>
      </x:c>
      <x:c r="B406" s="6" t="str">
        <x:v>字段</x:v>
      </x:c>
      <x:c r="C406" s="18" t="n">
        <x:v>1</x:v>
      </x:c>
      <x:c r="D406" s="6" t="str">
        <x:v>常州比亚迪汽车有限公司</x:v>
      </x:c>
      <x:c r="E406" s="6" t="str">
        <x:v>比亚迪股份间接持股比例</x:v>
      </x:c>
      <x:c r="F406" s="14" t="str">
        <x:v>100</x:v>
      </x:c>
      <x:c r="G406" s="6" t="str">
        <x:v>%</x:v>
      </x:c>
      <x:c r="H406" s="13" t="d">
        <x:v>2026-08-29T00:00:00.000Z</x:v>
      </x:c>
      <x:c r="I406" s="6" t="str">
        <x:v>[PDF物理第168页；报告印刷第168页] 常州比亚迪汽车有限公司*                     常州      常州        制造        人民币50,000,000元        -   100.00
比亚迪（香港）有限公司                      香港      香港   投资控股           港元17,179,157,085   100.00     -</x:v>
      </x:c>
      <x:c r="J406" s="6" t="str">
        <x:v>F002</x:v>
      </x:c>
      <x:c r="K406" s="6" t="str">
        <x:v>纳入核验字段</x:v>
      </x:c>
      <x:c r="L406" s="6" t="str">
        <x:v>官方披露已核验</x:v>
      </x:c>
    </x:row>
    <x:row r="407" ht="56" customHeight="1">
      <x:c r="A407" s="6" t="str">
        <x:v>R0389</x:v>
      </x:c>
      <x:c r="B407" s="6" t="str">
        <x:v>字段</x:v>
      </x:c>
      <x:c r="C407" s="18" t="n">
        <x:v>1</x:v>
      </x:c>
      <x:c r="D407" s="6" t="str">
        <x:v>比亚迪（香港）有限公司</x:v>
      </x:c>
      <x:c r="E407" s="6" t="str">
        <x:v>母子关系</x:v>
      </x:c>
      <x:c r="F407" s="6" t="str">
        <x:v>比亚迪股份有限公司重要子公司</x:v>
      </x:c>
      <x:c r="G407" s="6" t="str"/>
      <x:c r="H407" s="13" t="d">
        <x:v>2026-08-29T00:00:00.000Z</x:v>
      </x:c>
      <x:c r="I407" s="6" t="str">
        <x:v>[PDF物理第168页；报告印刷第168页] 比亚迪（香港）有限公司                      香港      香港   投资控股           港元17,179,157,085   100.00     -
非同一控制下企业合并取得的</x:v>
      </x:c>
      <x:c r="J407" s="6" t="str">
        <x:v>F002</x:v>
      </x:c>
      <x:c r="K407" s="6" t="str">
        <x:v>纳入核验字段</x:v>
      </x:c>
      <x:c r="L407" s="6" t="str">
        <x:v>官方披露已核验</x:v>
      </x:c>
    </x:row>
    <x:row r="408" ht="56" customHeight="1">
      <x:c r="A408" s="6" t="str">
        <x:v>R0390</x:v>
      </x:c>
      <x:c r="B408" s="6" t="str">
        <x:v>字段</x:v>
      </x:c>
      <x:c r="C408" s="18" t="n">
        <x:v>1</x:v>
      </x:c>
      <x:c r="D408" s="6" t="str">
        <x:v>比亚迪（香港）有限公司</x:v>
      </x:c>
      <x:c r="E408" s="6" t="str">
        <x:v>主要经营地及注册地</x:v>
      </x:c>
      <x:c r="F408" s="6" t="str">
        <x:v>香港</x:v>
      </x:c>
      <x:c r="G408" s="6" t="str"/>
      <x:c r="H408" s="13" t="d">
        <x:v>2026-08-29T00:00:00.000Z</x:v>
      </x:c>
      <x:c r="I408" s="6" t="str">
        <x:v>[PDF物理第168页；报告印刷第168页] 比亚迪（香港）有限公司                      香港      香港   投资控股           港元17,179,157,085   100.00     -
非同一控制下企业合并取得的</x:v>
      </x:c>
      <x:c r="J408" s="6" t="str">
        <x:v>F002</x:v>
      </x:c>
      <x:c r="K408" s="6" t="str">
        <x:v>纳入核验字段</x:v>
      </x:c>
      <x:c r="L408" s="6" t="str">
        <x:v>官方披露已核验</x:v>
      </x:c>
    </x:row>
    <x:row r="409" ht="56" customHeight="1">
      <x:c r="A409" s="6" t="str">
        <x:v>R0391</x:v>
      </x:c>
      <x:c r="B409" s="6" t="str">
        <x:v>字段</x:v>
      </x:c>
      <x:c r="C409" s="18" t="n">
        <x:v>1</x:v>
      </x:c>
      <x:c r="D409" s="6" t="str">
        <x:v>比亚迪（香港）有限公司</x:v>
      </x:c>
      <x:c r="E409" s="6" t="str">
        <x:v>业务性质</x:v>
      </x:c>
      <x:c r="F409" s="6" t="str">
        <x:v>投资控股</x:v>
      </x:c>
      <x:c r="G409" s="6" t="str"/>
      <x:c r="H409" s="13" t="d">
        <x:v>2026-08-29T00:00:00.000Z</x:v>
      </x:c>
      <x:c r="I409" s="6" t="str">
        <x:v>[PDF物理第168页；报告印刷第168页] 比亚迪（香港）有限公司                      香港      香港   投资控股           港元17,179,157,085   100.00     -
非同一控制下企业合并取得的</x:v>
      </x:c>
      <x:c r="J409" s="6" t="str">
        <x:v>F002</x:v>
      </x:c>
      <x:c r="K409" s="6" t="str">
        <x:v>纳入核验字段</x:v>
      </x:c>
      <x:c r="L409" s="6" t="str">
        <x:v>官方披露已核验</x:v>
      </x:c>
    </x:row>
    <x:row r="410" ht="56" customHeight="1">
      <x:c r="A410" s="6" t="str">
        <x:v>R0392</x:v>
      </x:c>
      <x:c r="B410" s="6" t="str">
        <x:v>字段</x:v>
      </x:c>
      <x:c r="C410" s="18" t="n">
        <x:v>1</x:v>
      </x:c>
      <x:c r="D410" s="6" t="str">
        <x:v>比亚迪（香港）有限公司</x:v>
      </x:c>
      <x:c r="E410" s="6" t="str">
        <x:v>注册资本/股本</x:v>
      </x:c>
      <x:c r="F410" s="14" t="str">
        <x:v>17179157085</x:v>
      </x:c>
      <x:c r="G410" s="6" t="str">
        <x:v>港元</x:v>
      </x:c>
      <x:c r="H410" s="13" t="d">
        <x:v>2026-08-29T00:00:00.000Z</x:v>
      </x:c>
      <x:c r="I410" s="6" t="str">
        <x:v>[PDF物理第168页；报告印刷第168页] 比亚迪（香港）有限公司                      香港      香港   投资控股           港元17,179,157,085   100.00     -
非同一控制下企业合并取得的</x:v>
      </x:c>
      <x:c r="J410" s="6" t="str">
        <x:v>F002</x:v>
      </x:c>
      <x:c r="K410" s="6" t="str">
        <x:v>纳入核验字段</x:v>
      </x:c>
      <x:c r="L410" s="6" t="str">
        <x:v>官方披露已核验</x:v>
      </x:c>
    </x:row>
    <x:row r="411" ht="56" customHeight="1">
      <x:c r="A411" s="6" t="str">
        <x:v>R0393</x:v>
      </x:c>
      <x:c r="B411" s="6" t="str">
        <x:v>字段</x:v>
      </x:c>
      <x:c r="C411" s="18" t="n">
        <x:v>1</x:v>
      </x:c>
      <x:c r="D411" s="6" t="str">
        <x:v>比亚迪（香港）有限公司</x:v>
      </x:c>
      <x:c r="E411" s="6" t="str">
        <x:v>比亚迪股份直接持股比例</x:v>
      </x:c>
      <x:c r="F411" s="14" t="str">
        <x:v>100</x:v>
      </x:c>
      <x:c r="G411" s="6" t="str">
        <x:v>%</x:v>
      </x:c>
      <x:c r="H411" s="13" t="d">
        <x:v>2026-08-29T00:00:00.000Z</x:v>
      </x:c>
      <x:c r="I411" s="6" t="str">
        <x:v>[PDF物理第168页；报告印刷第168页] 比亚迪（香港）有限公司                      香港      香港   投资控股           港元17,179,157,085   100.00     -
非同一控制下企业合并取得的</x:v>
      </x:c>
      <x:c r="J411" s="6" t="str">
        <x:v>F002</x:v>
      </x:c>
      <x:c r="K411" s="6" t="str">
        <x:v>纳入核验字段</x:v>
      </x:c>
      <x:c r="L411" s="6" t="str">
        <x:v>官方披露已核验</x:v>
      </x:c>
    </x:row>
    <x:row r="412" ht="56" customHeight="1">
      <x:c r="A412" s="6" t="str">
        <x:v>R0394</x:v>
      </x:c>
      <x:c r="B412" s="6" t="str">
        <x:v>字段</x:v>
      </x:c>
      <x:c r="C412" s="18" t="n">
        <x:v>1</x:v>
      </x:c>
      <x:c r="D412" s="6" t="str">
        <x:v>比亚迪汽车有限公司</x:v>
      </x:c>
      <x:c r="E412" s="6" t="str">
        <x:v>母子关系</x:v>
      </x:c>
      <x:c r="F412" s="6" t="str">
        <x:v>比亚迪股份有限公司重要子公司</x:v>
      </x:c>
      <x:c r="G412" s="6" t="str"/>
      <x:c r="H412" s="13" t="d">
        <x:v>2026-08-29T00:00:00.000Z</x:v>
      </x:c>
      <x:c r="I412" s="6" t="str">
        <x:v>[PDF物理第168页；报告印刷第168页] 比亚迪汽车有限公司*                       西安      西安        制造      人民币4,381,313,131元    99.00      -
  *此等子公司为根据中国法律注册成立的有限公司。</x:v>
      </x:c>
      <x:c r="J412" s="6" t="str">
        <x:v>F002</x:v>
      </x:c>
      <x:c r="K412" s="6" t="str">
        <x:v>纳入核验字段</x:v>
      </x:c>
      <x:c r="L412" s="6" t="str">
        <x:v>官方披露已核验</x:v>
      </x:c>
    </x:row>
    <x:row r="413" ht="56" customHeight="1">
      <x:c r="A413" s="6" t="str">
        <x:v>R0395</x:v>
      </x:c>
      <x:c r="B413" s="6" t="str">
        <x:v>字段</x:v>
      </x:c>
      <x:c r="C413" s="18" t="n">
        <x:v>1</x:v>
      </x:c>
      <x:c r="D413" s="6" t="str">
        <x:v>比亚迪汽车有限公司</x:v>
      </x:c>
      <x:c r="E413" s="6" t="str">
        <x:v>主要经营地及注册地</x:v>
      </x:c>
      <x:c r="F413" s="6" t="str">
        <x:v>西安</x:v>
      </x:c>
      <x:c r="G413" s="6" t="str"/>
      <x:c r="H413" s="13" t="d">
        <x:v>2026-08-29T00:00:00.000Z</x:v>
      </x:c>
      <x:c r="I413" s="6" t="str">
        <x:v>[PDF物理第168页；报告印刷第168页] 比亚迪汽车有限公司*                       西安      西安        制造      人民币4,381,313,131元    99.00      -
  *此等子公司为根据中国法律注册成立的有限公司。</x:v>
      </x:c>
      <x:c r="J413" s="6" t="str">
        <x:v>F002</x:v>
      </x:c>
      <x:c r="K413" s="6" t="str">
        <x:v>纳入核验字段</x:v>
      </x:c>
      <x:c r="L413" s="6" t="str">
        <x:v>官方披露已核验</x:v>
      </x:c>
    </x:row>
    <x:row r="414" ht="56" customHeight="1">
      <x:c r="A414" s="6" t="str">
        <x:v>R0396</x:v>
      </x:c>
      <x:c r="B414" s="6" t="str">
        <x:v>字段</x:v>
      </x:c>
      <x:c r="C414" s="18" t="n">
        <x:v>1</x:v>
      </x:c>
      <x:c r="D414" s="6" t="str">
        <x:v>比亚迪汽车有限公司</x:v>
      </x:c>
      <x:c r="E414" s="6" t="str">
        <x:v>业务性质</x:v>
      </x:c>
      <x:c r="F414" s="6" t="str">
        <x:v>制造</x:v>
      </x:c>
      <x:c r="G414" s="6" t="str"/>
      <x:c r="H414" s="13" t="d">
        <x:v>2026-08-29T00:00:00.000Z</x:v>
      </x:c>
      <x:c r="I414" s="6" t="str">
        <x:v>[PDF物理第168页；报告印刷第168页] 比亚迪汽车有限公司*                       西安      西安        制造      人民币4,381,313,131元    99.00      -
  *此等子公司为根据中国法律注册成立的有限公司。</x:v>
      </x:c>
      <x:c r="J414" s="6" t="str">
        <x:v>F002</x:v>
      </x:c>
      <x:c r="K414" s="6" t="str">
        <x:v>纳入核验字段</x:v>
      </x:c>
      <x:c r="L414" s="6" t="str">
        <x:v>官方披露已核验</x:v>
      </x:c>
    </x:row>
    <x:row r="415" ht="56" customHeight="1">
      <x:c r="A415" s="6" t="str">
        <x:v>R0397</x:v>
      </x:c>
      <x:c r="B415" s="6" t="str">
        <x:v>字段</x:v>
      </x:c>
      <x:c r="C415" s="18" t="n">
        <x:v>1</x:v>
      </x:c>
      <x:c r="D415" s="6" t="str">
        <x:v>比亚迪汽车有限公司</x:v>
      </x:c>
      <x:c r="E415" s="6" t="str">
        <x:v>注册资本/股本</x:v>
      </x:c>
      <x:c r="F415" s="14" t="str">
        <x:v>4381313131</x:v>
      </x:c>
      <x:c r="G415" s="6" t="str">
        <x:v>人民币元</x:v>
      </x:c>
      <x:c r="H415" s="13" t="d">
        <x:v>2026-08-29T00:00:00.000Z</x:v>
      </x:c>
      <x:c r="I415" s="6" t="str">
        <x:v>[PDF物理第168页；报告印刷第168页] 比亚迪汽车有限公司*                       西安      西安        制造      人民币4,381,313,131元    99.00      -
  *此等子公司为根据中国法律注册成立的有限公司。</x:v>
      </x:c>
      <x:c r="J415" s="6" t="str">
        <x:v>F002</x:v>
      </x:c>
      <x:c r="K415" s="6" t="str">
        <x:v>纳入核验字段</x:v>
      </x:c>
      <x:c r="L415" s="6" t="str">
        <x:v>官方披露已核验</x:v>
      </x:c>
    </x:row>
    <x:row r="416" ht="56" customHeight="1">
      <x:c r="A416" s="6" t="str">
        <x:v>R0398</x:v>
      </x:c>
      <x:c r="B416" s="6" t="str">
        <x:v>字段</x:v>
      </x:c>
      <x:c r="C416" s="18" t="n">
        <x:v>1</x:v>
      </x:c>
      <x:c r="D416" s="6" t="str">
        <x:v>比亚迪汽车有限公司</x:v>
      </x:c>
      <x:c r="E416" s="6" t="str">
        <x:v>比亚迪股份直接持股比例</x:v>
      </x:c>
      <x:c r="F416" s="14" t="str">
        <x:v>99</x:v>
      </x:c>
      <x:c r="G416" s="6" t="str">
        <x:v>%</x:v>
      </x:c>
      <x:c r="H416" s="13" t="d">
        <x:v>2026-08-29T00:00:00.000Z</x:v>
      </x:c>
      <x:c r="I416" s="6" t="str">
        <x:v>[PDF物理第168页；报告印刷第168页] 比亚迪汽车有限公司*                       西安      西安        制造      人民币4,381,313,131元    99.00      -
  *此等子公司为根据中国法律注册成立的有限公司。</x:v>
      </x:c>
      <x:c r="J416" s="6" t="str">
        <x:v>F002</x:v>
      </x:c>
      <x:c r="K416" s="6" t="str">
        <x:v>纳入核验字段</x:v>
      </x:c>
      <x:c r="L416" s="6" t="str">
        <x:v>官方披露已核验</x:v>
      </x:c>
    </x:row>
    <x:row r="417" ht="136" customHeight="1">
      <x:c r="A417" s="6" t="str">
        <x:v>R0399</x:v>
      </x:c>
      <x:c r="B417" s="6" t="str">
        <x:v>字段</x:v>
      </x:c>
      <x:c r="C417" s="18" t="n">
        <x:v>1</x:v>
      </x:c>
      <x:c r="D417" s="6" t="str">
        <x:v>比亚迪股份有限公司</x:v>
      </x:c>
      <x:c r="E417" s="6" t="str">
        <x:v>新能源汽车产量</x:v>
      </x:c>
      <x:c r="F417" s="14" t="str">
        <x:v>463864</x:v>
      </x:c>
      <x:c r="G417" s="6" t="str">
        <x:v>辆</x:v>
      </x:c>
      <x:c r="H417" s="13" t="d">
        <x:v>2026-10-01T00:00:00.000Z</x:v>
      </x:c>
      <x:c r="I417" s="6" t="str">
        <x:v>[PDF物理第1页；报告印刷第1页] New  energy vehicle       463,864        405,554      3,138,946      3,213,569        -2.32%        463,561        396,270      3,131,576      3,260,146        -3.94%
 – Passenger vehicle       458,116        402,008      3,087,782      3,171,466        -2.64%        456,713        393,060      3,078,544      3,218,862        -4.36%</x:v>
      </x:c>
      <x:c r="J417" s="6" t="str">
        <x:v>F005</x:v>
      </x:c>
      <x:c r="K417" s="6" t="str">
        <x:v>纳入核验字段</x:v>
      </x:c>
      <x:c r="L417" s="6" t="str">
        <x:v>官方披露已核验</x:v>
      </x:c>
    </x:row>
    <x:row r="418" ht="136" customHeight="1">
      <x:c r="A418" s="6" t="str">
        <x:v>R0400</x:v>
      </x:c>
      <x:c r="B418" s="6" t="str">
        <x:v>字段</x:v>
      </x:c>
      <x:c r="C418" s="18" t="n">
        <x:v>1</x:v>
      </x:c>
      <x:c r="D418" s="6" t="str">
        <x:v>比亚迪股份有限公司</x:v>
      </x:c>
      <x:c r="E418" s="6" t="str">
        <x:v>新能源汽车累计产量</x:v>
      </x:c>
      <x:c r="F418" s="14" t="str">
        <x:v>3138946</x:v>
      </x:c>
      <x:c r="G418" s="6" t="str">
        <x:v>辆</x:v>
      </x:c>
      <x:c r="H418" s="13" t="d">
        <x:v>2026-10-01T00:00:00.000Z</x:v>
      </x:c>
      <x:c r="I418" s="6" t="str">
        <x:v>[PDF物理第1页；报告印刷第1页] New  energy vehicle       463,864        405,554      3,138,946      3,213,569        -2.32%        463,561        396,270      3,131,576      3,260,146        -3.94%
 – Passenger vehicle       458,116        402,008      3,087,782      3,171,466        -2.64%        456,713        393,060      3,078,544      3,218,862        -4.36%</x:v>
      </x:c>
      <x:c r="J418" s="6" t="str">
        <x:v>F005</x:v>
      </x:c>
      <x:c r="K418" s="6" t="str">
        <x:v>纳入核验字段</x:v>
      </x:c>
      <x:c r="L418" s="6" t="str">
        <x:v>官方披露已核验</x:v>
      </x:c>
    </x:row>
    <x:row r="419" ht="136" customHeight="1">
      <x:c r="A419" s="6" t="str">
        <x:v>R0401</x:v>
      </x:c>
      <x:c r="B419" s="6" t="str">
        <x:v>字段</x:v>
      </x:c>
      <x:c r="C419" s="18" t="n">
        <x:v>1</x:v>
      </x:c>
      <x:c r="D419" s="6" t="str">
        <x:v>比亚迪股份有限公司</x:v>
      </x:c>
      <x:c r="E419" s="6" t="str">
        <x:v>新能源汽车销量</x:v>
      </x:c>
      <x:c r="F419" s="14" t="str">
        <x:v>463561</x:v>
      </x:c>
      <x:c r="G419" s="6" t="str">
        <x:v>辆</x:v>
      </x:c>
      <x:c r="H419" s="13" t="d">
        <x:v>2026-10-01T00:00:00.000Z</x:v>
      </x:c>
      <x:c r="I419" s="6" t="str">
        <x:v>[PDF物理第1页；报告印刷第1页] New  energy vehicle       463,864        405,554      3,138,946      3,213,569        -2.32%        463,561        396,270      3,131,576      3,260,146        -3.94%
 – Passenger vehicle       458,116        402,008      3,087,782      3,171,466        -2.64%        456,713        393,060      3,078,544      3,218,862        -4.36%</x:v>
      </x:c>
      <x:c r="J419" s="6" t="str">
        <x:v>F005</x:v>
      </x:c>
      <x:c r="K419" s="6" t="str">
        <x:v>纳入核验字段</x:v>
      </x:c>
      <x:c r="L419" s="6" t="str">
        <x:v>官方披露已核验</x:v>
      </x:c>
    </x:row>
    <x:row r="420" ht="136" customHeight="1">
      <x:c r="A420" s="6" t="str">
        <x:v>R0402</x:v>
      </x:c>
      <x:c r="B420" s="6" t="str">
        <x:v>字段</x:v>
      </x:c>
      <x:c r="C420" s="18" t="n">
        <x:v>1</x:v>
      </x:c>
      <x:c r="D420" s="6" t="str">
        <x:v>比亚迪股份有限公司</x:v>
      </x:c>
      <x:c r="E420" s="6" t="str">
        <x:v>新能源汽车累计销量</x:v>
      </x:c>
      <x:c r="F420" s="14" t="str">
        <x:v>3131576</x:v>
      </x:c>
      <x:c r="G420" s="6" t="str">
        <x:v>辆</x:v>
      </x:c>
      <x:c r="H420" s="13" t="d">
        <x:v>2026-10-01T00:00:00.000Z</x:v>
      </x:c>
      <x:c r="I420" s="6" t="str">
        <x:v>[PDF物理第1页；报告印刷第1页] New  energy vehicle       463,864        405,554      3,138,946      3,213,569        -2.32%        463,561        396,270      3,131,576      3,260,146        -3.94%
 – Passenger vehicle       458,116        402,008      3,087,782      3,171,466        -2.64%        456,713        393,060      3,078,544      3,218,862        -4.36%</x:v>
      </x:c>
      <x:c r="J420" s="6" t="str">
        <x:v>F005</x:v>
      </x:c>
      <x:c r="K420" s="6" t="str">
        <x:v>纳入核验字段</x:v>
      </x:c>
      <x:c r="L420" s="6" t="str">
        <x:v>官方披露已核验</x:v>
      </x:c>
    </x:row>
    <x:row r="421" ht="136" customHeight="1">
      <x:c r="A421" s="6" t="str">
        <x:v>R0403</x:v>
      </x:c>
      <x:c r="B421" s="6" t="str">
        <x:v>字段</x:v>
      </x:c>
      <x:c r="C421" s="18" t="n">
        <x:v>1</x:v>
      </x:c>
      <x:c r="D421" s="6" t="str">
        <x:v>比亚迪股份有限公司</x:v>
      </x:c>
      <x:c r="E421" s="6" t="str">
        <x:v>新能源乘用车产量</x:v>
      </x:c>
      <x:c r="F421" s="14" t="str">
        <x:v>458116</x:v>
      </x:c>
      <x:c r="G421" s="6" t="str">
        <x:v>辆</x:v>
      </x:c>
      <x:c r="H421" s="13" t="d">
        <x:v>2026-10-01T00:00:00.000Z</x:v>
      </x:c>
      <x:c r="I421" s="6" t="str">
        <x:v>[PDF物理第1页；报告印刷第1页] – Passenger vehicle       458,116        402,008      3,087,782      3,171,466        -2.64%        456,713        393,060      3,078,544      3,218,862        -4.36%
   – Battery electric      274,403        204,838      1,636,015      1,578,176         3.66%        273,143        205,050      1,629,957      1,605,903         1.50%</x:v>
      </x:c>
      <x:c r="J421" s="6" t="str">
        <x:v>F005</x:v>
      </x:c>
      <x:c r="K421" s="6" t="str">
        <x:v>纳入核验字段</x:v>
      </x:c>
      <x:c r="L421" s="6" t="str">
        <x:v>官方披露已核验</x:v>
      </x:c>
    </x:row>
    <x:row r="422" ht="136" customHeight="1">
      <x:c r="A422" s="6" t="str">
        <x:v>R0404</x:v>
      </x:c>
      <x:c r="B422" s="6" t="str">
        <x:v>字段</x:v>
      </x:c>
      <x:c r="C422" s="18" t="n">
        <x:v>1</x:v>
      </x:c>
      <x:c r="D422" s="6" t="str">
        <x:v>比亚迪股份有限公司</x:v>
      </x:c>
      <x:c r="E422" s="6" t="str">
        <x:v>新能源乘用车累计产量</x:v>
      </x:c>
      <x:c r="F422" s="14" t="str">
        <x:v>3087782</x:v>
      </x:c>
      <x:c r="G422" s="6" t="str">
        <x:v>辆</x:v>
      </x:c>
      <x:c r="H422" s="13" t="d">
        <x:v>2026-10-01T00:00:00.000Z</x:v>
      </x:c>
      <x:c r="I422" s="6" t="str">
        <x:v>[PDF物理第1页；报告印刷第1页] – Passenger vehicle       458,116        402,008      3,087,782      3,171,466        -2.64%        456,713        393,060      3,078,544      3,218,862        -4.36%
   – Battery electric      274,403        204,838      1,636,015      1,578,176         3.66%        273,143        205,050      1,629,957      1,605,903         1.50%</x:v>
      </x:c>
      <x:c r="J422" s="6" t="str">
        <x:v>F005</x:v>
      </x:c>
      <x:c r="K422" s="6" t="str">
        <x:v>纳入核验字段</x:v>
      </x:c>
      <x:c r="L422" s="6" t="str">
        <x:v>官方披露已核验</x:v>
      </x:c>
    </x:row>
    <x:row r="423" ht="136" customHeight="1">
      <x:c r="A423" s="6" t="str">
        <x:v>R0405</x:v>
      </x:c>
      <x:c r="B423" s="6" t="str">
        <x:v>字段</x:v>
      </x:c>
      <x:c r="C423" s="18" t="n">
        <x:v>1</x:v>
      </x:c>
      <x:c r="D423" s="6" t="str">
        <x:v>比亚迪股份有限公司</x:v>
      </x:c>
      <x:c r="E423" s="6" t="str">
        <x:v>新能源乘用车销量</x:v>
      </x:c>
      <x:c r="F423" s="14" t="str">
        <x:v>456713</x:v>
      </x:c>
      <x:c r="G423" s="6" t="str">
        <x:v>辆</x:v>
      </x:c>
      <x:c r="H423" s="13" t="d">
        <x:v>2026-10-01T00:00:00.000Z</x:v>
      </x:c>
      <x:c r="I423" s="6" t="str">
        <x:v>[PDF物理第1页；报告印刷第1页] – Passenger vehicle       458,116        402,008      3,087,782      3,171,466        -2.64%        456,713        393,060      3,078,544      3,218,862        -4.36%
   – Battery electric      274,403        204,838      1,636,015      1,578,176         3.66%        273,143        205,050      1,629,957      1,605,903         1.50%</x:v>
      </x:c>
      <x:c r="J423" s="6" t="str">
        <x:v>F005</x:v>
      </x:c>
      <x:c r="K423" s="6" t="str">
        <x:v>纳入核验字段</x:v>
      </x:c>
      <x:c r="L423" s="6" t="str">
        <x:v>官方披露已核验</x:v>
      </x:c>
    </x:row>
    <x:row r="424" ht="136" customHeight="1">
      <x:c r="A424" s="6" t="str">
        <x:v>R0406</x:v>
      </x:c>
      <x:c r="B424" s="6" t="str">
        <x:v>字段</x:v>
      </x:c>
      <x:c r="C424" s="18" t="n">
        <x:v>1</x:v>
      </x:c>
      <x:c r="D424" s="6" t="str">
        <x:v>比亚迪股份有限公司</x:v>
      </x:c>
      <x:c r="E424" s="6" t="str">
        <x:v>新能源乘用车累计销量</x:v>
      </x:c>
      <x:c r="F424" s="14" t="str">
        <x:v>3078544</x:v>
      </x:c>
      <x:c r="G424" s="6" t="str">
        <x:v>辆</x:v>
      </x:c>
      <x:c r="H424" s="13" t="d">
        <x:v>2026-10-01T00:00:00.000Z</x:v>
      </x:c>
      <x:c r="I424" s="6" t="str">
        <x:v>[PDF物理第1页；报告印刷第1页] – Passenger vehicle       458,116        402,008      3,087,782      3,171,466        -2.64%        456,713        393,060      3,078,544      3,218,862        -4.36%
   – Battery electric      274,403        204,838      1,636,015      1,578,176         3.66%        273,143        205,050      1,629,957      1,605,903         1.50%</x:v>
      </x:c>
      <x:c r="J424" s="6" t="str">
        <x:v>F005</x:v>
      </x:c>
      <x:c r="K424" s="6" t="str">
        <x:v>纳入核验字段</x:v>
      </x:c>
      <x:c r="L424" s="6" t="str">
        <x:v>官方披露已核验</x:v>
      </x:c>
    </x:row>
    <x:row r="425" ht="136" customHeight="1">
      <x:c r="A425" s="6" t="str">
        <x:v>R0407</x:v>
      </x:c>
      <x:c r="B425" s="6" t="str">
        <x:v>字段</x:v>
      </x:c>
      <x:c r="C425" s="18" t="n">
        <x:v>1</x:v>
      </x:c>
      <x:c r="D425" s="6" t="str">
        <x:v>比亚迪股份有限公司</x:v>
      </x:c>
      <x:c r="E425" s="6" t="str">
        <x:v>纯电动乘用车产量</x:v>
      </x:c>
      <x:c r="F425" s="14" t="str">
        <x:v>274403</x:v>
      </x:c>
      <x:c r="G425" s="6" t="str">
        <x:v>辆</x:v>
      </x:c>
      <x:c r="H425" s="13" t="d">
        <x:v>2026-10-01T00:00:00.000Z</x:v>
      </x:c>
      <x:c r="I425" s="6" t="str">
        <x:v>[PDF物理第1页；报告印刷第1页] – Battery electric      274,403        204,838      1,636,015      1,578,176         3.66%        273,143        205,050      1,629,957      1,605,903         1.50%
             vehicle
    – Plug-in hybrid       183,713        197,170      1,451,767      1,593,290        -8.88%        183,570        188,010      1,448,587      1,612,959       -10.19%</x:v>
      </x:c>
      <x:c r="J425" s="6" t="str">
        <x:v>F005</x:v>
      </x:c>
      <x:c r="K425" s="6" t="str">
        <x:v>纳入核验字段</x:v>
      </x:c>
      <x:c r="L425" s="6" t="str">
        <x:v>官方披露已核验</x:v>
      </x:c>
    </x:row>
    <x:row r="426" ht="136" customHeight="1">
      <x:c r="A426" s="6" t="str">
        <x:v>R0408</x:v>
      </x:c>
      <x:c r="B426" s="6" t="str">
        <x:v>字段</x:v>
      </x:c>
      <x:c r="C426" s="18" t="n">
        <x:v>1</x:v>
      </x:c>
      <x:c r="D426" s="6" t="str">
        <x:v>比亚迪股份有限公司</x:v>
      </x:c>
      <x:c r="E426" s="6" t="str">
        <x:v>纯电动乘用车累计产量</x:v>
      </x:c>
      <x:c r="F426" s="14" t="str">
        <x:v>1636015</x:v>
      </x:c>
      <x:c r="G426" s="6" t="str">
        <x:v>辆</x:v>
      </x:c>
      <x:c r="H426" s="13" t="d">
        <x:v>2026-10-01T00:00:00.000Z</x:v>
      </x:c>
      <x:c r="I426" s="6" t="str">
        <x:v>[PDF物理第1页；报告印刷第1页] – Battery electric      274,403        204,838      1,636,015      1,578,176         3.66%        273,143        205,050      1,629,957      1,605,903         1.50%
             vehicle
    – Plug-in hybrid       183,713        197,170      1,451,767      1,593,290        -8.88%        183,570        188,010      1,448,587      1,612,959       -10.19%</x:v>
      </x:c>
      <x:c r="J426" s="6" t="str">
        <x:v>F005</x:v>
      </x:c>
      <x:c r="K426" s="6" t="str">
        <x:v>纳入核验字段</x:v>
      </x:c>
      <x:c r="L426" s="6" t="str">
        <x:v>官方披露已核验</x:v>
      </x:c>
    </x:row>
    <x:row r="427" ht="136" customHeight="1">
      <x:c r="A427" s="6" t="str">
        <x:v>R0409</x:v>
      </x:c>
      <x:c r="B427" s="6" t="str">
        <x:v>字段</x:v>
      </x:c>
      <x:c r="C427" s="18" t="n">
        <x:v>1</x:v>
      </x:c>
      <x:c r="D427" s="6" t="str">
        <x:v>比亚迪股份有限公司</x:v>
      </x:c>
      <x:c r="E427" s="6" t="str">
        <x:v>纯电动乘用车销量</x:v>
      </x:c>
      <x:c r="F427" s="14" t="str">
        <x:v>273143</x:v>
      </x:c>
      <x:c r="G427" s="6" t="str">
        <x:v>辆</x:v>
      </x:c>
      <x:c r="H427" s="13" t="d">
        <x:v>2026-10-01T00:00:00.000Z</x:v>
      </x:c>
      <x:c r="I427" s="6" t="str">
        <x:v>[PDF物理第1页；报告印刷第1页] – Battery electric      274,403        204,838      1,636,015      1,578,176         3.66%        273,143        205,050      1,629,957      1,605,903         1.50%
             vehicle
    – Plug-in hybrid       183,713        197,170      1,451,767      1,593,290        -8.88%        183,570        188,010      1,448,587      1,612,959       -10.19%</x:v>
      </x:c>
      <x:c r="J427" s="6" t="str">
        <x:v>F005</x:v>
      </x:c>
      <x:c r="K427" s="6" t="str">
        <x:v>纳入核验字段</x:v>
      </x:c>
      <x:c r="L427" s="6" t="str">
        <x:v>官方披露已核验</x:v>
      </x:c>
    </x:row>
    <x:row r="428" ht="136" customHeight="1">
      <x:c r="A428" s="6" t="str">
        <x:v>R0410</x:v>
      </x:c>
      <x:c r="B428" s="6" t="str">
        <x:v>字段</x:v>
      </x:c>
      <x:c r="C428" s="18" t="n">
        <x:v>1</x:v>
      </x:c>
      <x:c r="D428" s="6" t="str">
        <x:v>比亚迪股份有限公司</x:v>
      </x:c>
      <x:c r="E428" s="6" t="str">
        <x:v>纯电动乘用车累计销量</x:v>
      </x:c>
      <x:c r="F428" s="14" t="str">
        <x:v>1629957</x:v>
      </x:c>
      <x:c r="G428" s="6" t="str">
        <x:v>辆</x:v>
      </x:c>
      <x:c r="H428" s="13" t="d">
        <x:v>2026-10-01T00:00:00.000Z</x:v>
      </x:c>
      <x:c r="I428" s="6" t="str">
        <x:v>[PDF物理第1页；报告印刷第1页] – Battery electric      274,403        204,838      1,636,015      1,578,176         3.66%        273,143        205,050      1,629,957      1,605,903         1.50%
             vehicle
    – Plug-in hybrid       183,713        197,170      1,451,767      1,593,290        -8.88%        183,570        188,010      1,448,587      1,612,959       -10.19%</x:v>
      </x:c>
      <x:c r="J428" s="6" t="str">
        <x:v>F005</x:v>
      </x:c>
      <x:c r="K428" s="6" t="str">
        <x:v>纳入核验字段</x:v>
      </x:c>
      <x:c r="L428" s="6" t="str">
        <x:v>官方披露已核验</x:v>
      </x:c>
    </x:row>
    <x:row r="429" ht="88" customHeight="1">
      <x:c r="A429" s="6" t="str">
        <x:v>R0411</x:v>
      </x:c>
      <x:c r="B429" s="6" t="str">
        <x:v>字段</x:v>
      </x:c>
      <x:c r="C429" s="18" t="n">
        <x:v>1</x:v>
      </x:c>
      <x:c r="D429" s="6" t="str">
        <x:v>比亚迪股份有限公司</x:v>
      </x:c>
      <x:c r="E429" s="6" t="str">
        <x:v>插电混动乘用车产量</x:v>
      </x:c>
      <x:c r="F429" s="14" t="str">
        <x:v>183713</x:v>
      </x:c>
      <x:c r="G429" s="6" t="str">
        <x:v>辆</x:v>
      </x:c>
      <x:c r="H429" s="13" t="d">
        <x:v>2026-10-01T00:00:00.000Z</x:v>
      </x:c>
      <x:c r="I429" s="6" t="str">
        <x:v>[PDF物理第1页；报告印刷第1页] vehicle
    – Plug-in hybrid       183,713        197,170      1,451,767      1,593,290        -8.88%        183,570        188,010      1,448,587      1,612,959       -10.19%
     electricvehicle</x:v>
      </x:c>
      <x:c r="J429" s="6" t="str">
        <x:v>F005</x:v>
      </x:c>
      <x:c r="K429" s="6" t="str">
        <x:v>纳入核验字段</x:v>
      </x:c>
      <x:c r="L429" s="6" t="str">
        <x:v>官方披露已核验</x:v>
      </x:c>
    </x:row>
    <x:row r="430" ht="88" customHeight="1">
      <x:c r="A430" s="6" t="str">
        <x:v>R0412</x:v>
      </x:c>
      <x:c r="B430" s="6" t="str">
        <x:v>字段</x:v>
      </x:c>
      <x:c r="C430" s="18" t="n">
        <x:v>1</x:v>
      </x:c>
      <x:c r="D430" s="6" t="str">
        <x:v>比亚迪股份有限公司</x:v>
      </x:c>
      <x:c r="E430" s="6" t="str">
        <x:v>插电混动乘用车累计产量</x:v>
      </x:c>
      <x:c r="F430" s="14" t="str">
        <x:v>1451767</x:v>
      </x:c>
      <x:c r="G430" s="6" t="str">
        <x:v>辆</x:v>
      </x:c>
      <x:c r="H430" s="13" t="d">
        <x:v>2026-10-01T00:00:00.000Z</x:v>
      </x:c>
      <x:c r="I430" s="6" t="str">
        <x:v>[PDF物理第1页；报告印刷第1页] vehicle
    – Plug-in hybrid       183,713        197,170      1,451,767      1,593,290        -8.88%        183,570        188,010      1,448,587      1,612,959       -10.19%
     electricvehicle</x:v>
      </x:c>
      <x:c r="J430" s="6" t="str">
        <x:v>F005</x:v>
      </x:c>
      <x:c r="K430" s="6" t="str">
        <x:v>纳入核验字段</x:v>
      </x:c>
      <x:c r="L430" s="6" t="str">
        <x:v>官方披露已核验</x:v>
      </x:c>
    </x:row>
    <x:row r="431" ht="88" customHeight="1">
      <x:c r="A431" s="6" t="str">
        <x:v>R0413</x:v>
      </x:c>
      <x:c r="B431" s="6" t="str">
        <x:v>字段</x:v>
      </x:c>
      <x:c r="C431" s="18" t="n">
        <x:v>1</x:v>
      </x:c>
      <x:c r="D431" s="6" t="str">
        <x:v>比亚迪股份有限公司</x:v>
      </x:c>
      <x:c r="E431" s="6" t="str">
        <x:v>插电混动乘用车销量</x:v>
      </x:c>
      <x:c r="F431" s="14" t="str">
        <x:v>183570</x:v>
      </x:c>
      <x:c r="G431" s="6" t="str">
        <x:v>辆</x:v>
      </x:c>
      <x:c r="H431" s="13" t="d">
        <x:v>2026-10-01T00:00:00.000Z</x:v>
      </x:c>
      <x:c r="I431" s="6" t="str">
        <x:v>[PDF物理第1页；报告印刷第1页] vehicle
    – Plug-in hybrid       183,713        197,170      1,451,767      1,593,290        -8.88%        183,570        188,010      1,448,587      1,612,959       -10.19%
     electricvehicle</x:v>
      </x:c>
      <x:c r="J431" s="6" t="str">
        <x:v>F005</x:v>
      </x:c>
      <x:c r="K431" s="6" t="str">
        <x:v>纳入核验字段</x:v>
      </x:c>
      <x:c r="L431" s="6" t="str">
        <x:v>官方披露已核验</x:v>
      </x:c>
    </x:row>
    <x:row r="432" ht="88" customHeight="1">
      <x:c r="A432" s="6" t="str">
        <x:v>R0414</x:v>
      </x:c>
      <x:c r="B432" s="6" t="str">
        <x:v>字段</x:v>
      </x:c>
      <x:c r="C432" s="18" t="n">
        <x:v>1</x:v>
      </x:c>
      <x:c r="D432" s="6" t="str">
        <x:v>比亚迪股份有限公司</x:v>
      </x:c>
      <x:c r="E432" s="6" t="str">
        <x:v>插电混动乘用车累计销量</x:v>
      </x:c>
      <x:c r="F432" s="14" t="str">
        <x:v>1448587</x:v>
      </x:c>
      <x:c r="G432" s="6" t="str">
        <x:v>辆</x:v>
      </x:c>
      <x:c r="H432" s="13" t="d">
        <x:v>2026-10-01T00:00:00.000Z</x:v>
      </x:c>
      <x:c r="I432" s="6" t="str">
        <x:v>[PDF物理第1页；报告印刷第1页] vehicle
    – Plug-in hybrid       183,713        197,170      1,451,767      1,593,290        -8.88%        183,570        188,010      1,448,587      1,612,959       -10.19%
     electricvehicle</x:v>
      </x:c>
      <x:c r="J432" s="6" t="str">
        <x:v>F005</x:v>
      </x:c>
      <x:c r="K432" s="6" t="str">
        <x:v>纳入核验字段</x:v>
      </x:c>
      <x:c r="L432" s="6" t="str">
        <x:v>官方披露已核验</x:v>
      </x:c>
    </x:row>
    <x:row r="433" ht="152" customHeight="1">
      <x:c r="A433" s="6" t="str">
        <x:v>R0415</x:v>
      </x:c>
      <x:c r="B433" s="6" t="str">
        <x:v>字段</x:v>
      </x:c>
      <x:c r="C433" s="18" t="n">
        <x:v>1</x:v>
      </x:c>
      <x:c r="D433" s="6" t="str">
        <x:v>比亚迪股份有限公司</x:v>
      </x:c>
      <x:c r="E433" s="6" t="str">
        <x:v>新能源商用车产量</x:v>
      </x:c>
      <x:c r="F433" s="14" t="str">
        <x:v>5748</x:v>
      </x:c>
      <x:c r="G433" s="6" t="str">
        <x:v>辆</x:v>
      </x:c>
      <x:c r="H433" s="13" t="d">
        <x:v>2026-10-01T00:00:00.000Z</x:v>
      </x:c>
      <x:c r="I433" s="6" t="str">
        <x:v>[PDF物理第2页；报告印刷第2页] 2026           2025           Year                                         2026           2025           Year
–Commercial   vehicle          5,748          3,546        51,164         42,103        21.52%           6,848          3,210         53,032        41,284         28.46%
                – Bus            791            375          4,540         3,706        22.50%             791            375          4,540</x:v>
      </x:c>
      <x:c r="J433" s="6" t="str">
        <x:v>F005</x:v>
      </x:c>
      <x:c r="K433" s="6" t="str">
        <x:v>纳入核验字段</x:v>
      </x:c>
      <x:c r="L433" s="6" t="str">
        <x:v>官方披露已核验</x:v>
      </x:c>
    </x:row>
    <x:row r="434" ht="34" customHeight="1">
      <x:c r="A434" s="6" t="str">
        <x:v>R0415</x:v>
      </x:c>
      <x:c r="B434" s="6" t="str">
        <x:v>字段</x:v>
      </x:c>
      <x:c r="C434" s="18" t="n">
        <x:v>2</x:v>
      </x:c>
      <x:c r="D434" s="6" t="str">
        <x:v>比亚迪股份有限公司</x:v>
      </x:c>
      <x:c r="E434" s="6" t="str">
        <x:v>新能源商用车产量</x:v>
      </x:c>
      <x:c r="F434" s="6" t="str"/>
      <x:c r="G434" s="6" t="str">
        <x:v>辆</x:v>
      </x:c>
      <x:c r="H434" s="13" t="d">
        <x:v>2026-10-01T00:00:00.000Z</x:v>
      </x:c>
      <x:c r="I434" s="6" t="str">
        <x:v>          3,706        22.50%</x:v>
      </x:c>
      <x:c r="J434" s="6" t="str">
        <x:v>F005</x:v>
      </x:c>
      <x:c r="K434" s="6" t="str">
        <x:v>纳入核验字段</x:v>
      </x:c>
      <x:c r="L434" s="6" t="str"/>
    </x:row>
    <x:row r="435" ht="152" customHeight="1">
      <x:c r="A435" s="6" t="str">
        <x:v>R0416</x:v>
      </x:c>
      <x:c r="B435" s="6" t="str">
        <x:v>字段</x:v>
      </x:c>
      <x:c r="C435" s="18" t="n">
        <x:v>1</x:v>
      </x:c>
      <x:c r="D435" s="6" t="str">
        <x:v>比亚迪股份有限公司</x:v>
      </x:c>
      <x:c r="E435" s="6" t="str">
        <x:v>新能源商用车累计产量</x:v>
      </x:c>
      <x:c r="F435" s="14" t="str">
        <x:v>51164</x:v>
      </x:c>
      <x:c r="G435" s="6" t="str">
        <x:v>辆</x:v>
      </x:c>
      <x:c r="H435" s="13" t="d">
        <x:v>2026-10-01T00:00:00.000Z</x:v>
      </x:c>
      <x:c r="I435" s="6" t="str">
        <x:v>[PDF物理第2页；报告印刷第2页] 2026           2025           Year                                         2026           2025           Year
–Commercial   vehicle          5,748          3,546        51,164         42,103        21.52%           6,848          3,210         53,032        41,284         28.46%
                – Bus            791            375          4,540         3,706        22.50%             791            375          4,540</x:v>
      </x:c>
      <x:c r="J435" s="6" t="str">
        <x:v>F005</x:v>
      </x:c>
      <x:c r="K435" s="6" t="str">
        <x:v>纳入核验字段</x:v>
      </x:c>
      <x:c r="L435" s="6" t="str">
        <x:v>官方披露已核验</x:v>
      </x:c>
    </x:row>
    <x:row r="436" ht="34" customHeight="1">
      <x:c r="A436" s="6" t="str">
        <x:v>R0416</x:v>
      </x:c>
      <x:c r="B436" s="6" t="str">
        <x:v>字段</x:v>
      </x:c>
      <x:c r="C436" s="18" t="n">
        <x:v>2</x:v>
      </x:c>
      <x:c r="D436" s="6" t="str">
        <x:v>比亚迪股份有限公司</x:v>
      </x:c>
      <x:c r="E436" s="6" t="str">
        <x:v>新能源商用车累计产量</x:v>
      </x:c>
      <x:c r="F436" s="6" t="str"/>
      <x:c r="G436" s="6" t="str">
        <x:v>辆</x:v>
      </x:c>
      <x:c r="H436" s="13" t="d">
        <x:v>2026-10-01T00:00:00.000Z</x:v>
      </x:c>
      <x:c r="I436" s="6" t="str">
        <x:v>          3,706        22.50%</x:v>
      </x:c>
      <x:c r="J436" s="6" t="str">
        <x:v>F005</x:v>
      </x:c>
      <x:c r="K436" s="6" t="str">
        <x:v>纳入核验字段</x:v>
      </x:c>
      <x:c r="L436" s="6" t="str"/>
    </x:row>
    <x:row r="437" ht="152" customHeight="1">
      <x:c r="A437" s="6" t="str">
        <x:v>R0417</x:v>
      </x:c>
      <x:c r="B437" s="6" t="str">
        <x:v>字段</x:v>
      </x:c>
      <x:c r="C437" s="18" t="n">
        <x:v>1</x:v>
      </x:c>
      <x:c r="D437" s="6" t="str">
        <x:v>比亚迪股份有限公司</x:v>
      </x:c>
      <x:c r="E437" s="6" t="str">
        <x:v>新能源商用车销量</x:v>
      </x:c>
      <x:c r="F437" s="14" t="str">
        <x:v>6848</x:v>
      </x:c>
      <x:c r="G437" s="6" t="str">
        <x:v>辆</x:v>
      </x:c>
      <x:c r="H437" s="13" t="d">
        <x:v>2026-10-01T00:00:00.000Z</x:v>
      </x:c>
      <x:c r="I437" s="6" t="str">
        <x:v>[PDF物理第2页；报告印刷第2页] 2026           2025           Year                                         2026           2025           Year
–Commercial   vehicle          5,748          3,546        51,164         42,103        21.52%           6,848          3,210         53,032        41,284         28.46%
                – Bus            791            375          4,540         3,706        22.50%             791            375          4,540</x:v>
      </x:c>
      <x:c r="J437" s="6" t="str">
        <x:v>F005</x:v>
      </x:c>
      <x:c r="K437" s="6" t="str">
        <x:v>纳入核验字段</x:v>
      </x:c>
      <x:c r="L437" s="6" t="str">
        <x:v>官方披露已核验</x:v>
      </x:c>
    </x:row>
    <x:row r="438" ht="34" customHeight="1">
      <x:c r="A438" s="6" t="str">
        <x:v>R0417</x:v>
      </x:c>
      <x:c r="B438" s="6" t="str">
        <x:v>字段</x:v>
      </x:c>
      <x:c r="C438" s="18" t="n">
        <x:v>2</x:v>
      </x:c>
      <x:c r="D438" s="6" t="str">
        <x:v>比亚迪股份有限公司</x:v>
      </x:c>
      <x:c r="E438" s="6" t="str">
        <x:v>新能源商用车销量</x:v>
      </x:c>
      <x:c r="F438" s="6" t="str"/>
      <x:c r="G438" s="6" t="str">
        <x:v>辆</x:v>
      </x:c>
      <x:c r="H438" s="13" t="d">
        <x:v>2026-10-01T00:00:00.000Z</x:v>
      </x:c>
      <x:c r="I438" s="6" t="str">
        <x:v>          3,706        22.50%</x:v>
      </x:c>
      <x:c r="J438" s="6" t="str">
        <x:v>F005</x:v>
      </x:c>
      <x:c r="K438" s="6" t="str">
        <x:v>纳入核验字段</x:v>
      </x:c>
      <x:c r="L438" s="6" t="str"/>
    </x:row>
    <x:row r="439" ht="152" customHeight="1">
      <x:c r="A439" s="6" t="str">
        <x:v>R0418</x:v>
      </x:c>
      <x:c r="B439" s="6" t="str">
        <x:v>字段</x:v>
      </x:c>
      <x:c r="C439" s="18" t="n">
        <x:v>1</x:v>
      </x:c>
      <x:c r="D439" s="6" t="str">
        <x:v>比亚迪股份有限公司</x:v>
      </x:c>
      <x:c r="E439" s="6" t="str">
        <x:v>新能源商用车累计销量</x:v>
      </x:c>
      <x:c r="F439" s="14" t="str">
        <x:v>53032</x:v>
      </x:c>
      <x:c r="G439" s="6" t="str">
        <x:v>辆</x:v>
      </x:c>
      <x:c r="H439" s="13" t="d">
        <x:v>2026-10-01T00:00:00.000Z</x:v>
      </x:c>
      <x:c r="I439" s="6" t="str">
        <x:v>[PDF物理第2页；报告印刷第2页] 2026           2025           Year                                         2026           2025           Year
–Commercial   vehicle          5,748          3,546        51,164         42,103        21.52%           6,848          3,210         53,032        41,284         28.46%
                – Bus            791            375          4,540         3,706        22.50%             791            375          4,540</x:v>
      </x:c>
      <x:c r="J439" s="6" t="str">
        <x:v>F005</x:v>
      </x:c>
      <x:c r="K439" s="6" t="str">
        <x:v>纳入核验字段</x:v>
      </x:c>
      <x:c r="L439" s="6" t="str">
        <x:v>官方披露已核验</x:v>
      </x:c>
    </x:row>
    <x:row r="440" ht="34" customHeight="1">
      <x:c r="A440" s="6" t="str">
        <x:v>R0418</x:v>
      </x:c>
      <x:c r="B440" s="6" t="str">
        <x:v>字段</x:v>
      </x:c>
      <x:c r="C440" s="18" t="n">
        <x:v>2</x:v>
      </x:c>
      <x:c r="D440" s="6" t="str">
        <x:v>比亚迪股份有限公司</x:v>
      </x:c>
      <x:c r="E440" s="6" t="str">
        <x:v>新能源商用车累计销量</x:v>
      </x:c>
      <x:c r="F440" s="6" t="str"/>
      <x:c r="G440" s="6" t="str">
        <x:v>辆</x:v>
      </x:c>
      <x:c r="H440" s="13" t="d">
        <x:v>2026-10-01T00:00:00.000Z</x:v>
      </x:c>
      <x:c r="I440" s="6" t="str">
        <x:v>          3,706        22.50%</x:v>
      </x:c>
      <x:c r="J440" s="6" t="str">
        <x:v>F005</x:v>
      </x:c>
      <x:c r="K440" s="6" t="str">
        <x:v>纳入核验字段</x:v>
      </x:c>
      <x:c r="L440" s="6" t="str"/>
    </x:row>
    <x:row r="441" ht="120" customHeight="1">
      <x:c r="A441" s="6" t="str">
        <x:v>R0419</x:v>
      </x:c>
      <x:c r="B441" s="6" t="str">
        <x:v>字段</x:v>
      </x:c>
      <x:c r="C441" s="18" t="n">
        <x:v>1</x:v>
      </x:c>
      <x:c r="D441" s="6" t="str">
        <x:v>比亚迪股份有限公司</x:v>
      </x:c>
      <x:c r="E441" s="6" t="str">
        <x:v>新能源客车产量</x:v>
      </x:c>
      <x:c r="F441" s="14" t="str">
        <x:v>791</x:v>
      </x:c>
      <x:c r="G441" s="6" t="str">
        <x:v>辆</x:v>
      </x:c>
      <x:c r="H441" s="13" t="d">
        <x:v>2026-10-01T00:00:00.000Z</x:v>
      </x:c>
      <x:c r="I441" s="6" t="str">
        <x:v>[PDF物理第2页；报告印刷第2页] – Bus            791            375          4,540         3,706        22.50%             791            375          4,540          3,706        22.50%
             – Others          4,957          3,171        46,624         38,397        21.43%           6,057          2,835         48,492        37,578         29.04%</x:v>
      </x:c>
      <x:c r="J441" s="6" t="str">
        <x:v>F005</x:v>
      </x:c>
      <x:c r="K441" s="6" t="str">
        <x:v>纳入核验字段</x:v>
      </x:c>
      <x:c r="L441" s="6" t="str">
        <x:v>官方披露已核验</x:v>
      </x:c>
    </x:row>
    <x:row r="442" ht="120" customHeight="1">
      <x:c r="A442" s="6" t="str">
        <x:v>R0420</x:v>
      </x:c>
      <x:c r="B442" s="6" t="str">
        <x:v>字段</x:v>
      </x:c>
      <x:c r="C442" s="18" t="n">
        <x:v>1</x:v>
      </x:c>
      <x:c r="D442" s="6" t="str">
        <x:v>比亚迪股份有限公司</x:v>
      </x:c>
      <x:c r="E442" s="6" t="str">
        <x:v>新能源客车累计产量</x:v>
      </x:c>
      <x:c r="F442" s="14" t="str">
        <x:v>4540</x:v>
      </x:c>
      <x:c r="G442" s="6" t="str">
        <x:v>辆</x:v>
      </x:c>
      <x:c r="H442" s="13" t="d">
        <x:v>2026-10-01T00:00:00.000Z</x:v>
      </x:c>
      <x:c r="I442" s="6" t="str">
        <x:v>[PDF物理第2页；报告印刷第2页] – Bus            791            375          4,540         3,706        22.50%             791            375          4,540          3,706        22.50%
             – Others          4,957          3,171        46,624         38,397        21.43%           6,057          2,835         48,492        37,578         29.04%</x:v>
      </x:c>
      <x:c r="J442" s="6" t="str">
        <x:v>F005</x:v>
      </x:c>
      <x:c r="K442" s="6" t="str">
        <x:v>纳入核验字段</x:v>
      </x:c>
      <x:c r="L442" s="6" t="str">
        <x:v>官方披露已核验</x:v>
      </x:c>
    </x:row>
    <x:row r="443" ht="120" customHeight="1">
      <x:c r="A443" s="6" t="str">
        <x:v>R0421</x:v>
      </x:c>
      <x:c r="B443" s="6" t="str">
        <x:v>字段</x:v>
      </x:c>
      <x:c r="C443" s="18" t="n">
        <x:v>1</x:v>
      </x:c>
      <x:c r="D443" s="6" t="str">
        <x:v>比亚迪股份有限公司</x:v>
      </x:c>
      <x:c r="E443" s="6" t="str">
        <x:v>新能源客车销量</x:v>
      </x:c>
      <x:c r="F443" s="14" t="str">
        <x:v>791</x:v>
      </x:c>
      <x:c r="G443" s="6" t="str">
        <x:v>辆</x:v>
      </x:c>
      <x:c r="H443" s="13" t="d">
        <x:v>2026-10-01T00:00:00.000Z</x:v>
      </x:c>
      <x:c r="I443" s="6" t="str">
        <x:v>[PDF物理第2页；报告印刷第2页] – Bus            791            375          4,540         3,706        22.50%             791            375          4,540          3,706        22.50%
             – Others          4,957          3,171        46,624         38,397        21.43%           6,057          2,835         48,492        37,578         29.04%</x:v>
      </x:c>
      <x:c r="J443" s="6" t="str">
        <x:v>F005</x:v>
      </x:c>
      <x:c r="K443" s="6" t="str">
        <x:v>纳入核验字段</x:v>
      </x:c>
      <x:c r="L443" s="6" t="str">
        <x:v>官方披露已核验</x:v>
      </x:c>
    </x:row>
    <x:row r="444" ht="120" customHeight="1">
      <x:c r="A444" s="6" t="str">
        <x:v>R0422</x:v>
      </x:c>
      <x:c r="B444" s="6" t="str">
        <x:v>字段</x:v>
      </x:c>
      <x:c r="C444" s="18" t="n">
        <x:v>1</x:v>
      </x:c>
      <x:c r="D444" s="6" t="str">
        <x:v>比亚迪股份有限公司</x:v>
      </x:c>
      <x:c r="E444" s="6" t="str">
        <x:v>新能源客车累计销量</x:v>
      </x:c>
      <x:c r="F444" s="14" t="str">
        <x:v>4540</x:v>
      </x:c>
      <x:c r="G444" s="6" t="str">
        <x:v>辆</x:v>
      </x:c>
      <x:c r="H444" s="13" t="d">
        <x:v>2026-10-01T00:00:00.000Z</x:v>
      </x:c>
      <x:c r="I444" s="6" t="str">
        <x:v>[PDF物理第2页；报告印刷第2页] – Bus            791            375          4,540         3,706        22.50%             791            375          4,540          3,706        22.50%
             – Others          4,957          3,171        46,624         38,397        21.43%           6,057          2,835         48,492        37,578         29.04%</x:v>
      </x:c>
      <x:c r="J444" s="6" t="str">
        <x:v>F005</x:v>
      </x:c>
      <x:c r="K444" s="6" t="str">
        <x:v>纳入核验字段</x:v>
      </x:c>
      <x:c r="L444" s="6" t="str">
        <x:v>官方披露已核验</x:v>
      </x:c>
    </x:row>
    <x:row r="445" ht="72" customHeight="1">
      <x:c r="A445" s="6" t="str">
        <x:v>R0423</x:v>
      </x:c>
      <x:c r="B445" s="6" t="str">
        <x:v>字段</x:v>
      </x:c>
      <x:c r="C445" s="18" t="n">
        <x:v>1</x:v>
      </x:c>
      <x:c r="D445" s="6" t="str">
        <x:v>比亚迪股份有限公司</x:v>
      </x:c>
      <x:c r="E445" s="6" t="str">
        <x:v>其他新能源商用车产量</x:v>
      </x:c>
      <x:c r="F445" s="14" t="str">
        <x:v>4957</x:v>
      </x:c>
      <x:c r="G445" s="6" t="str">
        <x:v>辆</x:v>
      </x:c>
      <x:c r="H445" s="13" t="d">
        <x:v>2026-10-01T00:00:00.000Z</x:v>
      </x:c>
      <x:c r="I445" s="6" t="str">
        <x:v>[PDF物理第2页；报告印刷第2页] – Others          4,957          3,171        46,624         38,397        21.43%           6,057          2,835         48,492        37,578         29.04%</x:v>
      </x:c>
      <x:c r="J445" s="6" t="str">
        <x:v>F005</x:v>
      </x:c>
      <x:c r="K445" s="6" t="str">
        <x:v>纳入核验字段</x:v>
      </x:c>
      <x:c r="L445" s="6" t="str">
        <x:v>官方披露已核验</x:v>
      </x:c>
    </x:row>
    <x:row r="446" ht="72" customHeight="1">
      <x:c r="A446" s="6" t="str">
        <x:v>R0424</x:v>
      </x:c>
      <x:c r="B446" s="6" t="str">
        <x:v>字段</x:v>
      </x:c>
      <x:c r="C446" s="18" t="n">
        <x:v>1</x:v>
      </x:c>
      <x:c r="D446" s="6" t="str">
        <x:v>比亚迪股份有限公司</x:v>
      </x:c>
      <x:c r="E446" s="6" t="str">
        <x:v>其他新能源商用车累计产量</x:v>
      </x:c>
      <x:c r="F446" s="14" t="str">
        <x:v>46624</x:v>
      </x:c>
      <x:c r="G446" s="6" t="str">
        <x:v>辆</x:v>
      </x:c>
      <x:c r="H446" s="13" t="d">
        <x:v>2026-10-01T00:00:00.000Z</x:v>
      </x:c>
      <x:c r="I446" s="6" t="str">
        <x:v>[PDF物理第2页；报告印刷第2页] – Others          4,957          3,171        46,624         38,397        21.43%           6,057          2,835         48,492        37,578         29.04%</x:v>
      </x:c>
      <x:c r="J446" s="6" t="str">
        <x:v>F005</x:v>
      </x:c>
      <x:c r="K446" s="6" t="str">
        <x:v>纳入核验字段</x:v>
      </x:c>
      <x:c r="L446" s="6" t="str">
        <x:v>官方披露已核验</x:v>
      </x:c>
    </x:row>
    <x:row r="447" ht="72" customHeight="1">
      <x:c r="A447" s="6" t="str">
        <x:v>R0425</x:v>
      </x:c>
      <x:c r="B447" s="6" t="str">
        <x:v>字段</x:v>
      </x:c>
      <x:c r="C447" s="18" t="n">
        <x:v>1</x:v>
      </x:c>
      <x:c r="D447" s="6" t="str">
        <x:v>比亚迪股份有限公司</x:v>
      </x:c>
      <x:c r="E447" s="6" t="str">
        <x:v>其他新能源商用车销量</x:v>
      </x:c>
      <x:c r="F447" s="14" t="str">
        <x:v>6057</x:v>
      </x:c>
      <x:c r="G447" s="6" t="str">
        <x:v>辆</x:v>
      </x:c>
      <x:c r="H447" s="13" t="d">
        <x:v>2026-10-01T00:00:00.000Z</x:v>
      </x:c>
      <x:c r="I447" s="6" t="str">
        <x:v>[PDF物理第2页；报告印刷第2页] – Others          4,957          3,171        46,624         38,397        21.43%           6,057          2,835         48,492        37,578         29.04%</x:v>
      </x:c>
      <x:c r="J447" s="6" t="str">
        <x:v>F005</x:v>
      </x:c>
      <x:c r="K447" s="6" t="str">
        <x:v>纳入核验字段</x:v>
      </x:c>
      <x:c r="L447" s="6" t="str">
        <x:v>官方披露已核验</x:v>
      </x:c>
    </x:row>
    <x:row r="448" ht="72" customHeight="1">
      <x:c r="A448" s="6" t="str">
        <x:v>R0426</x:v>
      </x:c>
      <x:c r="B448" s="6" t="str">
        <x:v>字段</x:v>
      </x:c>
      <x:c r="C448" s="18" t="n">
        <x:v>1</x:v>
      </x:c>
      <x:c r="D448" s="6" t="str">
        <x:v>比亚迪股份有限公司</x:v>
      </x:c>
      <x:c r="E448" s="6" t="str">
        <x:v>其他新能源商用车累计销量</x:v>
      </x:c>
      <x:c r="F448" s="14" t="str">
        <x:v>48492</x:v>
      </x:c>
      <x:c r="G448" s="6" t="str">
        <x:v>辆</x:v>
      </x:c>
      <x:c r="H448" s="13" t="d">
        <x:v>2026-10-01T00:00:00.000Z</x:v>
      </x:c>
      <x:c r="I448" s="6" t="str">
        <x:v>[PDF物理第2页；报告印刷第2页] – Others          4,957          3,171        46,624         38,397        21.43%           6,057          2,835         48,492        37,578         29.04%</x:v>
      </x:c>
      <x:c r="J448" s="6" t="str">
        <x:v>F005</x:v>
      </x:c>
      <x:c r="K448" s="6" t="str">
        <x:v>纳入核验字段</x:v>
      </x:c>
      <x:c r="L448" s="6" t="str">
        <x:v>官方披露已核验</x:v>
      </x:c>
    </x:row>
    <x:row r="449" ht="72" customHeight="1">
      <x:c r="A449" s="6" t="str">
        <x:v>R0427</x:v>
      </x:c>
      <x:c r="B449" s="6" t="str">
        <x:v>字段</x:v>
      </x:c>
      <x:c r="C449" s="18" t="n">
        <x:v>1</x:v>
      </x:c>
      <x:c r="D449" s="6" t="str">
        <x:v>比亚迪股份有限公司</x:v>
      </x:c>
      <x:c r="E449" s="6" t="str">
        <x:v>新能源汽车出口量</x:v>
      </x:c>
      <x:c r="F449" s="14" t="str">
        <x:v>180700</x:v>
      </x:c>
      <x:c r="G449" s="6" t="str">
        <x:v>辆</x:v>
      </x:c>
      <x:c r="H449" s="13" t="d">
        <x:v>2026-10-01T00:00:00.000Z</x:v>
      </x:c>
      <x:c r="I449" s="6" t="str">
        <x:v>[PDF物理第2页；报告印刷第2页] Note:
 The export  volume   of New   Energy   Vehicle  achieved  180,700   units of the Company    for the month   of September   2026.</x:v>
      </x:c>
      <x:c r="J449" s="6" t="str">
        <x:v>F005</x:v>
      </x:c>
      <x:c r="K449" s="6" t="str">
        <x:v>纳入核验字段</x:v>
      </x:c>
      <x:c r="L449" s="6" t="str">
        <x:v>官方披露已核验</x:v>
      </x:c>
    </x:row>
    <x:row r="450" ht="136" customHeight="1">
      <x:c r="A450" s="6" t="str">
        <x:v>R0428</x:v>
      </x:c>
      <x:c r="B450" s="6" t="str">
        <x:v>字段</x:v>
      </x:c>
      <x:c r="C450" s="18" t="n">
        <x:v>1</x:v>
      </x:c>
      <x:c r="D450" s="6" t="str">
        <x:v>比亚迪股份有限公司</x:v>
      </x:c>
      <x:c r="E450" s="6" t="str">
        <x:v>新能源汽车累计产量同比</x:v>
      </x:c>
      <x:c r="F450" s="6" t="str">
        <x:v>-2.32</x:v>
      </x:c>
      <x:c r="G450" s="6" t="str">
        <x:v>%</x:v>
      </x:c>
      <x:c r="H450" s="13" t="d">
        <x:v>2026-10-01T00:00:00.000Z</x:v>
      </x:c>
      <x:c r="I450" s="6" t="str">
        <x:v>[PDF物理第1页；报告印刷第1页] New  energy vehicle       463,864        405,554      3,138,946      3,213,569        -2.32%        463,561        396,270      3,131,576      3,260,146        -3.94%
 – Passenger vehicle       458,116        402,008      3,087,782      3,171,466        -2.64%        456,713        393,060      3,078,544      3,218,862        -4.36%</x:v>
      </x:c>
      <x:c r="J450" s="6" t="str">
        <x:v>F005</x:v>
      </x:c>
      <x:c r="K450" s="6" t="str">
        <x:v>纳入核验字段</x:v>
      </x:c>
      <x:c r="L450" s="6" t="str">
        <x:v>官方披露已核验</x:v>
      </x:c>
    </x:row>
    <x:row r="451" ht="136" customHeight="1">
      <x:c r="A451" s="6" t="str">
        <x:v>R0429</x:v>
      </x:c>
      <x:c r="B451" s="6" t="str">
        <x:v>字段</x:v>
      </x:c>
      <x:c r="C451" s="18" t="n">
        <x:v>1</x:v>
      </x:c>
      <x:c r="D451" s="6" t="str">
        <x:v>比亚迪股份有限公司</x:v>
      </x:c>
      <x:c r="E451" s="6" t="str">
        <x:v>新能源汽车累计销量同比</x:v>
      </x:c>
      <x:c r="F451" s="6" t="str">
        <x:v>-3.94</x:v>
      </x:c>
      <x:c r="G451" s="6" t="str">
        <x:v>%</x:v>
      </x:c>
      <x:c r="H451" s="13" t="d">
        <x:v>2026-10-01T00:00:00.000Z</x:v>
      </x:c>
      <x:c r="I451" s="6" t="str">
        <x:v>[PDF物理第1页；报告印刷第1页] New  energy vehicle       463,864        405,554      3,138,946      3,213,569        -2.32%        463,561        396,270      3,131,576      3,260,146        -3.94%
 – Passenger vehicle       458,116        402,008      3,087,782      3,171,466        -2.64%        456,713        393,060      3,078,544      3,218,862        -4.36%</x:v>
      </x:c>
      <x:c r="J451" s="6" t="str">
        <x:v>F005</x:v>
      </x:c>
      <x:c r="K451" s="6" t="str">
        <x:v>纳入核验字段</x:v>
      </x:c>
      <x:c r="L451" s="6" t="str">
        <x:v>官方披露已核验</x:v>
      </x:c>
    </x:row>
  </x:sheetData>
  <x:pageMargins left="0.7" right="0.7" top="0.75" bottom="0.75" header="0.3" footer="0.3"/>
  <x:tableParts count="1">
    <x:tablePart xmlns:r="http://schemas.openxmlformats.org/officeDocument/2006/relationships" r:id="R5df0a785e9934e6b"/>
  </x:tableParts>
</x:worksheet>
</file>

<file path=xl/worksheets/sheet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6" hidden="0" customWidth="1"/>
    <x:col min="2" max="2" width="36" hidden="0" customWidth="1"/>
    <x:col min="3" max="3" width="68" hidden="0" customWidth="1"/>
    <x:col min="4" max="4" width="17" hidden="0" customWidth="1"/>
    <x:col min="5" max="5" width="17" hidden="0" customWidth="1"/>
    <x:col min="6" max="6" width="17" hidden="0" customWidth="1"/>
    <x:col min="7" max="7" width="21" hidden="0" customWidth="1"/>
    <x:col min="8" max="8" width="75" hidden="0" customWidth="1"/>
    <x:col min="9" max="9" width="95" hidden="0" customWidth="1"/>
  </x:cols>
  <x:sheetData>
    <x:row r="2" ht="26" customHeight="1">
      <x:c r="A2" s="2" t="str">
        <x:v>平台覆盖与原始来源索引</x:v>
      </x:c>
      <x:c r="B2" s="2"/>
      <x:c r="C2" s="2"/>
      <x:c r="D2" s="2"/>
      <x:c r="E2" s="2"/>
      <x:c r="F2" s="2"/>
      <x:c r="G2" s="2"/>
      <x:c r="H2" s="2"/>
      <x:c r="I2" s="2"/>
    </x:row>
    <x:row r="3" ht="24" customHeight="1">
      <x:c r="A3" s="3" t="str">
        <x:v>所有9个指定平台均尝试；官网、正式披露和采购代理平台另行补充。</x:v>
      </x:c>
      <x:c r="B3" s="3"/>
      <x:c r="C3" s="3"/>
      <x:c r="D3" s="3"/>
      <x:c r="E3" s="3"/>
      <x:c r="F3" s="3"/>
      <x:c r="G3" s="3"/>
      <x:c r="H3" s="3"/>
      <x:c r="I3" s="3"/>
    </x:row>
    <x:row r="5" ht="34" customHeight="1">
      <x:c r="A5" s="10" t="str">
        <x:v>平台</x:v>
      </x:c>
      <x:c r="B5" s="11" t="str">
        <x:v>域名</x:v>
      </x:c>
      <x:c r="C5" s="11" t="str">
        <x:v>本轮核查情况</x:v>
      </x:c>
      <x:c r="D5" s="11" t="str">
        <x:v>采用源文件数</x:v>
      </x:c>
      <x:c r="E5" s="11" t="str">
        <x:v>核验字段数</x:v>
      </x:c>
      <x:c r="F5" s="11" t="str">
        <x:v>直接公告数</x:v>
      </x:c>
      <x:c r="G5" s="11" t="str">
        <x:v>关联或待核数</x:v>
      </x:c>
      <x:c r="H5" s="11" t="str">
        <x:v>检索与读取方式</x:v>
      </x:c>
      <x:c r="I5" s="12" t="str">
        <x:v>限制</x:v>
      </x:c>
    </x:row>
    <x:row r="6" ht="40" customHeight="1">
      <x:c r="A6" s="6" t="str">
        <x:v>千里马</x:v>
      </x:c>
      <x:c r="B6" s="6" t="str">
        <x:v>qianlima.com</x:v>
      </x:c>
      <x:c r="C6" s="6" t="str">
        <x:v>公开正文可部分读取</x:v>
      </x:c>
      <x:c r="D6" s="18" t="n">
        <x:v>13</x:v>
      </x:c>
      <x:c r="E6" s="18" t="n">
        <x:v>5</x:v>
      </x:c>
      <x:c r="F6" s="18" t="n">
        <x:v>2</x:v>
      </x:c>
      <x:c r="G6" s="18" t="n">
        <x:v>13</x:v>
      </x:c>
      <x:c r="H6" s="6" t="str">
        <x:v>已配置Exa无浏览器web_search_exa与web_fetch_exa；3次搜索，每次8结果</x:v>
      </x:c>
      <x:c r="I6" s="6" t="str">
        <x:v>企业全称、联系人号码、邮箱、编号广泛会员遮挡；未登录付费，未访问企业会员详情。原发布日与转载日冲突时采原发布日。未遇搜索限流。</x:v>
      </x:c>
    </x:row>
    <x:row r="7" ht="40" customHeight="1">
      <x:c r="A7" s="6" t="str">
        <x:v>乙方宝</x:v>
      </x:c>
      <x:c r="B7" s="6" t="str">
        <x:v>yfbzb.com</x:v>
      </x:c>
      <x:c r="C7" s="6" t="str">
        <x:v>公开正文可部分读取</x:v>
      </x:c>
      <x:c r="D7" s="18" t="n">
        <x:v>14</x:v>
      </x:c>
      <x:c r="E7" s="18" t="n">
        <x:v>0</x:v>
      </x:c>
      <x:c r="F7" s="18" t="n">
        <x:v>0</x:v>
      </x:c>
      <x:c r="G7" s="18" t="n">
        <x:v>14</x:v>
      </x:c>
      <x:c r="H7" s="6" t="str">
        <x:v>已配置Exa无浏览器web_search_exa与web_fetch_exa；3次搜索，每次8结果</x:v>
      </x:c>
      <x:c r="I7" s="6" t="str">
        <x:v>企业全称、联系人号码、邮箱、编号、截止日期大面积登录遮挡；部分公开文本抽取受默认长度限制；未登录付费。未遇搜索限流。</x:v>
      </x:c>
    </x:row>
    <x:row r="8" ht="40" customHeight="1">
      <x:c r="A8" s="6" t="str">
        <x:v>剑鱼标讯</x:v>
      </x:c>
      <x:c r="B8" s="6" t="str">
        <x:v>jianyu360.cn</x:v>
      </x:c>
      <x:c r="C8" s="6" t="str">
        <x:v>搜索成功；部分公告公开正文可读；具体比亚迪采购/中标多落到聚合页</x:v>
      </x:c>
      <x:c r="D8" s="18" t="n">
        <x:v>2</x:v>
      </x:c>
      <x:c r="E8" s="18" t="n">
        <x:v>0</x:v>
      </x:c>
      <x:c r="F8" s="18" t="n">
        <x:v>0</x:v>
      </x:c>
      <x:c r="G8" s="18" t="n">
        <x:v>9</x:v>
      </x:c>
      <x:c r="H8" s="6" t="str">
        <x:v>原生Exa搜索/读取；另对已知聚合页尝试直接HTTP，取得3593字节壳/挑战，无链接，无浏览器</x:v>
      </x:c>
      <x:c r="I8" s="6" t="str">
        <x:v>姓名与电话***；nologin动态壳页；聚合页缺具体公告链接，正文候选角色未核；jianyucurrentAPI无密钥且未调用</x:v>
      </x:c>
    </x:row>
    <x:row r="9" ht="40" customHeight="1">
      <x:c r="A9" s="6" t="str">
        <x:v>中国采购与招标网</x:v>
      </x:c>
      <x:c r="B9" s="6" t="str">
        <x:v>chinabidding.cn</x:v>
      </x:c>
      <x:c r="C9" s="6" t="str">
        <x:v>搜索成功；4条公告部分公开正文可读，关键字段遮挡</x:v>
      </x:c>
      <x:c r="D9" s="18" t="n">
        <x:v>4</x:v>
      </x:c>
      <x:c r="E9" s="18" t="n">
        <x:v>0</x:v>
      </x:c>
      <x:c r="F9" s="18" t="n">
        <x:v>0</x:v>
      </x:c>
      <x:c r="G9" s="18" t="n">
        <x:v>5</x:v>
      </x:c>
      <x:c r="H9" s="6" t="str">
        <x:v>原生Exa搜索/读取（无浏览器/无登录）</x:v>
      </x:c>
      <x:c r="I9" s="6" t="str">
        <x:v>采购主体、项目编号、金额与电话大量（略）；一页登录壳，一页反爬挑战；旁栏推荐联系人与平台客服不能当项目联系人</x:v>
      </x:c>
    </x:row>
    <x:row r="10" ht="40" customHeight="1">
      <x:c r="A10" s="6" t="str">
        <x:v>必联网</x:v>
      </x:c>
      <x:c r="B10" s="6" t="str">
        <x:v>ebnew.com / ss.ebnew.com</x:v>
      </x:c>
      <x:c r="C10" s="6" t="str">
        <x:v>可读取公开首页、已实读表单进行站内检索、可读取部分公告正文</x:v>
      </x:c>
      <x:c r="D10" s="18" t="n">
        <x:v>5</x:v>
      </x:c>
      <x:c r="E10" s="18" t="n">
        <x:v>0</x:v>
      </x:c>
      <x:c r="F10" s="18" t="n">
        <x:v>3</x:v>
      </x:c>
      <x:c r="G10" s="18" t="n">
        <x:v>12</x:v>
      </x:c>
      <x:c r="H10" s="6" t="str">
        <x:v>Exa site 检索2次各8条；由首页 form action 与 key 参数确认后进行公开 GET 站内企业和公告查询；未登录</x:v>
      </x:c>
      <x:c r="I10" s="6" t="str">
        <x:v>公告编号、金额、手机号及邮箱普遍会员星号遮蔽；企业库无更新日期及可访问详情链接。比亚迪汽车工业234条只读取第一页；惠州比亚迪电池8条和深圳市比亚迪锂电池9条最新均早于窗口，不代表集团无近期公告。</x:v>
      </x:c>
    </x:row>
    <x:row r="11" ht="40" customHeight="1">
      <x:c r="A11" s="6" t="str">
        <x:v>中国国际招标商业网（机电产品招标投标电子交易平台）</x:v>
      </x:c>
      <x:c r="B11" s="6" t="str">
        <x:v>chinabidding.com</x:v>
      </x:c>
      <x:c r="C11" s="6" t="str">
        <x:v>Exa可读取首页与检索线索；直接fetch首页521，停止直接访问</x:v>
      </x:c>
      <x:c r="D11" s="18" t="n">
        <x:v>0</x:v>
      </x:c>
      <x:c r="E11" s="18" t="n">
        <x:v>0</x:v>
      </x:c>
      <x:c r="F11" s="18" t="n">
        <x:v>0</x:v>
      </x:c>
      <x:c r="G11" s="18" t="n">
        <x:v>0</x:v>
      </x:c>
      <x:c r="H11" s="6" t="str">
        <x:v>Exa site查询1次8条与首页正文；直接fetch返回521后未绕过</x:v>
      </x:c>
      <x:c r="I11" s="6" t="str">
        <x:v>8条检索结果未证明比亚迪直接参与，未作为有效公告；正文官网链路阻断，未进行站内表单检索。与必联网同一必联交易生态，不能视为独立项目来源。</x:v>
      </x:c>
    </x:row>
    <x:row r="12" ht="40" customHeight="1">
      <x:c r="A12" s="6" t="str">
        <x:v>商务部中国国际招标网</x:v>
      </x:c>
      <x:c r="B12" s="6" t="str">
        <x:v>chinabidding.mofcom.gov.cn</x:v>
      </x:c>
      <x:c r="C12" s="6" t="str">
        <x:v>Exa可读取首页及资讯正文；直接fetch因robots连接问题失败</x:v>
      </x:c>
      <x:c r="D12" s="18" t="n">
        <x:v>0</x:v>
      </x:c>
      <x:c r="E12" s="18" t="n">
        <x:v>0</x:v>
      </x:c>
      <x:c r="F12" s="18" t="n">
        <x:v>0</x:v>
      </x:c>
      <x:c r="G12" s="18" t="n">
        <x:v>0</x:v>
      </x:c>
      <x:c r="H12" s="6" t="str">
        <x:v>Exa site查询1次8条，Exa读取首页与已发现资讯页；直接fetch未绕robots</x:v>
      </x:c>
      <x:c r="I12" s="6" t="str">
        <x:v>site结果大多无比亚迪直接关联，仅找到历史嵊州投资资讯，未发现经过正文确认的窗口内比亚迪国际招标。首页可读公告列表显示2026-07-20；不能认定为全站实时完整列表。</x:v>
      </x:c>
    </x:row>
    <x:row r="13" ht="34" customHeight="1">
      <x:c r="A13" s="6" t="str">
        <x:v>中国政府采购网</x:v>
      </x:c>
      <x:c r="B13" s="6" t="str">
        <x:v>ccgp.gov.cn</x:v>
      </x:c>
      <x:c r="C13" s="6" t="str">
        <x:v>已检索并实读；确认1条品牌涉及项目</x:v>
      </x:c>
      <x:c r="D13" s="18" t="n">
        <x:v>1</x:v>
      </x:c>
      <x:c r="E13" s="18" t="n">
        <x:v>0</x:v>
      </x:c>
      <x:c r="F13" s="18" t="n">
        <x:v>0</x:v>
      </x:c>
      <x:c r="G13" s="18" t="n">
        <x:v>4</x:v>
      </x:c>
      <x:c r="H13" s="6" t="str">
        <x:v>无浏览器Exa；6次site查询×8；阅读全文4页</x:v>
      </x:c>
      <x:c r="I13" s="6" t="str">
        <x:v>大量检索结果未出现比亚迪，3个实读公务车项目品牌为其他厂商；无法据搜索阴性认定没有集团中标</x:v>
      </x:c>
    </x:row>
    <x:row r="14" ht="34" customHeight="1">
      <x:c r="A14" s="6" t="str">
        <x:v>全国公共资源交易平台</x:v>
      </x:c>
      <x:c r="B14" s="6" t="str">
        <x:v>ggzy.gov.cn</x:v>
      </x:c>
      <x:c r="C14" s="6" t="str">
        <x:v>已检索并实读；确认1条集团主体框架入围</x:v>
      </x:c>
      <x:c r="D14" s="18" t="n">
        <x:v>1</x:v>
      </x:c>
      <x:c r="E14" s="18" t="n">
        <x:v>2</x:v>
      </x:c>
      <x:c r="F14" s="18" t="n">
        <x:v>1</x:v>
      </x:c>
      <x:c r="G14" s="18" t="n">
        <x:v>1</x:v>
      </x:c>
      <x:c r="H14" s="6" t="str">
        <x:v>无浏览器Exa；4次site查询×8；阅读全文5页（含2个导航容器和3个正文）</x:v>
      </x:c>
      <x:c r="I14" s="6" t="str">
        <x:v>检索多次重复同一青岛入围结果；框架车型单价不能等同订单金额；西宁电池标段二候选人非比亚迪</x:v>
      </x:c>
    </x:row>
    <x:row r="15" ht="40" customHeight="1">
      <x:c r="A15" s="6" t="str">
        <x:v>中国招标投标公共服务平台</x:v>
      </x:c>
      <x:c r="B15" s="6" t="str">
        <x:v>cebpubservice.com</x:v>
      </x:c>
      <x:c r="C15" s="6" t="str">
        <x:v>完成指定站点检索，未找到可核实比亚迪原始公告</x:v>
      </x:c>
      <x:c r="D15" s="18" t="n">
        <x:v>0</x:v>
      </x:c>
      <x:c r="E15" s="18" t="n">
        <x:v>0</x:v>
      </x:c>
      <x:c r="F15" s="18" t="n">
        <x:v>0</x:v>
      </x:c>
      <x:c r="G15" s="18" t="n">
        <x:v>0</x:v>
      </x:c>
      <x:c r="H15" s="6" t="str">
        <x:v>无浏览器Exa；4次site查询×8；另外1次全网长沙精确线索查询×8，实读2篇二手</x:v>
      </x:c>
      <x:c r="I15" s="6" t="str">
        <x:v>指定站点返回2018测试环境或无关2026公告；长沙6998万元只找到二手，结果/候选类型冲突，待官方核验。未浏览器、未登录付费、未换引擎。</x:v>
      </x:c>
    </x:row>
    <x:row r="16" ht="34" customHeight="1">
      <x:c r="A16" s="6" t="str">
        <x:v>比亚迪供应商门户</x:v>
      </x:c>
      <x:c r="B16" s="6" t="str">
        <x:v>sp.byd.com.cn</x:v>
      </x:c>
      <x:c r="C16" s="6" t="str">
        <x:v>公开首页可读；商机列表无可索引公告正文</x:v>
      </x:c>
      <x:c r="D16" s="18" t="n">
        <x:v>0</x:v>
      </x:c>
      <x:c r="E16" s="18" t="n">
        <x:v>0</x:v>
      </x:c>
      <x:c r="F16" s="18" t="n">
        <x:v>0</x:v>
      </x:c>
      <x:c r="G16" s="18" t="n">
        <x:v>0</x:v>
      </x:c>
      <x:c r="H16" s="6" t="str">
        <x:v>Exa fetch首页与官方商机列表，无浏览器、无登录</x:v>
      </x:c>
      <x:c r="I16" s="6" t="str">
        <x:v>首页索引内容为2020年资讯；商机列表只返回栏目框架，无法证实近一年公开招标。</x:v>
      </x:c>
    </x:row>
    <x:row r="17" ht="40" customHeight="1">
      <x:c r="A17" s="6" t="str">
        <x:v>诚E招电子采购交易平台</x:v>
      </x:c>
      <x:c r="B17" s="6" t="str">
        <x:v>chengezhao.com</x:v>
      </x:c>
      <x:c r="C17" s="6" t="str">
        <x:v>公开公告及PDF完整正文可读</x:v>
      </x:c>
      <x:c r="D17" s="18" t="n">
        <x:v>13</x:v>
      </x:c>
      <x:c r="E17" s="18" t="n">
        <x:v>110</x:v>
      </x:c>
      <x:c r="F17" s="18" t="n">
        <x:v>12</x:v>
      </x:c>
      <x:c r="G17" s="18" t="n">
        <x:v>28</x:v>
      </x:c>
      <x:c r="H17" s="6" t="str">
        <x:v>Exa搜索不同采购类型和时段，再fetch正文；仅纳入2025-10-08至2026-10-08</x:v>
      </x:c>
      <x:c r="I17" s="6" t="str">
        <x:v>近一年原始公告集中在2026年5月至9月；未找到2025年末比亚迪原始公告，非穷尽清单；候选不等于成交。</x:v>
      </x:c>
    </x:row>
    <x:row r="18" ht="34" customHeight="1">
      <x:c r="A18" s="6" t="str">
        <x:v>公诚管理咨询发布网站</x:v>
      </x:c>
      <x:c r="B18" s="6" t="str">
        <x:v>gcbidding.com</x:v>
      </x:c>
      <x:c r="C18" s="6" t="str">
        <x:v>搜索无结果，首页抓取失败</x:v>
      </x:c>
      <x:c r="D18" s="18" t="n">
        <x:v>0</x:v>
      </x:c>
      <x:c r="E18" s="18" t="n">
        <x:v>0</x:v>
      </x:c>
      <x:c r="F18" s="18" t="n">
        <x:v>0</x:v>
      </x:c>
      <x:c r="G18" s="18" t="n">
        <x:v>0</x:v>
      </x:c>
      <x:c r="H18" s="6" t="str">
        <x:v>Exa site搜索与web_fetch_exa</x:v>
      </x:c>
      <x:c r="I18" s="6" t="str">
        <x:v>首页返回CRAWL_UNKNOWN_ERROR；转用同一采购代理的诚E招原始公告。</x:v>
      </x:c>
    </x:row>
    <x:row r="19" ht="40" customHeight="1">
      <x:c r="A19" s="6" t="str">
        <x:v>巨潮资讯</x:v>
      </x:c>
      <x:c r="B19" s="6" t="str">
        <x:v>cninfo.com.cn</x:v>
      </x:c>
      <x:c r="C19" s="6" t="str">
        <x:v>已读取3份正式报告</x:v>
      </x:c>
      <x:c r="D19" s="18" t="n">
        <x:v>3</x:v>
      </x:c>
      <x:c r="E19" s="18" t="n">
        <x:v>162</x:v>
      </x:c>
      <x:c r="F19" s="18" t="n">
        <x:v>0</x:v>
      </x:c>
      <x:c r="G19" s="18" t="n">
        <x:v>5</x:v>
      </x:c>
      <x:c r="H19" s="6" t="str">
        <x:v>Exa无浏览器搜索+原URL下载+pypdf逐页解析</x:v>
      </x:c>
      <x:c r="I19" s="6" t="str">
        <x:v>披露日按巨潮文件发布目录；报告签署/董事会批准日期另为2026-03-27、2026-08-28、2025-10-30。三季报及半年报未经审计。</x:v>
      </x:c>
    </x:row>
    <x:row r="20" ht="34" customHeight="1">
      <x:c r="A20" s="6" t="str">
        <x:v>比亚迪集团官网</x:v>
      </x:c>
      <x:c r="B20" s="6" t="str">
        <x:v>bydglobal.com</x:v>
      </x:c>
      <x:c r="C20" s="6" t="str">
        <x:v>已读取投资者关系页</x:v>
      </x:c>
      <x:c r="D20" s="18" t="n">
        <x:v>1</x:v>
      </x:c>
      <x:c r="E20" s="18" t="n">
        <x:v>7</x:v>
      </x:c>
      <x:c r="F20" s="18" t="n">
        <x:v>0</x:v>
      </x:c>
      <x:c r="G20" s="18" t="n">
        <x:v>0</x:v>
      </x:c>
      <x:c r="H20" s="6" t="str">
        <x:v>Exa无浏览器搜索/读取+下载真实HTML</x:v>
      </x:c>
      <x:c r="I20" s="6" t="str">
        <x:v>网页无明确发布日期；其旧年EPS与送转后调整口径不同，未纳入。</x:v>
      </x:c>
    </x:row>
    <x:row r="21" ht="34" customHeight="1">
      <x:c r="A21" s="6" t="str">
        <x:v>HKEXnews</x:v>
      </x:c>
      <x:c r="B21" s="6" t="str">
        <x:v>hkexnews.hk</x:v>
      </x:c>
      <x:c r="C21" s="6" t="str">
        <x:v>已读取2026年9月原始产销公告</x:v>
      </x:c>
      <x:c r="D21" s="18" t="n">
        <x:v>1</x:v>
      </x:c>
      <x:c r="E21" s="18" t="n">
        <x:v>31</x:v>
      </x:c>
      <x:c r="F21" s="18" t="n">
        <x:v>0</x:v>
      </x:c>
      <x:c r="G21" s="18" t="n">
        <x:v>0</x:v>
      </x:c>
      <x:c r="H21" s="6" t="str">
        <x:v>Exa无浏览器搜索/读取+原URL下载+pypdf逐页解析</x:v>
      </x:c>
      <x:c r="I21" s="6" t="str">
        <x:v>公告于2026-10-01，A股媒体刊登为2026-10-08；同一报告期不重复收录。</x:v>
      </x:c>
    </x:row>
    <x:row r="22" ht="34" customHeight="1">
      <x:c r="A22" s="6" t="str">
        <x:v>深圳证券交易所</x:v>
      </x:c>
      <x:c r="B22" s="6" t="str">
        <x:v>szse.cn</x:v>
      </x:c>
      <x:c r="C22" s="6" t="str">
        <x:v>搜索找到2025年报/2026半年报同版镜像</x:v>
      </x:c>
      <x:c r="D22" s="18" t="n">
        <x:v>0</x:v>
      </x:c>
      <x:c r="E22" s="18" t="n">
        <x:v>0</x:v>
      </x:c>
      <x:c r="F22" s="18" t="n">
        <x:v>0</x:v>
      </x:c>
      <x:c r="G22" s="18" t="n">
        <x:v>0</x:v>
      </x:c>
      <x:c r="H22" s="6" t="str">
        <x:v>Exa无浏览器搜索</x:v>
      </x:c>
      <x:c r="I22" s="6" t="str">
        <x:v>已用巨潮同版原文，未重复下载镜像。</x:v>
      </x:c>
    </x:row>
    <x:row r="25">
      <x:c r="A25" s="20" t="str">
        <x:v>原始来源索引（编号与所有数据表对应）</x:v>
      </x:c>
    </x:row>
    <x:row r="26" ht="34" customHeight="1">
      <x:c r="A26" s="24" t="str">
        <x:v>来源编号</x:v>
      </x:c>
      <x:c r="B26" s="24" t="str">
        <x:v>平台</x:v>
      </x:c>
      <x:c r="C26" s="24" t="str">
        <x:v>标题</x:v>
      </x:c>
      <x:c r="D26" s="24" t="str">
        <x:v>平台发布日期</x:v>
      </x:c>
      <x:c r="E26" s="24" t="str">
        <x:v>证据类型</x:v>
      </x:c>
      <x:c r="F26" s="24" t="str">
        <x:v>使用情况</x:v>
      </x:c>
      <x:c r="G26" s="24" t="str">
        <x:v>原始URL</x:v>
      </x:c>
    </x:row>
    <x:row r="27" ht="70" customHeight="1">
      <x:c r="A27" s="21" t="str">
        <x:v>Q001</x:v>
      </x:c>
      <x:c r="B27" s="21" t="str">
        <x:v>千里马</x:v>
      </x:c>
      <x:c r="C27" s="21" t="str">
        <x:v>26196,成都比亚迪晶圆厂扩容机电包,临建平台协议采购,成交公告</x:v>
      </x:c>
      <x:c r="D27" s="25" t="d">
        <x:v>2026-09-20T00:00:00.000Z</x:v>
      </x:c>
      <x:c r="E27" s="21" t="str">
        <x:v>聚合公告公开正文；可能部分截取及会员遮挡</x:v>
      </x:c>
      <x:c r="F27" s="21" t="str">
        <x:v>纳入正文/关联资料</x:v>
      </x:c>
      <x:c r="G27" s="26" t="str">
        <x:v>https://www.qianlima.com/bid-632978021.html</x:v>
      </x:c>
    </x:row>
    <x:row r="28" ht="70" customHeight="1">
      <x:c r="A28" s="21" t="str">
        <x:v>Q002</x:v>
      </x:c>
      <x:c r="B28" s="21" t="str">
        <x:v>千里马</x:v>
      </x:c>
      <x:c r="C28" s="21" t="str">
        <x:v>新能源比亚迪项目用加工箱体询价采购中标公告</x:v>
      </x:c>
      <x:c r="D28" s="25" t="d">
        <x:v>2026-08-21T00:00:00.000Z</x:v>
      </x:c>
      <x:c r="E28" s="21" t="str">
        <x:v>聚合公告公开正文；可能部分截取及会员遮挡</x:v>
      </x:c>
      <x:c r="F28" s="21" t="str">
        <x:v>纳入正文/关联资料</x:v>
      </x:c>
      <x:c r="G28" s="26" t="str">
        <x:v>https://www.qianlima.com/bid-624213929.html</x:v>
      </x:c>
    </x:row>
    <x:row r="29" ht="70" customHeight="1">
      <x:c r="A29" s="21" t="str">
        <x:v>Q003</x:v>
      </x:c>
      <x:c r="B29" s="21" t="str">
        <x:v>千里马</x:v>
      </x:c>
      <x:c r="C29" s="21" t="str">
        <x:v>宜昌姚家港化工园（宝林片区）基础设施及综合管廊建设项目宜昌比亚迪电池有限公司10KV线路工程（主供）甲供材采购成交公告</x:v>
      </x:c>
      <x:c r="D29" s="25" t="d">
        <x:v>2026-09-22T00:00:00.000Z</x:v>
      </x:c>
      <x:c r="E29" s="21" t="str">
        <x:v>聚合公告公开正文；可能部分截取及会员遮挡</x:v>
      </x:c>
      <x:c r="F29" s="21" t="str">
        <x:v>纳入正文/关联资料</x:v>
      </x:c>
      <x:c r="G29" s="26" t="str">
        <x:v>https://www.qianlima.com/bid-633541295.html</x:v>
      </x:c>
    </x:row>
    <x:row r="30" ht="70" customHeight="1">
      <x:c r="A30" s="21" t="str">
        <x:v>Q004</x:v>
      </x:c>
      <x:c r="B30" s="21" t="str">
        <x:v>千里马</x:v>
      </x:c>
      <x:c r="C30" s="21" t="str">
        <x:v>比亚迪公司流化床采购项目（二次）中标候选人公示</x:v>
      </x:c>
      <x:c r="D30" s="25" t="d">
        <x:v>2026-08-19T00:00:00.000Z</x:v>
      </x:c>
      <x:c r="E30" s="21" t="str">
        <x:v>聚合公告公开正文；可能部分截取及会员遮挡</x:v>
      </x:c>
      <x:c r="F30" s="21" t="str">
        <x:v>纳入正文/关联资料</x:v>
      </x:c>
      <x:c r="G30" s="26" t="str">
        <x:v>https://www.qianlima.com/bid-623690843.html</x:v>
      </x:c>
    </x:row>
    <x:row r="31" ht="70" customHeight="1">
      <x:c r="A31" s="21" t="str">
        <x:v>Q005</x:v>
      </x:c>
      <x:c r="B31" s="21" t="str">
        <x:v>千里马</x:v>
      </x:c>
      <x:c r="C31" s="21" t="str">
        <x:v>比亚迪公司分级机采购项目（二次）中标候选人公示</x:v>
      </x:c>
      <x:c r="D31" s="25" t="d">
        <x:v>2026-08-18T00:00:00.000Z</x:v>
      </x:c>
      <x:c r="E31" s="21" t="str">
        <x:v>聚合公告公开正文；可能部分截取及会员遮挡</x:v>
      </x:c>
      <x:c r="F31" s="21" t="str">
        <x:v>纳入正文/关联资料</x:v>
      </x:c>
      <x:c r="G31" s="26" t="str">
        <x:v>https://www.qianlima.com/bid-623395178.html</x:v>
      </x:c>
    </x:row>
    <x:row r="32" ht="70" customHeight="1">
      <x:c r="A32" s="21" t="str">
        <x:v>Q006</x:v>
      </x:c>
      <x:c r="B32" s="21" t="str">
        <x:v>千里马</x:v>
      </x:c>
      <x:c r="C32" s="21" t="str">
        <x:v>比亚迪公司除铁器采购项目中标候选人公示</x:v>
      </x:c>
      <x:c r="D32" s="25" t="d">
        <x:v>2026-08-18T00:00:00.000Z</x:v>
      </x:c>
      <x:c r="E32" s="21" t="str">
        <x:v>聚合公告公开正文；可能部分截取及会员遮挡</x:v>
      </x:c>
      <x:c r="F32" s="21" t="str">
        <x:v>纳入正文/关联资料</x:v>
      </x:c>
      <x:c r="G32" s="26" t="str">
        <x:v>https://www.qianlima.com/bid-623384116.html</x:v>
      </x:c>
    </x:row>
    <x:row r="33" ht="70" customHeight="1">
      <x:c r="A33" s="21" t="str">
        <x:v>Q007</x:v>
      </x:c>
      <x:c r="B33" s="21" t="str">
        <x:v>千里马</x:v>
      </x:c>
      <x:c r="C33" s="21" t="str">
        <x:v>比亚迪1.5万个站中站闪充站建设东北站中站建设项目劳务采购中标候选人公示</x:v>
      </x:c>
      <x:c r="D33" s="25" t="d">
        <x:v>2026-08-18T00:00:00.000Z</x:v>
      </x:c>
      <x:c r="E33" s="21" t="str">
        <x:v>聚合公告公开正文；可能部分截取及会员遮挡</x:v>
      </x:c>
      <x:c r="F33" s="21" t="str">
        <x:v>纳入正文/关联资料</x:v>
      </x:c>
      <x:c r="G33" s="26" t="str">
        <x:v>https://www.qianlima.com/bid-623266935.html</x:v>
      </x:c>
    </x:row>
    <x:row r="34" ht="70" customHeight="1">
      <x:c r="A34" s="21" t="str">
        <x:v>Q008</x:v>
      </x:c>
      <x:c r="B34" s="21" t="str">
        <x:v>千里马</x:v>
      </x:c>
      <x:c r="C34" s="21" t="str">
        <x:v>汕尾弗迪电池有限公司中压业扩配套电缆管道工程结果公告</x:v>
      </x:c>
      <x:c r="D34" s="25" t="d">
        <x:v>2026-08-20T00:00:00.000Z</x:v>
      </x:c>
      <x:c r="E34" s="21" t="str">
        <x:v>聚合公告公开正文；可能部分截取及会员遮挡</x:v>
      </x:c>
      <x:c r="F34" s="21" t="str">
        <x:v>纳入正文/关联资料</x:v>
      </x:c>
      <x:c r="G34" s="26" t="str">
        <x:v>https://www.qianlima.com/bid-623970778.html</x:v>
      </x:c>
    </x:row>
    <x:row r="35" ht="70" customHeight="1">
      <x:c r="A35" s="21" t="str">
        <x:v>Q009</x:v>
      </x:c>
      <x:c r="B35" s="21" t="str">
        <x:v>千里马</x:v>
      </x:c>
      <x:c r="C35" s="21" t="str">
        <x:v>比亚迪汽车销售有限公司入围上海市2026年新能源公务用车框架协议采购的结果公告</x:v>
      </x:c>
      <x:c r="D35" s="25" t="d">
        <x:v>2026-06-03T00:00:00.000Z</x:v>
      </x:c>
      <x:c r="E35" s="21" t="str">
        <x:v>聚合公告公开正文；可能部分截取及会员遮挡</x:v>
      </x:c>
      <x:c r="F35" s="21" t="str">
        <x:v>纳入正文/关联资料</x:v>
      </x:c>
      <x:c r="G35" s="26" t="str">
        <x:v>https://www.qianlima.com/bid-602204856.html</x:v>
      </x:c>
    </x:row>
    <x:row r="36" ht="70" customHeight="1">
      <x:c r="A36" s="21" t="str">
        <x:v>Q010</x:v>
      </x:c>
      <x:c r="B36" s="21" t="str">
        <x:v>千里马</x:v>
      </x:c>
      <x:c r="C36" s="21" t="str">
        <x:v>比亚迪1.5万个站中站闪充站建设西北站中站建设项目劳务采购中标候选人公示</x:v>
      </x:c>
      <x:c r="D36" s="25" t="d">
        <x:v>2026-08-19T00:00:00.000Z</x:v>
      </x:c>
      <x:c r="E36" s="21" t="str">
        <x:v>聚合公告公开正文；可能部分截取及会员遮挡</x:v>
      </x:c>
      <x:c r="F36" s="21" t="str">
        <x:v>纳入正文/关联资料</x:v>
      </x:c>
      <x:c r="G36" s="26" t="str">
        <x:v>https://www.qianlima.com/bid-623703648.html</x:v>
      </x:c>
    </x:row>
    <x:row r="37" ht="70" customHeight="1">
      <x:c r="A37" s="21" t="str">
        <x:v>Q011</x:v>
      </x:c>
      <x:c r="B37" s="21" t="str">
        <x:v>乙方宝</x:v>
      </x:c>
      <x:c r="C37" s="21" t="str">
        <x:v>比亚迪公司空压机采购项目（二次）-（标包一）招标公告</x:v>
      </x:c>
      <x:c r="D37" s="25" t="d">
        <x:v>2026-09-21T00:00:00.000Z</x:v>
      </x:c>
      <x:c r="E37" s="21" t="str">
        <x:v>聚合公告公开正文；可能部分截取及会员遮挡</x:v>
      </x:c>
      <x:c r="F37" s="21" t="str">
        <x:v>纳入正文/关联资料</x:v>
      </x:c>
      <x:c r="G37" s="26" t="str">
        <x:v>https://www.yfbzb.com/inviteBid/detail/20260921_633392838.html</x:v>
      </x:c>
    </x:row>
    <x:row r="38" ht="70" customHeight="1">
      <x:c r="A38" s="21" t="str">
        <x:v>Q012</x:v>
      </x:c>
      <x:c r="B38" s="21" t="str">
        <x:v>乙方宝</x:v>
      </x:c>
      <x:c r="C38" s="21" t="str">
        <x:v>比亚迪公司空压机采购项目（标包一）招标公告</x:v>
      </x:c>
      <x:c r="D38" s="25" t="d">
        <x:v>2026-08-31T00:00:00.000Z</x:v>
      </x:c>
      <x:c r="E38" s="21" t="str">
        <x:v>聚合公告公开正文；可能部分截取及会员遮挡</x:v>
      </x:c>
      <x:c r="F38" s="21" t="str">
        <x:v>纳入正文/关联资料</x:v>
      </x:c>
      <x:c r="G38" s="26" t="str">
        <x:v>https://www.yfbzb.com/inviteBid/detail/20260831_626826742.html</x:v>
      </x:c>
    </x:row>
    <x:row r="39" ht="70" customHeight="1">
      <x:c r="A39" s="21" t="str">
        <x:v>Q013</x:v>
      </x:c>
      <x:c r="B39" s="21" t="str">
        <x:v>乙方宝</x:v>
      </x:c>
      <x:c r="C39" s="21" t="str">
        <x:v>【询价公告】BYD汽车滚装作业外包服务项目（第二次）</x:v>
      </x:c>
      <x:c r="D39" s="25" t="d">
        <x:v>2026-09-01T00:00:00.000Z</x:v>
      </x:c>
      <x:c r="E39" s="21" t="str">
        <x:v>聚合公告公开正文；可能部分截取及会员遮挡</x:v>
      </x:c>
      <x:c r="F39" s="21" t="str">
        <x:v>纳入正文/关联资料</x:v>
      </x:c>
      <x:c r="G39" s="26" t="str">
        <x:v>https://www.yfbzb.com/inviteBid/detail/20260901_627268296.html</x:v>
      </x:c>
    </x:row>
    <x:row r="40" ht="70" customHeight="1">
      <x:c r="A40" s="21" t="str">
        <x:v>Q014</x:v>
      </x:c>
      <x:c r="B40" s="21" t="str">
        <x:v>乙方宝</x:v>
      </x:c>
      <x:c r="C40" s="21" t="str">
        <x:v>比亚迪1.5万个站中站闪充站建设华东+华北站中站建设项目06包镀锌钢管、扁铁、桥架物资采购</x:v>
      </x:c>
      <x:c r="D40" s="25" t="d">
        <x:v>2026-08-07T00:00:00.000Z</x:v>
      </x:c>
      <x:c r="E40" s="21" t="str">
        <x:v>聚合公告公开正文；可能部分截取及会员遮挡</x:v>
      </x:c>
      <x:c r="F40" s="21" t="str">
        <x:v>纳入正文/关联资料</x:v>
      </x:c>
      <x:c r="G40" s="26" t="str">
        <x:v>https://m.yfbzb.com/inviteBid/detail/20260807_620556045.html</x:v>
      </x:c>
    </x:row>
    <x:row r="41" ht="70" customHeight="1">
      <x:c r="A41" s="21" t="str">
        <x:v>Q015</x:v>
      </x:c>
      <x:c r="B41" s="21" t="str">
        <x:v>乙方宝</x:v>
      </x:c>
      <x:c r="C41" s="21" t="str">
        <x:v>比亚迪1.5万个站中站闪充站建设西北站中站建设项目04包镀锌钢管、扁铁、桥架物资采购</x:v>
      </x:c>
      <x:c r="D41" s="25" t="d">
        <x:v>2026-08-07T00:00:00.000Z</x:v>
      </x:c>
      <x:c r="E41" s="21" t="str">
        <x:v>聚合公告公开正文；可能部分截取及会员遮挡</x:v>
      </x:c>
      <x:c r="F41" s="21" t="str">
        <x:v>纳入正文/关联资料</x:v>
      </x:c>
      <x:c r="G41" s="26" t="str">
        <x:v>https://www.yfbzb.com/inviteBid/detail/20260807_620568599.html</x:v>
      </x:c>
    </x:row>
    <x:row r="42" ht="70" customHeight="1">
      <x:c r="A42" s="21" t="str">
        <x:v>Q016</x:v>
      </x:c>
      <x:c r="B42" s="21" t="str">
        <x:v>乙方宝</x:v>
      </x:c>
      <x:c r="C42" s="21" t="str">
        <x:v>15辆比亚迪BYD6810LZEV4型纯电公交车动力电池更换及电机、电控延保项目询比采购公告</x:v>
      </x:c>
      <x:c r="D42" s="25" t="d">
        <x:v>2026-08-06T00:00:00.000Z</x:v>
      </x:c>
      <x:c r="E42" s="21" t="str">
        <x:v>聚合公告公开正文；可能部分截取及会员遮挡</x:v>
      </x:c>
      <x:c r="F42" s="21" t="str">
        <x:v>纳入正文/关联资料</x:v>
      </x:c>
      <x:c r="G42" s="26" t="str">
        <x:v>https://www.yfbzb.com/inviteBid/detail/20260806_620311188.html</x:v>
      </x:c>
    </x:row>
    <x:row r="43" ht="70" customHeight="1">
      <x:c r="A43" s="21" t="str">
        <x:v>Q017</x:v>
      </x:c>
      <x:c r="B43" s="21" t="str">
        <x:v>乙方宝</x:v>
      </x:c>
      <x:c r="C43" s="21" t="str">
        <x:v>比亚迪厂区周边停车场一期项目工程总承包-公开招标公告</x:v>
      </x:c>
      <x:c r="D43" s="25" t="d">
        <x:v>2026-07-31T00:00:00.000Z</x:v>
      </x:c>
      <x:c r="E43" s="21" t="str">
        <x:v>聚合公告公开正文；可能部分截取及会员遮挡</x:v>
      </x:c>
      <x:c r="F43" s="21" t="str">
        <x:v>纳入正文/关联资料</x:v>
      </x:c>
      <x:c r="G43" s="26" t="str">
        <x:v>http://yfbzb.com/inviteBid/detail/20260731_618874666.html</x:v>
      </x:c>
    </x:row>
    <x:row r="44" ht="70" customHeight="1">
      <x:c r="A44" s="21" t="str">
        <x:v>Q018</x:v>
      </x:c>
      <x:c r="B44" s="21" t="str">
        <x:v>乙方宝</x:v>
      </x:c>
      <x:c r="C44" s="21" t="str">
        <x:v>比亚迪外电接入电缆及电气设施采购项目招标公告</x:v>
      </x:c>
      <x:c r="D44" s="25" t="d">
        <x:v>2026-04-17T00:00:00.000Z</x:v>
      </x:c>
      <x:c r="E44" s="21" t="str">
        <x:v>聚合公告公开正文；可能部分截取及会员遮挡</x:v>
      </x:c>
      <x:c r="F44" s="21" t="str">
        <x:v>纳入正文/关联资料</x:v>
      </x:c>
      <x:c r="G44" s="26" t="str">
        <x:v>https://www.yfbzb.com/inviteBid/detail/20260417_590402777.html</x:v>
      </x:c>
    </x:row>
    <x:row r="45" ht="70" customHeight="1">
      <x:c r="A45" s="21" t="str">
        <x:v>Q019</x:v>
      </x:c>
      <x:c r="B45" s="21" t="str">
        <x:v>乙方宝</x:v>
      </x:c>
      <x:c r="C45" s="21" t="str">
        <x:v>[安徽建工交航]阜南县比亚迪汽车零部件配套产业建设（二期）项目一标段机电安装工程施工招标公告</x:v>
      </x:c>
      <x:c r="D45" s="25" t="d">
        <x:v>2026-04-24T00:00:00.000Z</x:v>
      </x:c>
      <x:c r="E45" s="21" t="str">
        <x:v>聚合公告公开正文；可能部分截取及会员遮挡</x:v>
      </x:c>
      <x:c r="F45" s="21" t="str">
        <x:v>纳入正文/关联资料</x:v>
      </x:c>
      <x:c r="G45" s="26" t="str">
        <x:v>http://www.yfbzb.com/inviteBid/detail/20260424_592439976.html</x:v>
      </x:c>
    </x:row>
    <x:row r="46" ht="70" customHeight="1">
      <x:c r="A46" s="21" t="str">
        <x:v>Q020</x:v>
      </x:c>
      <x:c r="B46" s="21" t="str">
        <x:v>乙方宝</x:v>
      </x:c>
      <x:c r="C46" s="21" t="str">
        <x:v>2026年陕西比亚迪运输项目招采招标公告</x:v>
      </x:c>
      <x:c r="D46" s="25" t="d">
        <x:v>2026-06-25T00:00:00.000Z</x:v>
      </x:c>
      <x:c r="E46" s="21" t="str">
        <x:v>聚合公告公开正文；可能部分截取及会员遮挡</x:v>
      </x:c>
      <x:c r="F46" s="21" t="str">
        <x:v>纳入正文/关联资料</x:v>
      </x:c>
      <x:c r="G46" s="26" t="str">
        <x:v>https://m.yfbzb.com/inviteBid/detail/20260625_608328869.html</x:v>
      </x:c>
    </x:row>
    <x:row r="47" ht="70" customHeight="1">
      <x:c r="A47" s="21" t="str">
        <x:v>Q021</x:v>
      </x:c>
      <x:c r="B47" s="21" t="str">
        <x:v>千里马</x:v>
      </x:c>
      <x:c r="C47" s="21" t="str">
        <x:v>中信戴卡股份有限公司铸件刀具-byd采购结果公告</x:v>
      </x:c>
      <x:c r="D47" s="25" t="d">
        <x:v>2026-09-18T00:00:00.000Z</x:v>
      </x:c>
      <x:c r="E47" s="21" t="str">
        <x:v>聚合公告公开正文；可能部分截取及会员遮挡</x:v>
      </x:c>
      <x:c r="F47" s="21" t="str">
        <x:v>纳入正文/关联资料</x:v>
      </x:c>
      <x:c r="G47" s="26" t="str">
        <x:v>https://www.qianlima.com/bid-632446162.html</x:v>
      </x:c>
    </x:row>
    <x:row r="48" ht="70" customHeight="1">
      <x:c r="A48" s="21" t="str">
        <x:v>Q022</x:v>
      </x:c>
      <x:c r="B48" s="21" t="str">
        <x:v>千里马</x:v>
      </x:c>
      <x:c r="C48" s="21" t="str">
        <x:v>关于无为弗迪电池有限公司比亚迪新能源动力电池长三角制造中心（三期）建设项目（重新报批）(2202-340225-04-01-920619)环境影响报告表的批复</x:v>
      </x:c>
      <x:c r="D48" s="25" t="d">
        <x:v>2026-03-29T00:00:00.000Z</x:v>
      </x:c>
      <x:c r="E48" s="21" t="str">
        <x:v>聚合公告公开正文；可能部分截取及会员遮挡</x:v>
      </x:c>
      <x:c r="F48" s="21" t="str">
        <x:v>仅访问/排除/补充参考</x:v>
      </x:c>
      <x:c r="G48" s="26" t="str">
        <x:v>https://www.qianlima.com/bid-585196555.html</x:v>
      </x:c>
    </x:row>
    <x:row r="49" ht="70" customHeight="1">
      <x:c r="A49" s="21" t="str">
        <x:v>Q023</x:v>
      </x:c>
      <x:c r="B49" s="21" t="str">
        <x:v>千里马</x:v>
      </x:c>
      <x:c r="C49" s="21" t="str">
        <x:v>佳业公司比亚迪品牌整车运输项目成交结果公告</x:v>
      </x:c>
      <x:c r="D49" s="25" t="d">
        <x:v>2026-01-07T00:00:00.000Z</x:v>
      </x:c>
      <x:c r="E49" s="21" t="str">
        <x:v>聚合公告公开正文；可能部分截取及会员遮挡</x:v>
      </x:c>
      <x:c r="F49" s="21" t="str">
        <x:v>纳入正文/关联资料</x:v>
      </x:c>
      <x:c r="G49" s="26" t="str">
        <x:v>https://www.qianlima.com/bid-568777352.html</x:v>
      </x:c>
    </x:row>
    <x:row r="50" ht="70" customHeight="1">
      <x:c r="A50" s="21" t="str">
        <x:v>Q024</x:v>
      </x:c>
      <x:c r="B50" s="21" t="str">
        <x:v>千里马</x:v>
      </x:c>
      <x:c r="C50" s="21" t="str">
        <x:v>江苏金湖公共交通有限公司关于31台比亚迪新能源公交车动力电池更新采购项目竞争性磋商成交公告</x:v>
      </x:c>
      <x:c r="D50" s="25" t="d">
        <x:v>2026-08-18T00:00:00.000Z</x:v>
      </x:c>
      <x:c r="E50" s="21" t="str">
        <x:v>聚合公告公开正文；可能部分截取及会员遮挡</x:v>
      </x:c>
      <x:c r="F50" s="21" t="str">
        <x:v>纳入正文/关联资料</x:v>
      </x:c>
      <x:c r="G50" s="26" t="str">
        <x:v>https://www.qianlima.com/bid-623288808.html</x:v>
      </x:c>
    </x:row>
    <x:row r="51" ht="70" customHeight="1">
      <x:c r="A51" s="21" t="str">
        <x:v>Q025</x:v>
      </x:c>
      <x:c r="B51" s="21" t="str">
        <x:v>乙方宝</x:v>
      </x:c>
      <x:c r="C51" s="21" t="str">
        <x:v>比亚迪公司场发射扫描电子显微镜采购项目（二次）招标公告</x:v>
      </x:c>
      <x:c r="D51" s="25" t="d">
        <x:v>2026-09-01T00:00:00.000Z</x:v>
      </x:c>
      <x:c r="E51" s="21" t="str">
        <x:v>聚合公告公开正文；可能部分截取及会员遮挡</x:v>
      </x:c>
      <x:c r="F51" s="21" t="str">
        <x:v>纳入正文/关联资料</x:v>
      </x:c>
      <x:c r="G51" s="26" t="str">
        <x:v>https://www.yfbzb.com/inviteBid/detail/20260901_627043201.html</x:v>
      </x:c>
    </x:row>
    <x:row r="52" ht="70" customHeight="1">
      <x:c r="A52" s="21" t="str">
        <x:v>Q026</x:v>
      </x:c>
      <x:c r="B52" s="21" t="str">
        <x:v>乙方宝</x:v>
      </x:c>
      <x:c r="C52" s="21" t="str">
        <x:v>湖南自由贸易试验区临空产业投资集团有限公司比亚迪外电接入电缆及电气设施采购项目采购需求公开</x:v>
      </x:c>
      <x:c r="D52" s="25" t="d">
        <x:v>2026-04-17T00:00:00.000Z</x:v>
      </x:c>
      <x:c r="E52" s="21" t="str">
        <x:v>聚合公告公开正文；可能部分截取及会员遮挡</x:v>
      </x:c>
      <x:c r="F52" s="21" t="str">
        <x:v>纳入正文/关联资料</x:v>
      </x:c>
      <x:c r="G52" s="26" t="str">
        <x:v>https://www.yfbzb.com/inviteBid/detail/20260417_590358979.html</x:v>
      </x:c>
    </x:row>
    <x:row r="53" ht="70" customHeight="1">
      <x:c r="A53" s="21" t="str">
        <x:v>Q027</x:v>
      </x:c>
      <x:c r="B53" s="21" t="str">
        <x:v>乙方宝</x:v>
      </x:c>
      <x:c r="C53" s="21" t="str">
        <x:v>采购5台比亚迪领汇E7网约车预成交公示</x:v>
      </x:c>
      <x:c r="D53" s="25" t="d">
        <x:v>2026-09-19T00:00:00.000Z</x:v>
      </x:c>
      <x:c r="E53" s="21" t="str">
        <x:v>聚合公告公开正文；可能部分截取及会员遮挡</x:v>
      </x:c>
      <x:c r="F53" s="21" t="str">
        <x:v>纳入正文/关联资料</x:v>
      </x:c>
      <x:c r="G53" s="26" t="str">
        <x:v>https://m.yfbzb.com/winbid/detail/20260919_632677488.html</x:v>
      </x:c>
    </x:row>
    <x:row r="54" ht="70" customHeight="1">
      <x:c r="A54" s="21" t="str">
        <x:v>Q028</x:v>
      </x:c>
      <x:c r="B54" s="21" t="str">
        <x:v>乙方宝</x:v>
      </x:c>
      <x:c r="C54" s="21" t="str">
        <x:v>叉车电池总成BYD中标结果</x:v>
      </x:c>
      <x:c r="D54" s="25" t="d">
        <x:v>2026-08-30T00:00:00.000Z</x:v>
      </x:c>
      <x:c r="E54" s="21" t="str">
        <x:v>聚合公告公开正文；可能部分截取及会员遮挡</x:v>
      </x:c>
      <x:c r="F54" s="21" t="str">
        <x:v>纳入正文/关联资料</x:v>
      </x:c>
      <x:c r="G54" s="26" t="str">
        <x:v>https://www.yfbzb.com/inviteBid/detail/20260830_626549660.html</x:v>
      </x:c>
    </x:row>
    <x:row r="55" ht="70" customHeight="1">
      <x:c r="A55" s="21" t="str">
        <x:v>J001</x:v>
      </x:c>
      <x:c r="B55" s="21" t="str">
        <x:v>剑鱼标讯</x:v>
      </x:c>
      <x:c r="C55" s="21" t="str">
        <x:v>【招标公告】华润怡宝饮料(长沙)有限公司2026年比亚迪、林德搬运车堆高车维修保养采购公告-湖南招标网</x:v>
      </x:c>
      <x:c r="D55" s="25" t="d">
        <x:v>2026-02-16T00:00:00.000Z</x:v>
      </x:c>
      <x:c r="E55" s="21" t="str">
        <x:v>公告公开正文，姓名电话遮挡</x:v>
      </x:c>
      <x:c r="F55" s="21" t="str">
        <x:v>纳入正文/关联资料</x:v>
      </x:c>
      <x:c r="G55" s="26" t="str">
        <x:v>https://hunan.jianyu360.cn/jybx/20260216_26021535359999.html</x:v>
      </x:c>
    </x:row>
    <x:row r="56" ht="70" customHeight="1">
      <x:c r="A56" s="21" t="str">
        <x:v>J002</x:v>
      </x:c>
      <x:c r="B56" s="21" t="str">
        <x:v>中国采购与招标网</x:v>
      </x:c>
      <x:c r="C56" s="21" t="str">
        <x:v>比亚迪公司空压机采购项目（标包二）招标公告-采购与招标网(www.chinabidding.cn)</x:v>
      </x:c>
      <x:c r="D56" s="25" t="d">
        <x:v>2026-08-31T00:00:00.000Z</x:v>
      </x:c>
      <x:c r="E56" s="21" t="str">
        <x:v>公告公开正文，主体金额等遮挡</x:v>
      </x:c>
      <x:c r="F56" s="21" t="str">
        <x:v>纳入正文/关联资料</x:v>
      </x:c>
      <x:c r="G56" s="26" t="str">
        <x:v>https://www.chinabidding.cn/zbgg/U-vzzu29-.html</x:v>
      </x:c>
    </x:row>
    <x:row r="57" ht="70" customHeight="1">
      <x:c r="A57" s="21" t="str">
        <x:v>J003</x:v>
      </x:c>
      <x:c r="B57" s="21" t="str">
        <x:v>中国采购与招标网</x:v>
      </x:c>
      <x:c r="C57" s="21" t="str">
        <x:v>关于【比亚迪模具项目（第三批供电二期工程）业扩配套电力工程全过程造价服务】中选结果的公告-采购与招标网(www.chinabidding.cn)</x:v>
      </x:c>
      <x:c r="D57" s="25" t="d">
        <x:v>2026-03-17T00:00:00.000Z</x:v>
      </x:c>
      <x:c r="E57" s="21" t="str">
        <x:v>公告公开正文，关键字段遮挡</x:v>
      </x:c>
      <x:c r="F57" s="21" t="str">
        <x:v>纳入正文/关联资料</x:v>
      </x:c>
      <x:c r="G57" s="26" t="str">
        <x:v>https://www.chinabidding.cn/zbgs/U-vzHQXdU.html</x:v>
      </x:c>
    </x:row>
    <x:row r="58" ht="70" customHeight="1">
      <x:c r="A58" s="21" t="str">
        <x:v>J004</x:v>
      </x:c>
      <x:c r="B58" s="21" t="str">
        <x:v>中国采购与招标网</x:v>
      </x:c>
      <x:c r="C58" s="21" t="str">
        <x:v>关于【比亚迪模具项目（第三批供电二期工程）业扩配套电力工程设计服务】采购失败项目的公示-采购与招标网(www.chinabidding.cn)</x:v>
      </x:c>
      <x:c r="D58" s="25" t="d">
        <x:v>2026-03-17T00:00:00.000Z</x:v>
      </x:c>
      <x:c r="E58" s="21" t="str">
        <x:v>公告公开正文，关键字段遮挡</x:v>
      </x:c>
      <x:c r="F58" s="21" t="str">
        <x:v>纳入正文/关联资料</x:v>
      </x:c>
      <x:c r="G58" s="26" t="str">
        <x:v>https://www.chinabidding.cn/zbgs/U-vzHQXK6.html</x:v>
      </x:c>
    </x:row>
    <x:row r="59" ht="70" customHeight="1">
      <x:c r="A59" s="21" t="str">
        <x:v>J005</x:v>
      </x:c>
      <x:c r="B59" s="21" t="str">
        <x:v>中国采购与招标网</x:v>
      </x:c>
      <x:c r="C59" s="21" t="str">
        <x:v>Nlaedo.html</x:v>
      </x:c>
      <x:c r="D59" s="25"/>
      <x:c r="E59" s="21" t="str">
        <x:v>反爬挑战，非正文</x:v>
      </x:c>
      <x:c r="F59" s="21" t="str">
        <x:v>仅访问/排除/补充参考</x:v>
      </x:c>
      <x:c r="G59" s="26" t="str">
        <x:v>https://www.chinabidding.cn/xmxx/nlaedo.html</x:v>
      </x:c>
    </x:row>
    <x:row r="60" ht="70" customHeight="1">
      <x:c r="A60" s="21" t="str">
        <x:v>J006</x:v>
      </x:c>
      <x:c r="B60" s="21" t="str">
        <x:v>中国采购与招标网</x:v>
      </x:c>
      <x:c r="C60" s="21" t="str">
        <x:v>比亚迪王朝汽车体验中心-采购与招标网(www.chinabidding.cn)</x:v>
      </x:c>
      <x:c r="D60" s="25" t="d">
        <x:v>2026-08-26T00:00:00.000Z</x:v>
      </x:c>
      <x:c r="E60" s="21" t="str">
        <x:v>项目壳页，需登录</x:v>
      </x:c>
      <x:c r="F60" s="21" t="str">
        <x:v>仅访问/排除/补充参考</x:v>
      </x:c>
      <x:c r="G60" s="26" t="str">
        <x:v>https://www.chinabidding.cn/xmxx/nlNoGu.html</x:v>
      </x:c>
    </x:row>
    <x:row r="61" ht="70" customHeight="1">
      <x:c r="A61" s="21" t="str">
        <x:v>J007</x:v>
      </x:c>
      <x:c r="B61" s="21" t="str">
        <x:v>剑鱼标讯</x:v>
      </x:c>
      <x:c r="C61" s="21" t="str">
        <x:v>比亚迪汽车免费招标信息_比亚迪汽车采购平台-剑鱼标讯</x:v>
      </x:c>
      <x:c r="D61" s="25"/>
      <x:c r="E61" s="21" t="str">
        <x:v>聚合页摘要，非独立公告</x:v>
      </x:c>
      <x:c r="F61" s="21" t="str">
        <x:v>纳入正文/关联资料</x:v>
      </x:c>
      <x:c r="G61" s="26" t="str">
        <x:v>https://www.jianyu360.cn/tags/letter/all_all_all_B_1174880.html</x:v>
      </x:c>
    </x:row>
    <x:row r="62" ht="70" customHeight="1">
      <x:c r="A62" s="21" t="str">
        <x:v>J008</x:v>
      </x:c>
      <x:c r="B62" s="21" t="str">
        <x:v>中国采购与招标网</x:v>
      </x:c>
      <x:c r="C62" s="21" t="str">
        <x:v>关于多用途乘用车（MPV）的协议供货合同公告-采购与招标网(www.chinabidding.cn)</x:v>
      </x:c>
      <x:c r="D62" s="25" t="d">
        <x:v>2026-09-01T00:00:00.000Z</x:v>
      </x:c>
      <x:c r="E62" s="21" t="str">
        <x:v>合同公开正文，关键字段遮挡</x:v>
      </x:c>
      <x:c r="F62" s="21" t="str">
        <x:v>纳入正文/关联资料</x:v>
      </x:c>
      <x:c r="G62" s="26" t="str">
        <x:v>https://www.chinabidding.cn/zbgs/U-vzzVgfU.html</x:v>
      </x:c>
    </x:row>
    <x:row r="63" ht="70" customHeight="1">
      <x:c r="A63" s="21" t="str">
        <x:v>J009</x:v>
      </x:c>
      <x:c r="B63" s="21" t="str">
        <x:v>剑鱼标讯</x:v>
      </x:c>
      <x:c r="C63" s="21" t="str">
        <x:v>剑鱼标讯官网-招标信息查询_全国招标采购信息订阅推送_专业招标大数据服务平台</x:v>
      </x:c>
      <x:c r="D63" s="25"/>
      <x:c r="E63" s="21" t="str">
        <x:v>动态壳页，非正文</x:v>
      </x:c>
      <x:c r="F63" s="21" t="str">
        <x:v>仅访问/排除/补充参考</x:v>
      </x:c>
      <x:c r="G63" s="26" t="str">
        <x:v>https://www.jianyu360.cn/nologin/content/SEEY1cEcTIFOD8vM2txc18vIycoDjdjV2R0KAU7ID0gZ35wHD9UCU4.html</x:v>
      </x:c>
    </x:row>
    <x:row r="64" ht="70" customHeight="1">
      <x:c r="A64" s="21" t="str">
        <x:v>J010</x:v>
      </x:c>
      <x:c r="B64" s="21" t="str">
        <x:v>剑鱼标讯</x:v>
      </x:c>
      <x:c r="C64" s="21" t="str">
        <x:v>1.93亿！比亚迪汽车工业有限公司连中 - 剑鱼标讯</x:v>
      </x:c>
      <x:c r="D64" s="25" t="d">
        <x:v>2025-04-23T00:00:00.000Z</x:v>
      </x:c>
      <x:c r="E64" s="21" t="str">
        <x:v>平台新闻，窗外二手企业资料</x:v>
      </x:c>
      <x:c r="F64" s="21" t="str">
        <x:v>仅访问/排除/补充参考</x:v>
      </x:c>
      <x:c r="G64" s="26" t="str">
        <x:v>https://www.jianyu360.cn/jyblog/QldAVlBEU1FXBhVaFV9XEQcAAQ0RWBVc.html</x:v>
      </x:c>
    </x:row>
    <x:row r="65" ht="70" customHeight="1">
      <x:c r="A65" s="21" t="str">
        <x:v>B001</x:v>
      </x:c>
      <x:c r="B65" s="21" t="str">
        <x:v>必联网企业库</x:v>
      </x:c>
      <x:c r="C65" s="21" t="str">
        <x:v>比亚迪企业公开站内搜索</x:v>
      </x:c>
      <x:c r="D65" s="25"/>
      <x:c r="E65" s="21" t="str">
        <x:v>公开企业列表正文；更新日期未注明</x:v>
      </x:c>
      <x:c r="F65" s="21" t="str">
        <x:v>纳入正文/关联资料</x:v>
      </x:c>
      <x:c r="G65" s="26" t="str">
        <x:v>https://ss.ebnew.com/companySearch/index.htm?key=%E6%AF%94%E4%BA%9A%E8%BF%AA</x:v>
      </x:c>
    </x:row>
    <x:row r="66" ht="70" customHeight="1">
      <x:c r="A66" s="21" t="str">
        <x:v>B002</x:v>
      </x:c>
      <x:c r="B66" s="21" t="str">
        <x:v>必联网</x:v>
      </x:c>
      <x:c r="C66" s="21" t="str">
        <x:v>比亚迪汽车工业招标采购公开站内搜索</x:v>
      </x:c>
      <x:c r="D66" s="25"/>
      <x:c r="E66" s="21" t="str">
        <x:v>公开公告列表正文，线索入口</x:v>
      </x:c>
      <x:c r="F66" s="21" t="str">
        <x:v>仅访问/排除/补充参考</x:v>
      </x:c>
      <x:c r="G66" s="26" t="str">
        <x:v>https://ss.ebnew.com/tradingSearch/index.htm?key=%E6%AF%94%E4%BA%9A%E8%BF%AA%E6%B1%BD%E8%BD%A6%E5%B7%A5%E4%B8%9A</x:v>
      </x:c>
    </x:row>
    <x:row r="67" ht="70" customHeight="1">
      <x:c r="A67" s="21" t="str">
        <x:v>B003</x:v>
      </x:c>
      <x:c r="B67" s="21" t="str">
        <x:v>必联网</x:v>
      </x:c>
      <x:c r="C67" s="21" t="str">
        <x:v>华润新能源云南宜良绿电智造200MW（400MWh）集中式共享储能电站项目储能系统设备采购中标结果公告</x:v>
      </x:c>
      <x:c r="D67" s="25" t="d">
        <x:v>2026-04-08T00:00:00.000Z</x:v>
      </x:c>
      <x:c r="E67" s="21" t="str">
        <x:v>公开中标公告正文；会员字段遮蔽</x:v>
      </x:c>
      <x:c r="F67" s="21" t="str">
        <x:v>纳入正文/关联资料</x:v>
      </x:c>
      <x:c r="G67" s="26" t="str">
        <x:v>http://www.ebnew.com/businessShow/707653928.html</x:v>
      </x:c>
    </x:row>
    <x:row r="68" ht="70" customHeight="1">
      <x:c r="A68" s="21" t="str">
        <x:v>B004</x:v>
      </x:c>
      <x:c r="B68" s="21" t="str">
        <x:v>必联网</x:v>
      </x:c>
      <x:c r="C68" s="21" t="str">
        <x:v>华润新能源云南宜良绿电智造200MW（400MWh）集中式共享储能电站项目储能系统设备采购中标候选人公示</x:v>
      </x:c>
      <x:c r="D68" s="25" t="d">
        <x:v>2026-04-03T00:00:00.000Z</x:v>
      </x:c>
      <x:c r="E68" s="21" t="str">
        <x:v>公开候选人公示正文；会员字段遮蔽</x:v>
      </x:c>
      <x:c r="F68" s="21" t="str">
        <x:v>纳入正文/关联资料</x:v>
      </x:c>
      <x:c r="G68" s="26" t="str">
        <x:v>http://www.ebnew.com/businessShow/707595872.html</x:v>
      </x:c>
    </x:row>
    <x:row r="69" ht="70" customHeight="1">
      <x:c r="A69" s="21" t="str">
        <x:v>B005</x:v>
      </x:c>
      <x:c r="B69" s="21" t="str">
        <x:v>必联网</x:v>
      </x:c>
      <x:c r="C69" s="21" t="str">
        <x:v>启赫新能源河南宝丰200MW/400MWh储能电站项目EPC总承包储能系统设备成交候选人公示</x:v>
      </x:c>
      <x:c r="D69" s="25" t="d">
        <x:v>2026-01-14T00:00:00.000Z</x:v>
      </x:c>
      <x:c r="E69" s="21" t="str">
        <x:v>公开成交候选人正文；会员字段遮蔽</x:v>
      </x:c>
      <x:c r="F69" s="21" t="str">
        <x:v>纳入正文/关联资料</x:v>
      </x:c>
      <x:c r="G69" s="26" t="str">
        <x:v>http://www.ebnew.com/businessShow/706384261.html</x:v>
      </x:c>
    </x:row>
    <x:row r="70" ht="70" customHeight="1">
      <x:c r="A70" s="21" t="str">
        <x:v>B006</x:v>
      </x:c>
      <x:c r="B70" s="21" t="str">
        <x:v>必联网</x:v>
      </x:c>
      <x:c r="C70" s="21" t="str">
        <x:v>必联网首页</x:v>
      </x:c>
      <x:c r="D70" s="25"/>
      <x:c r="E70" s="21" t="str">
        <x:v>官网公开页面与HTML表单</x:v>
      </x:c>
      <x:c r="F70" s="21" t="str">
        <x:v>仅访问/排除/补充参考</x:v>
      </x:c>
      <x:c r="G70" s="26" t="str">
        <x:v>https://www.ebnew.com/</x:v>
      </x:c>
    </x:row>
    <x:row r="71" ht="70" customHeight="1">
      <x:c r="A71" s="21" t="str">
        <x:v>B007</x:v>
      </x:c>
      <x:c r="B71" s="21" t="str">
        <x:v>必联网</x:v>
      </x:c>
      <x:c r="C71" s="21" t="str">
        <x:v>ss.ebnew.com根页</x:v>
      </x:c>
      <x:c r="D71" s="25"/>
      <x:c r="E71" s="21" t="str">
        <x:v>公开根页</x:v>
      </x:c>
      <x:c r="F71" s="21" t="str">
        <x:v>仅访问/排除/补充参考</x:v>
      </x:c>
      <x:c r="G71" s="26" t="str">
        <x:v>https://ss.ebnew.com/</x:v>
      </x:c>
    </x:row>
    <x:row r="72" ht="70" customHeight="1">
      <x:c r="A72" s="21" t="str">
        <x:v>B008</x:v>
      </x:c>
      <x:c r="B72" s="21" t="str">
        <x:v>中国国际招标商业网</x:v>
      </x:c>
      <x:c r="C72" s="21" t="str">
        <x:v>机电产品招标投标电子交易平台首页</x:v>
      </x:c>
      <x:c r="D72" s="25"/>
      <x:c r="E72" s="21" t="str">
        <x:v>Exa读取公开首页；直接访问521</x:v>
      </x:c>
      <x:c r="F72" s="21" t="str">
        <x:v>仅访问/排除/补充参考</x:v>
      </x:c>
      <x:c r="G72" s="26" t="str">
        <x:v>https://www.chinabidding.com/</x:v>
      </x:c>
    </x:row>
    <x:row r="73" ht="70" customHeight="1">
      <x:c r="A73" s="21" t="str">
        <x:v>B009</x:v>
      </x:c>
      <x:c r="B73" s="21" t="str">
        <x:v>商务部中国国际招标网</x:v>
      </x:c>
      <x:c r="C73" s="21" t="str">
        <x:v>机电产品国际招标行政监督和公共服务平台首页</x:v>
      </x:c>
      <x:c r="D73" s="25"/>
      <x:c r="E73" s="21" t="str">
        <x:v>Exa读取公开首页；直接fetch连接失败</x:v>
      </x:c>
      <x:c r="F73" s="21" t="str">
        <x:v>仅访问/排除/补充参考</x:v>
      </x:c>
      <x:c r="G73" s="26" t="str">
        <x:v>https://chinabidding.mofcom.gov.cn/</x:v>
      </x:c>
    </x:row>
    <x:row r="74" ht="70" customHeight="1">
      <x:c r="A74" s="21" t="str">
        <x:v>B010</x:v>
      </x:c>
      <x:c r="B74" s="21" t="str">
        <x:v>必联网</x:v>
      </x:c>
      <x:c r="C74" s="21" t="str">
        <x:v>华润怡宝饮料(长沙)有限公司2026年比亚迪、林德搬运车堆高车维修保养采购公告</x:v>
      </x:c>
      <x:c r="D74" s="25" t="d">
        <x:v>2026-02-15T00:00:00.000Z</x:v>
      </x:c>
      <x:c r="E74" s="21" t="str">
        <x:v>公开招标正文；排除</x:v>
      </x:c>
      <x:c r="F74" s="21" t="str">
        <x:v>纳入正文/关联资料</x:v>
      </x:c>
      <x:c r="G74" s="26" t="str">
        <x:v>https://www.ebnew.com/businessShow/706928911.html</x:v>
      </x:c>
    </x:row>
    <x:row r="75" ht="70" customHeight="1">
      <x:c r="A75" s="21" t="str">
        <x:v>B011</x:v>
      </x:c>
      <x:c r="B75" s="21" t="str">
        <x:v>必联网</x:v>
      </x:c>
      <x:c r="C75" s="21" t="str">
        <x:v>天津市滨海新区规划编制研究中心采购车辆项目第2包合同公告</x:v>
      </x:c>
      <x:c r="D75" s="25" t="d">
        <x:v>2026-04-09T00:00:00.000Z</x:v>
      </x:c>
      <x:c r="E75" s="21" t="str">
        <x:v>公开合同公告正文；排除</x:v>
      </x:c>
      <x:c r="F75" s="21" t="str">
        <x:v>仅访问/排除/补充参考</x:v>
      </x:c>
      <x:c r="G75" s="26" t="str">
        <x:v>https://www.ebnew.com/businessShow/707677162.html</x:v>
      </x:c>
    </x:row>
    <x:row r="76" ht="70" customHeight="1">
      <x:c r="A76" s="21" t="str">
        <x:v>B012</x:v>
      </x:c>
      <x:c r="B76" s="21" t="str">
        <x:v>必联网</x:v>
      </x:c>
      <x:c r="C76" s="21" t="str">
        <x:v>庞光街道比亚迪四期项目清表、树木粉碎及垃圾外运中标结果公告</x:v>
      </x:c>
      <x:c r="D76" s="25" t="d">
        <x:v>2022-12-20T00:00:00.000Z</x:v>
      </x:c>
      <x:c r="E76" s="21" t="str">
        <x:v>公开结果公告正文；窗口外排除</x:v>
      </x:c>
      <x:c r="F76" s="21" t="str">
        <x:v>仅访问/排除/补充参考</x:v>
      </x:c>
      <x:c r="G76" s="26" t="str">
        <x:v>https://www.ebnew.com/businessShow/682291530.html</x:v>
      </x:c>
    </x:row>
    <x:row r="77" ht="70" customHeight="1">
      <x:c r="A77" s="21" t="str">
        <x:v>B013</x:v>
      </x:c>
      <x:c r="B77" s="21" t="str">
        <x:v>商务部中国国际招标网</x:v>
      </x:c>
      <x:c r="C77" s="21" t="str">
        <x:v>嵊州新能源产业投资资讯（正文未提供具体标题与日期）</x:v>
      </x:c>
      <x:c r="D77" s="25"/>
      <x:c r="E77" s="21" t="str">
        <x:v>官网转载资讯正文；历史资料</x:v>
      </x:c>
      <x:c r="F77" s="21" t="str">
        <x:v>仅访问/排除/补充参考</x:v>
      </x:c>
      <x:c r="G77" s="26" t="str">
        <x:v>https://chinabidding.mofcom.gov.cn/article/zwfw/zcfg/dffg/202409/30688.html</x:v>
      </x:c>
    </x:row>
    <x:row r="78" ht="70" customHeight="1">
      <x:c r="A78" s="21" t="str">
        <x:v>B014</x:v>
      </x:c>
      <x:c r="B78" s="21" t="str">
        <x:v>必联网</x:v>
      </x:c>
      <x:c r="C78" s="21" t="str">
        <x:v>惠州比亚迪电池公告站内搜索</x:v>
      </x:c>
      <x:c r="D78" s="25"/>
      <x:c r="E78" s="21" t="str">
        <x:v>公开公告列表正文</x:v>
      </x:c>
      <x:c r="F78" s="21" t="str">
        <x:v>仅访问/排除/补充参考</x:v>
      </x:c>
      <x:c r="G78" s="26" t="str">
        <x:v>https://ss.ebnew.com/tradingSearch/index.htm?key=%E6%83%A0%E5%B7%9E%E6%AF%94%E4%BA%9A%E8%BF%AA%E7%94%B5%E6%B1%A0</x:v>
      </x:c>
    </x:row>
    <x:row r="79" ht="70" customHeight="1">
      <x:c r="A79" s="21" t="str">
        <x:v>B015</x:v>
      </x:c>
      <x:c r="B79" s="21" t="str">
        <x:v>必联网</x:v>
      </x:c>
      <x:c r="C79" s="21" t="str">
        <x:v>深圳市比亚迪锂电池公告站内搜索</x:v>
      </x:c>
      <x:c r="D79" s="25"/>
      <x:c r="E79" s="21" t="str">
        <x:v>公开公告列表正文</x:v>
      </x:c>
      <x:c r="F79" s="21" t="str">
        <x:v>仅访问/排除/补充参考</x:v>
      </x:c>
      <x:c r="G79" s="26" t="str">
        <x:v>https://ss.ebnew.com/tradingSearch/index.htm?key=%E6%B7%B1%E5%9C%B3%E5%B8%82%E6%AF%94%E4%BA%9A%E8%BF%AA%E9%94%82%E7%94%B5%E6%B1%A0</x:v>
      </x:c>
    </x:row>
    <x:row r="80" ht="70" customHeight="1">
      <x:c r="A80" s="21" t="str">
        <x:v>B016</x:v>
      </x:c>
      <x:c r="B80" s="21" t="str">
        <x:v>必联网企业库</x:v>
      </x:c>
      <x:c r="C80" s="21" t="str">
        <x:v>惠州比亚迪电池企业站内搜索</x:v>
      </x:c>
      <x:c r="D80" s="25"/>
      <x:c r="E80" s="21" t="str">
        <x:v>公开搜索无结果</x:v>
      </x:c>
      <x:c r="F80" s="21" t="str">
        <x:v>仅访问/排除/补充参考</x:v>
      </x:c>
      <x:c r="G80" s="26" t="str">
        <x:v>https://ss.ebnew.com/companySearch/index.htm?key=%E6%83%A0%E5%B7%9E%E6%AF%94%E4%BA%9A%E8%BF%AA%E7%94%B5%E6%B1%A0</x:v>
      </x:c>
    </x:row>
    <x:row r="81" ht="70" customHeight="1">
      <x:c r="A81" s="21" t="str">
        <x:v>B017</x:v>
      </x:c>
      <x:c r="B81" s="21" t="str">
        <x:v>必联网企业库</x:v>
      </x:c>
      <x:c r="C81" s="21" t="str">
        <x:v>深圳市比亚迪锂电池企业站内搜索</x:v>
      </x:c>
      <x:c r="D81" s="25"/>
      <x:c r="E81" s="21" t="str">
        <x:v>公开搜索无结果</x:v>
      </x:c>
      <x:c r="F81" s="21" t="str">
        <x:v>仅访问/排除/补充参考</x:v>
      </x:c>
      <x:c r="G81" s="26" t="str">
        <x:v>https://ss.ebnew.com/companySearch/index.htm?key=%E6%B7%B1%E5%9C%B3%E5%B8%82%E6%AF%94%E4%BA%9A%E8%BF%AA%E9%94%82%E7%94%B5%E6%B1%A0</x:v>
      </x:c>
    </x:row>
    <x:row r="82" ht="70" customHeight="1">
      <x:c r="A82" s="21" t="str">
        <x:v>G001</x:v>
      </x:c>
      <x:c r="B82" s="21" t="str">
        <x:v>全国公共资源交易平台</x:v>
      </x:c>
      <x:c r="C82" s="21" t="str">
        <x:v>青岛市机关事务服务中心青岛市党政机关事业单位2026年度公务用车框架协议采购项目入围结果公告（其他小型客车19）</x:v>
      </x:c>
      <x:c r="D82" s="25" t="d">
        <x:v>2026-03-31T00:00:00.000Z</x:v>
      </x:c>
      <x:c r="E82" s="21" t="str">
        <x:v>官方公告正文</x:v>
      </x:c>
      <x:c r="F82" s="21" t="str">
        <x:v>纳入正文/关联资料</x:v>
      </x:c>
      <x:c r="G82" s="26" t="str">
        <x:v>https://www.ggzy.gov.cn/information/deal/html/b/370000/0202/20260331/0037fb6cac289b7d4abeadea6c7928e24b7b.html</x:v>
      </x:c>
    </x:row>
    <x:row r="83" ht="70" customHeight="1">
      <x:c r="A83" s="21" t="str">
        <x:v>G002</x:v>
      </x:c>
      <x:c r="B83" s="21" t="str">
        <x:v>中国政府采购网</x:v>
      </x:c>
      <x:c r="C83" s="21" t="str">
        <x:v>世界文化遗产丽江古城保护管理局业务用车询价采购项目成交公告</x:v>
      </x:c>
      <x:c r="D83" s="25" t="d">
        <x:v>2026-08-06T00:00:00.000Z</x:v>
      </x:c>
      <x:c r="E83" s="21" t="str">
        <x:v>官方公告正文</x:v>
      </x:c>
      <x:c r="F83" s="21" t="str">
        <x:v>纳入正文/关联资料</x:v>
      </x:c>
      <x:c r="G83" s="26" t="str">
        <x:v>http://www.ccgp.gov.cn/cggg/dfgg/cjgg/202608/t20260806_27084587.htm</x:v>
      </x:c>
    </x:row>
    <x:row r="84" ht="70" customHeight="1">
      <x:c r="A84" s="21" t="str">
        <x:v>G003</x:v>
      </x:c>
      <x:c r="B84" s="21" t="str">
        <x:v>标标达（二手线索）</x:v>
      </x:c>
      <x:c r="C84" s="21" t="str">
        <x:v>长沙公交运营有限公司100台11米级纯电动公交车采购项目结果公告</x:v>
      </x:c>
      <x:c r="D84" s="25" t="d">
        <x:v>2026-07-17T00:00:00.000Z</x:v>
      </x:c>
      <x:c r="E84" s="21" t="str">
        <x:v>二手转载正文（部分字段登录付费遮挡）</x:v>
      </x:c>
      <x:c r="F84" s="21" t="str">
        <x:v>纳入正文/关联资料</x:v>
      </x:c>
      <x:c r="G84" s="26" t="str">
        <x:v>https://www.bbda.com/bidDetail/ceb4d447b8d8eef2492aa772608986ce0d1d8268f2667be26d51b10b1c1a4167.html</x:v>
      </x:c>
    </x:row>
    <x:row r="85" ht="70" customHeight="1">
      <x:c r="A85" s="21" t="str">
        <x:v>G004</x:v>
      </x:c>
      <x:c r="B85" s="21" t="str">
        <x:v>客车信息网（二手报道）</x:v>
      </x:c>
      <x:c r="C85" s="21" t="str">
        <x:v>独家中标！比亚迪拿下100辆新能源客车大单</x:v>
      </x:c>
      <x:c r="D85" s="25" t="d">
        <x:v>2026-07-23T00:00:00.000Z</x:v>
      </x:c>
      <x:c r="E85" s="21" t="str">
        <x:v>二手新闻报道</x:v>
      </x:c>
      <x:c r="F85" s="21" t="str">
        <x:v>仅访问/排除/补充参考</x:v>
      </x:c>
      <x:c r="G85" s="26" t="str">
        <x:v>http://www.360buses.cn/news/2026/0723/95055.shtml</x:v>
      </x:c>
    </x:row>
    <x:row r="86" ht="70" customHeight="1">
      <x:c r="A86" s="21" t="str">
        <x:v>O001</x:v>
      </x:c>
      <x:c r="B86" s="21" t="str">
        <x:v>诚E招电子采购交易平台</x:v>
      </x:c>
      <x:c r="C86" s="21" t="str">
        <x:v>比亚迪公司流化床采购项目招标公告</x:v>
      </x:c>
      <x:c r="D86" s="25" t="d">
        <x:v>2026-07-01T00:00:00.000Z</x:v>
      </x:c>
      <x:c r="E86" s="21" t="str">
        <x:v>采购代理原始公告正文</x:v>
      </x:c>
      <x:c r="F86" s="21" t="str">
        <x:v>纳入正文/关联资料</x:v>
      </x:c>
      <x:c r="G86" s="26" t="str">
        <x:v>https://www.chengezhao.com/cms/post/9/6/967248a4a340b456c24f08cb4fd343f4/</x:v>
      </x:c>
    </x:row>
    <x:row r="87" ht="70" customHeight="1">
      <x:c r="A87" s="21" t="str">
        <x:v>O002</x:v>
      </x:c>
      <x:c r="B87" s="21" t="str">
        <x:v>诚E招电子采购交易平台</x:v>
      </x:c>
      <x:c r="C87" s="21" t="str">
        <x:v>比亚迪公司实验室温等静压机采购项目（二次）招标公告</x:v>
      </x:c>
      <x:c r="D87" s="25" t="d">
        <x:v>2026-07-14T00:00:00.000Z</x:v>
      </x:c>
      <x:c r="E87" s="21" t="str">
        <x:v>采购代理原始PDF正文</x:v>
      </x:c>
      <x:c r="F87" s="21" t="str">
        <x:v>纳入正文/关联资料</x:v>
      </x:c>
      <x:c r="G87" s="26" t="str">
        <x:v>https://www.chengezhao.com/system/download/zbywDownload.htm?bulletinId=a2760f5aa69ae8ee9d499db9e6ffc046&amp;fileId=e6c6cde2-2b51-45dc-981d-d7307595d84e</x:v>
      </x:c>
    </x:row>
    <x:row r="88" ht="70" customHeight="1">
      <x:c r="A88" s="21" t="str">
        <x:v>O003</x:v>
      </x:c>
      <x:c r="B88" s="21" t="str">
        <x:v>诚E招电子采购交易平台</x:v>
      </x:c>
      <x:c r="C88" s="21" t="str">
        <x:v>比亚迪公司硬X射线XPS采购项目招标公告</x:v>
      </x:c>
      <x:c r="D88" s="25" t="d">
        <x:v>2026-06-17T00:00:00.000Z</x:v>
      </x:c>
      <x:c r="E88" s="21" t="str">
        <x:v>采购代理原始公告正文</x:v>
      </x:c>
      <x:c r="F88" s="21" t="str">
        <x:v>纳入正文/关联资料</x:v>
      </x:c>
      <x:c r="G88" s="26" t="str">
        <x:v>https://www.chengezhao.com/cms/post/0/e/0e2fb59cc72a5413c7b555bd9a0b1dfa/</x:v>
      </x:c>
    </x:row>
    <x:row r="89" ht="70" customHeight="1">
      <x:c r="A89" s="21" t="str">
        <x:v>O004</x:v>
      </x:c>
      <x:c r="B89" s="21" t="str">
        <x:v>诚E招电子采购交易平台</x:v>
      </x:c>
      <x:c r="C89" s="21" t="str">
        <x:v>比亚迪公司智能体平台采购项目招标公告</x:v>
      </x:c>
      <x:c r="D89" s="25" t="d">
        <x:v>2026-08-28T00:00:00.000Z</x:v>
      </x:c>
      <x:c r="E89" s="21" t="str">
        <x:v>采购代理原始公告正文</x:v>
      </x:c>
      <x:c r="F89" s="21" t="str">
        <x:v>纳入正文/关联资料</x:v>
      </x:c>
      <x:c r="G89" s="26" t="str">
        <x:v>https://www.chengezhao.com/cms/post/6/2/62cd62556275df16c65f82ed23a730a5/</x:v>
      </x:c>
    </x:row>
    <x:row r="90" ht="70" customHeight="1">
      <x:c r="A90" s="21" t="str">
        <x:v>O005</x:v>
      </x:c>
      <x:c r="B90" s="21" t="str">
        <x:v>诚E招电子采购交易平台</x:v>
      </x:c>
      <x:c r="C90" s="21" t="str">
        <x:v>比亚迪公司分级机采购项目中止公告</x:v>
      </x:c>
      <x:c r="D90" s="25" t="d">
        <x:v>2026-07-10T00:00:00.000Z</x:v>
      </x:c>
      <x:c r="E90" s="21" t="str">
        <x:v>采购代理原始公告正文</x:v>
      </x:c>
      <x:c r="F90" s="21" t="str">
        <x:v>纳入正文/关联资料</x:v>
      </x:c>
      <x:c r="G90" s="26" t="str">
        <x:v>https://www.chengezhao.com/cms/post/f/b/fb3054dc12f98040854a004c6ca88295/</x:v>
      </x:c>
    </x:row>
    <x:row r="91" ht="70" customHeight="1">
      <x:c r="A91" s="21" t="str">
        <x:v>O006</x:v>
      </x:c>
      <x:c r="B91" s="21" t="str">
        <x:v>诚E招电子采购交易平台</x:v>
      </x:c>
      <x:c r="C91" s="21" t="str">
        <x:v>比亚迪公司场发射扫描电子显微镜采购项目招标公告</x:v>
      </x:c>
      <x:c r="D91" s="25" t="d">
        <x:v>2026-06-25T00:00:00.000Z</x:v>
      </x:c>
      <x:c r="E91" s="21" t="str">
        <x:v>采购代理原始PDF正文</x:v>
      </x:c>
      <x:c r="F91" s="21" t="str">
        <x:v>纳入正文/关联资料</x:v>
      </x:c>
      <x:c r="G91" s="26" t="str">
        <x:v>https://www.chengezhao.com/system/download/zbywDownload.htm?bulletinId=a753d423bf25571aaa21a3a471fdbe95&amp;fileId=6f21953b-d7ce-4686-8c0d-869284df7f45</x:v>
      </x:c>
    </x:row>
    <x:row r="92" ht="70" customHeight="1">
      <x:c r="A92" s="21" t="str">
        <x:v>O007</x:v>
      </x:c>
      <x:c r="B92" s="21" t="str">
        <x:v>诚E招电子采购交易平台</x:v>
      </x:c>
      <x:c r="C92" s="21" t="str">
        <x:v>比亚迪公司流化床采购项目（二次）招标公告</x:v>
      </x:c>
      <x:c r="D92" s="25" t="d">
        <x:v>2026-07-28T00:00:00.000Z</x:v>
      </x:c>
      <x:c r="E92" s="21" t="str">
        <x:v>采购代理原始PDF正文</x:v>
      </x:c>
      <x:c r="F92" s="21" t="str">
        <x:v>纳入正文/关联资料</x:v>
      </x:c>
      <x:c r="G92" s="26" t="str">
        <x:v>https://www.chengezhao.com/system/download/zbywDownload.htm?bulletinId=aab11e8d19b13b3f8065daf690338277&amp;fileId=5afa7a4d-a491-4880-8284-bf7ff6abf642</x:v>
      </x:c>
    </x:row>
    <x:row r="93" ht="70" customHeight="1">
      <x:c r="A93" s="21" t="str">
        <x:v>O008</x:v>
      </x:c>
      <x:c r="B93" s="21" t="str">
        <x:v>诚E招电子采购交易平台</x:v>
      </x:c>
      <x:c r="C93" s="21" t="str">
        <x:v>比亚迪公司流化床采购项目（二次）中标候选人公示</x:v>
      </x:c>
      <x:c r="D93" s="25" t="d">
        <x:v>2026-08-19T00:00:00.000Z</x:v>
      </x:c>
      <x:c r="E93" s="21" t="str">
        <x:v>采购代理原始公告正文</x:v>
      </x:c>
      <x:c r="F93" s="21" t="str">
        <x:v>纳入正文/关联资料</x:v>
      </x:c>
      <x:c r="G93" s="26" t="str">
        <x:v>https://www.chengezhao.com/cms/post/0/f/0fad691f9d7b79566d5bca7dc72d2b68/</x:v>
      </x:c>
    </x:row>
    <x:row r="94" ht="70" customHeight="1">
      <x:c r="A94" s="21" t="str">
        <x:v>O009</x:v>
      </x:c>
      <x:c r="B94" s="21" t="str">
        <x:v>诚E招电子采购交易平台</x:v>
      </x:c>
      <x:c r="C94" s="21" t="str">
        <x:v>比亚迪公司储罐采购项目(二次）中标候选人公示</x:v>
      </x:c>
      <x:c r="D94" s="25" t="d">
        <x:v>2026-09-01T00:00:00.000Z</x:v>
      </x:c>
      <x:c r="E94" s="21" t="str">
        <x:v>采购代理原始PDF正文</x:v>
      </x:c>
      <x:c r="F94" s="21" t="str">
        <x:v>纳入正文/关联资料</x:v>
      </x:c>
      <x:c r="G94" s="26" t="str">
        <x:v>https://www.chengezhao.com/system/download/zbywDownload.htm?bulletinId=4f54e73f5b985735912cd90c7f9cceec&amp;fileId=493fe1b8-535b-4aa2-93c9-3a36dd0c16c5</x:v>
      </x:c>
    </x:row>
    <x:row r="95" ht="70" customHeight="1">
      <x:c r="A95" s="21" t="str">
        <x:v>O010</x:v>
      </x:c>
      <x:c r="B95" s="21" t="str">
        <x:v>诚E招电子采购交易平台</x:v>
      </x:c>
      <x:c r="C95" s="21" t="str">
        <x:v>比亚迪公司原位透射电子显微镜系统采购项目（标包一）中标候选人公示</x:v>
      </x:c>
      <x:c r="D95" s="25" t="d">
        <x:v>2026-07-07T00:00:00.000Z</x:v>
      </x:c>
      <x:c r="E95" s="21" t="str">
        <x:v>采购代理原始公告正文</x:v>
      </x:c>
      <x:c r="F95" s="21" t="str">
        <x:v>纳入正文/关联资料</x:v>
      </x:c>
      <x:c r="G95" s="26" t="str">
        <x:v>https://www.chengezhao.com/cms/post/1/d/1d168c7acffa9fb10dddd3472d55da8e/</x:v>
      </x:c>
    </x:row>
    <x:row r="96" ht="70" customHeight="1">
      <x:c r="A96" s="21" t="str">
        <x:v>O011</x:v>
      </x:c>
      <x:c r="B96" s="21" t="str">
        <x:v>诚E招电子采购交易平台</x:v>
      </x:c>
      <x:c r="C96" s="21" t="str">
        <x:v>比亚迪公司储罐采购项目(二次）中标候选人公示</x:v>
      </x:c>
      <x:c r="D96" s="25" t="d">
        <x:v>2026-09-02T00:00:00.000Z</x:v>
      </x:c>
      <x:c r="E96" s="21" t="str">
        <x:v>采购代理原始公告正文</x:v>
      </x:c>
      <x:c r="F96" s="21" t="str">
        <x:v>纳入正文/关联资料</x:v>
      </x:c>
      <x:c r="G96" s="26" t="str">
        <x:v>https://www.chengezhao.com/cms/post/c/6/c6b904973fded0e4741256f2fcd14bc6/</x:v>
      </x:c>
    </x:row>
    <x:row r="97" ht="70" customHeight="1">
      <x:c r="A97" s="21" t="str">
        <x:v>O012</x:v>
      </x:c>
      <x:c r="B97" s="21" t="str">
        <x:v>比亚迪供应商门户</x:v>
      </x:c>
      <x:c r="C97" s="21" t="str">
        <x:v>比亚迪供应商门户</x:v>
      </x:c>
      <x:c r="D97" s="25"/>
      <x:c r="E97" s="21" t="str">
        <x:v>企业自有门户页面</x:v>
      </x:c>
      <x:c r="F97" s="21" t="str">
        <x:v>仅访问/排除/补充参考</x:v>
      </x:c>
      <x:c r="G97" s="26" t="str">
        <x:v>http://sp.byd.com.cn/cdc-app/portalex/bydmh/</x:v>
      </x:c>
    </x:row>
    <x:row r="98" ht="70" customHeight="1">
      <x:c r="A98" s="21" t="str">
        <x:v>O013</x:v>
      </x:c>
      <x:c r="B98" s="21" t="str">
        <x:v>诚E招电子采购交易平台</x:v>
      </x:c>
      <x:c r="C98" s="21" t="str">
        <x:v>数据采集仪采购项目中标候选人公示</x:v>
      </x:c>
      <x:c r="D98" s="25" t="d">
        <x:v>2026-06-03T00:00:00.000Z</x:v>
      </x:c>
      <x:c r="E98" s="21" t="str">
        <x:v>采购代理原始公告正文</x:v>
      </x:c>
      <x:c r="F98" s="21" t="str">
        <x:v>纳入正文/关联资料</x:v>
      </x:c>
      <x:c r="G98" s="26" t="str">
        <x:v>https://www.chengezhao.com/cms/post/0/d/0db17e0284d114c1878411719a63e009/</x:v>
      </x:c>
    </x:row>
    <x:row r="99" ht="70" customHeight="1">
      <x:c r="A99" s="21" t="str">
        <x:v>O014</x:v>
      </x:c>
      <x:c r="B99" s="21" t="str">
        <x:v>诚E招电子采购交易平台</x:v>
      </x:c>
      <x:c r="C99" s="21" t="str">
        <x:v>软包三电极电池检测柜采购项目招标公告</x:v>
      </x:c>
      <x:c r="D99" s="25" t="d">
        <x:v>2026-05-13T00:00:00.000Z</x:v>
      </x:c>
      <x:c r="E99" s="21" t="str">
        <x:v>采购代理原始公告正文</x:v>
      </x:c>
      <x:c r="F99" s="21" t="str">
        <x:v>纳入正文/关联资料</x:v>
      </x:c>
      <x:c r="G99" s="26" t="str">
        <x:v>https://www.chengezhao.com/cms/post/1/6/16b74b4f4e5807f91d7a807bc7b1cca5/</x:v>
      </x:c>
    </x:row>
    <x:row r="100" ht="70" customHeight="1">
      <x:c r="A100" s="21" t="str">
        <x:v>O015</x:v>
      </x:c>
      <x:c r="B100" s="21" t="str">
        <x:v>比亚迪供应商门户</x:v>
      </x:c>
      <x:c r="C100" s="21" t="str">
        <x:v>供应链协作云-商机列表页</x:v>
      </x:c>
      <x:c r="D100" s="25"/>
      <x:c r="E100" s="21" t="str">
        <x:v>企业自有门户页面</x:v>
      </x:c>
      <x:c r="F100" s="21" t="str">
        <x:v>仅访问/排除/补充参考</x:v>
      </x:c>
      <x:c r="G100" s="26" t="str">
        <x:v>https://sp.byd.com.cn/cdc-app/portalex/html_zh_CN/article_list.html?cat=tender_notice-list</x:v>
      </x:c>
    </x:row>
    <x:row r="101" ht="70" customHeight="1">
      <x:c r="A101" s="21" t="str">
        <x:v>O016</x:v>
      </x:c>
      <x:c r="B101" s="21" t="str">
        <x:v>光速招标</x:v>
      </x:c>
      <x:c r="C101" s="21" t="str">
        <x:v>比亚迪公司分级机采购项目(二次)招标公告丨光速招标海量免费标讯</x:v>
      </x:c>
      <x:c r="D101" s="25" t="d">
        <x:v>2026-07-28T00:00:00.000Z</x:v>
      </x:c>
      <x:c r="E101" s="21" t="str">
        <x:v>聚合转载辅助线索</x:v>
      </x:c>
      <x:c r="F101" s="21" t="str">
        <x:v>仅访问/排除/补充参考</x:v>
      </x:c>
      <x:c r="G101" s="26" t="str">
        <x:v>https://www.guangsuzb.com/bidding_v_2082152201305640967.html</x:v>
      </x:c>
    </x:row>
    <x:row r="102" ht="70" customHeight="1">
      <x:c r="A102" s="21" t="str">
        <x:v>O017</x:v>
      </x:c>
      <x:c r="B102" s="21" t="str">
        <x:v>中国污水处理工程网</x:v>
      </x:c>
      <x:c r="C102" s="21" t="str">
        <x:v>比亚迪公司储罐采购项目(二次)招标公告 - 污水处理设备材料</x:v>
      </x:c>
      <x:c r="D102" s="25" t="d">
        <x:v>2026-08-11T00:00:00.000Z</x:v>
      </x:c>
      <x:c r="E102" s="21" t="str">
        <x:v>聚合转载辅助线索</x:v>
      </x:c>
      <x:c r="F102" s="21" t="str">
        <x:v>仅访问/排除/补充参考</x:v>
      </x:c>
      <x:c r="G102" s="26" t="str">
        <x:v>https://www.dowater.com/zhaobiao/2026-08-11/12809369.asp</x:v>
      </x:c>
    </x:row>
    <x:row r="103" ht="70" customHeight="1">
      <x:c r="A103" s="21" t="str">
        <x:v>F001</x:v>
      </x:c>
      <x:c r="B103" s="21" t="str">
        <x:v>巨潮资讯</x:v>
      </x:c>
      <x:c r="C103" s="21" t="str">
        <x:v>比亚迪股份有限公司2025年年度报告全文</x:v>
      </x:c>
      <x:c r="D103" s="25" t="d">
        <x:v>2026-03-28T00:00:00.000Z</x:v>
      </x:c>
      <x:c r="E103" s="21" t="str">
        <x:v>正式年报PDF</x:v>
      </x:c>
      <x:c r="F103" s="21" t="str">
        <x:v>纳入正文/关联资料</x:v>
      </x:c>
      <x:c r="G103" s="26" t="str">
        <x:v>https://static.cninfo.com.cn/finalpage/2026-03-28/1225045351.PDF</x:v>
      </x:c>
    </x:row>
    <x:row r="104" ht="70" customHeight="1">
      <x:c r="A104" s="21" t="str">
        <x:v>F002</x:v>
      </x:c>
      <x:c r="B104" s="21" t="str">
        <x:v>巨潮资讯</x:v>
      </x:c>
      <x:c r="C104" s="21" t="str">
        <x:v>比亚迪股份有限公司2026年半年度报告全文</x:v>
      </x:c>
      <x:c r="D104" s="25" t="d">
        <x:v>2026-08-29T00:00:00.000Z</x:v>
      </x:c>
      <x:c r="E104" s="21" t="str">
        <x:v>正式半年报PDF</x:v>
      </x:c>
      <x:c r="F104" s="21" t="str">
        <x:v>纳入正文/关联资料</x:v>
      </x:c>
      <x:c r="G104" s="26" t="str">
        <x:v>https://static.cninfo.com.cn/finalpage/2026-08-29/1225531835.PDF</x:v>
      </x:c>
    </x:row>
    <x:row r="105" ht="70" customHeight="1">
      <x:c r="A105" s="21" t="str">
        <x:v>F003</x:v>
      </x:c>
      <x:c r="B105" s="21" t="str">
        <x:v>巨潮资讯</x:v>
      </x:c>
      <x:c r="C105" s="21" t="str">
        <x:v>比亚迪股份有限公司2025年第三季度报告</x:v>
      </x:c>
      <x:c r="D105" s="25" t="d">
        <x:v>2025-10-31T00:00:00.000Z</x:v>
      </x:c>
      <x:c r="E105" s="21" t="str">
        <x:v>正式季报PDF</x:v>
      </x:c>
      <x:c r="F105" s="21" t="str">
        <x:v>纳入正文/关联资料</x:v>
      </x:c>
      <x:c r="G105" s="26" t="str">
        <x:v>https://static.cninfo.com.cn/finalpage/2025-10-31/1224776127.PDF</x:v>
      </x:c>
    </x:row>
    <x:row r="106" ht="70" customHeight="1">
      <x:c r="A106" s="21" t="str">
        <x:v>F004</x:v>
      </x:c>
      <x:c r="B106" s="21" t="str">
        <x:v>比亚迪集团官网</x:v>
      </x:c>
      <x:c r="C106" s="21" t="str">
        <x:v>比亚迪集团官网投资者关系</x:v>
      </x:c>
      <x:c r="D106" s="25"/>
      <x:c r="E106" s="21" t="str">
        <x:v>官方网页静态资料</x:v>
      </x:c>
      <x:c r="F106" s="21" t="str">
        <x:v>纳入正文/关联资料</x:v>
      </x:c>
      <x:c r="G106" s="26" t="str">
        <x:v>https://www.bydglobal.com/cn/investor-relations</x:v>
      </x:c>
    </x:row>
    <x:row r="107" ht="70" customHeight="1">
      <x:c r="A107" s="21" t="str">
        <x:v>F005</x:v>
      </x:c>
      <x:c r="B107" s="21" t="str">
        <x:v>HKEXnews</x:v>
      </x:c>
      <x:c r="C107" s="21" t="str">
        <x:v>BYD September 2026 Production and Sales Volume</x:v>
      </x:c>
      <x:c r="D107" s="25" t="d">
        <x:v>2026-10-01T00:00:00.000Z</x:v>
      </x:c>
      <x:c r="E107" s="21" t="str">
        <x:v>正式产销公告PDF</x:v>
      </x:c>
      <x:c r="F107" s="21" t="str">
        <x:v>纳入正文/关联资料</x:v>
      </x:c>
      <x:c r="G107" s="26" t="str">
        <x:v>https://www1.hkexnews.hk/listedco/listconews/sehk/2026/1001/2026100100047.pdf</x:v>
      </x:c>
    </x:row>
  </x:sheetData>
  <x:pageMargins left="0.7" right="0.7" top="0.75" bottom="0.75" header="0.3" footer="0.3"/>
  <x:tableParts count="2">
    <x:tablePart xmlns:r="http://schemas.openxmlformats.org/officeDocument/2006/relationships" r:id="R8ba2d37e9bf94a26"/>
    <x:tablePart xmlns:r="http://schemas.openxmlformats.org/officeDocument/2006/relationships" r:id="R8334e6a18c3242e6"/>
  </x:tableParts>
</x:worksheet>
</file>

<file path=xl/worksheets/sheet8.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9" hidden="0" customWidth="1"/>
    <x:col min="2" max="2" width="20" hidden="0" customWidth="1"/>
    <x:col min="3" max="3" width="15" hidden="0" customWidth="1"/>
    <x:col min="4" max="4" width="55" hidden="0" customWidth="1"/>
    <x:col min="5" max="5" width="75" hidden="0" customWidth="1"/>
    <x:col min="6" max="6" width="75" hidden="0" customWidth="1"/>
    <x:col min="7" max="7" width="90" hidden="0" customWidth="1"/>
    <x:col min="8" max="8" width="70" hidden="0" customWidth="1"/>
  </x:cols>
  <x:sheetData>
    <x:row r="2" ht="26" customHeight="1">
      <x:c r="A2" s="2" t="str">
        <x:v>数据纠错、去重与排除审计</x:v>
      </x:c>
      <x:c r="B2" s="2"/>
      <x:c r="C2" s="2"/>
      <x:c r="D2" s="2"/>
      <x:c r="E2" s="2"/>
      <x:c r="F2" s="2"/>
      <x:c r="G2" s="2"/>
      <x:c r="H2" s="2"/>
    </x:row>
    <x:row r="3" ht="24" customHeight="1">
      <x:c r="A3" s="3" t="str">
        <x:v>包括43项独立复核意见；逐项保留原值、处理理由和出处。</x:v>
      </x:c>
      <x:c r="B3" s="3"/>
      <x:c r="C3" s="3"/>
      <x:c r="D3" s="3"/>
      <x:c r="E3" s="3"/>
      <x:c r="F3" s="3"/>
      <x:c r="G3" s="3"/>
      <x:c r="H3" s="3"/>
    </x:row>
    <x:row r="5" ht="34" customHeight="1">
      <x:c r="A5" s="10" t="str">
        <x:v>处理类型</x:v>
      </x:c>
      <x:c r="B5" s="11" t="str">
        <x:v>来源编号</x:v>
      </x:c>
      <x:c r="C5" s="11" t="str">
        <x:v>原始记录ID</x:v>
      </x:c>
      <x:c r="D5" s="11" t="str">
        <x:v>涉及字段或项目</x:v>
      </x:c>
      <x:c r="E5" s="11" t="str">
        <x:v>纠正前</x:v>
      </x:c>
      <x:c r="F5" s="11" t="str">
        <x:v>纠正后或归档</x:v>
      </x:c>
      <x:c r="G5" s="11" t="str">
        <x:v>理由</x:v>
      </x:c>
      <x:c r="H5" s="12" t="str">
        <x:v>核验出处</x:v>
      </x:c>
    </x:row>
    <x:row r="6" ht="56" customHeight="1">
      <x:c r="A6" s="6" t="str">
        <x:v>发现阶段排除</x:v>
      </x:c>
      <x:c r="B6" s="6" t="str"/>
      <x:c r="C6" s="6" t="str"/>
      <x:c r="D6" s="6" t="str">
        <x:v>关于无为弗迪电池有限公司比亚迪新能源动力电池长三角制造中心（三期）建设项目（重新报批）(2202-340225-04-01-920619)环境影响报告表的批复</x:v>
      </x:c>
      <x:c r="E6" s="6" t="str">
        <x:v>https://www.qianlima.com/bid-585196555.html</x:v>
      </x:c>
      <x:c r="F6" s="6" t="str">
        <x:v>未纳入主表</x:v>
      </x:c>
      <x:c r="G6" s="6" t="str">
        <x:v>原公告正文日期2025-08-07，早于2025-10-08窗口起点；平台转载显示2026-03-29不能替代原公告日期；而且是环评批复并非招标中标。</x:v>
      </x:c>
      <x:c r="H6" s="6" t="str">
        <x:v>https://www.qianlima.com/bid-585196555.html</x:v>
      </x:c>
    </x:row>
    <x:row r="7" ht="40" customHeight="1">
      <x:c r="A7" s="6" t="str">
        <x:v>发现阶段排除</x:v>
      </x:c>
      <x:c r="B7" s="6" t="str"/>
      <x:c r="C7" s="6" t="str"/>
      <x:c r="D7" s="6" t="str">
        <x:v>比亚迪周边景观品质提升工程砍伐、迁移城市树木评估技术服务项目的采购结果公告</x:v>
      </x:c>
      <x:c r="E7" s="6" t="str">
        <x:v>https://www.qianlima.com/bid-623977858.html</x:v>
      </x:c>
      <x:c r="F7" s="6" t="str">
        <x:v>未纳入主表</x:v>
      </x:c>
      <x:c r="G7" s="6" t="str">
        <x:v>仅比亚迪周边景观市政项目，未证明集团交易，不纳直接业务记录；仅搜索摘要未深读。</x:v>
      </x:c>
      <x:c r="H7" s="6" t="str">
        <x:v>https://www.qianlima.com/bid-623977858.html</x:v>
      </x:c>
    </x:row>
    <x:row r="8" ht="40" customHeight="1">
      <x:c r="A8" s="6" t="str">
        <x:v>发现阶段排除</x:v>
      </x:c>
      <x:c r="B8" s="6" t="str"/>
      <x:c r="C8" s="6" t="str"/>
      <x:c r="D8" s="6" t="str">
        <x:v>比亚迪路路面维修工程等4个项目施工油漆采购项目成交结果公示</x:v>
      </x:c>
      <x:c r="E8" s="6" t="str">
        <x:v>https://www.yfbzb.com/inviteBid/detail/20260821_624431078.html</x:v>
      </x:c>
      <x:c r="F8" s="6" t="str">
        <x:v>未纳入主表</x:v>
      </x:c>
      <x:c r="G8" s="6" t="str">
        <x:v>比亚迪为道路名称，未证明集团关系；仅搜索摘要。</x:v>
      </x:c>
      <x:c r="H8" s="6" t="str">
        <x:v>https://www.yfbzb.com/inviteBid/detail/20260821_624431078.html</x:v>
      </x:c>
    </x:row>
    <x:row r="9" ht="40" customHeight="1">
      <x:c r="A9" s="6" t="str">
        <x:v>发现阶段排除</x:v>
      </x:c>
      <x:c r="B9" s="6" t="str"/>
      <x:c r="C9" s="6" t="str"/>
      <x:c r="D9" s="6" t="str">
        <x:v>8套比亚迪电池模组</x:v>
      </x:c>
      <x:c r="E9" s="6" t="str">
        <x:v>https://www.qianlima.com/bid-605193461.html</x:v>
      </x:c>
      <x:c r="F9" s="6" t="str">
        <x:v>未纳入主表</x:v>
      </x:c>
      <x:c r="G9" s="6" t="str">
        <x:v>搜索摘要仅品牌涉及，采购/成交主体不能确证集团；未深读。</x:v>
      </x:c>
      <x:c r="H9" s="6" t="str">
        <x:v>https://www.qianlima.com/bid-605193461.html</x:v>
      </x:c>
    </x:row>
    <x:row r="10" ht="40" customHeight="1">
      <x:c r="A10" s="6" t="str">
        <x:v>发现阶段排除</x:v>
      </x:c>
      <x:c r="B10" s="6" t="str"/>
      <x:c r="C10" s="6" t="str"/>
      <x:c r="D10" s="6" t="str">
        <x:v>湖南省高速公路集团有限公司2026年度公务及生产车辆集中采购项目成交候选人公示</x:v>
      </x:c>
      <x:c r="E10" s="6" t="str">
        <x:v>https://www.qianlima.com/bid-607176656.html</x:v>
      </x:c>
      <x:c r="F10" s="6" t="str">
        <x:v>未纳入主表</x:v>
      </x:c>
      <x:c r="G10" s="6" t="str">
        <x:v>搜索摘要仅车辆品牌，候选主体遮挡，不能证明比亚迪集团中标；未深读。</x:v>
      </x:c>
      <x:c r="H10" s="6" t="str">
        <x:v>https://www.qianlima.com/bid-607176656.html</x:v>
      </x:c>
    </x:row>
    <x:row r="11" ht="40" customHeight="1">
      <x:c r="A11" s="6" t="str">
        <x:v>发现阶段排除</x:v>
      </x:c>
      <x:c r="B11" s="6" t="str"/>
      <x:c r="C11" s="6" t="str"/>
      <x:c r="D11" s="6" t="str">
        <x:v>比亚迪元PLUS 2026款630KM卓越型4台招标公告</x:v>
      </x:c>
      <x:c r="E11" s="6" t="str">
        <x:v>https://m.yfbzb.com/inviteBid/detail/20260917_631824440.html</x:v>
      </x:c>
      <x:c r="F11" s="6" t="str">
        <x:v>未纳入主表</x:v>
      </x:c>
      <x:c r="G11" s="6" t="str">
        <x:v>仅采购车辆品牌，未披露集团供货或采购关系；未深读。</x:v>
      </x:c>
      <x:c r="H11" s="6" t="str">
        <x:v>https://m.yfbzb.com/inviteBid/detail/20260917_631824440.html</x:v>
      </x:c>
    </x:row>
    <x:row r="12" ht="40" customHeight="1">
      <x:c r="A12" s="6" t="str">
        <x:v>发现阶段排除</x:v>
      </x:c>
      <x:c r="B12" s="6" t="str"/>
      <x:c r="C12" s="6" t="str"/>
      <x:c r="D12" s="6" t="str">
        <x:v>惠州亿纬锂免费招标信息_惠州亿纬锂采购平台-剑鱼标讯</x:v>
      </x:c>
      <x:c r="E12" s="6" t="str">
        <x:v>https://www.jianyu360.cn/tags/letter/all_all_all_H_2620435.html</x:v>
      </x:c>
      <x:c r="F12" s="6" t="str">
        <x:v>未纳入主表</x:v>
      </x:c>
      <x:c r="G12" s="6" t="str">
        <x:v>标签聚合页，非独立公告</x:v>
      </x:c>
      <x:c r="H12" s="6" t="str">
        <x:v>https://www.jianyu360.cn/tags/letter/all_all_all_H_2620435.html</x:v>
      </x:c>
    </x:row>
    <x:row r="13" ht="40" customHeight="1">
      <x:c r="A13" s="6" t="str">
        <x:v>发现阶段排除</x:v>
      </x:c>
      <x:c r="B13" s="6" t="str"/>
      <x:c r="C13" s="6" t="str"/>
      <x:c r="D13" s="6" t="str">
        <x:v>总金额56亿元，比亚迪、宁德时代直接竞争 - 剑鱼标讯</x:v>
      </x:c>
      <x:c r="E13" s="6" t="str">
        <x:v>https://www.jianyu360.cn/jyblog/QlkSV1IQBQZXBhVaFV9XQFdRVFRNCkBY.html</x:v>
      </x:c>
      <x:c r="F13" s="6" t="str">
        <x:v>未纳入主表</x:v>
      </x:c>
      <x:c r="G13" s="6" t="str">
        <x:v>2024旧公告/新闻，超出窗口</x:v>
      </x:c>
      <x:c r="H13" s="6" t="str">
        <x:v>https://www.jianyu360.cn/jyblog/QlkSV1IQBQZXBhVaFV9XQFdRVFRNCkBY.html</x:v>
      </x:c>
    </x:row>
    <x:row r="14" ht="40" customHeight="1">
      <x:c r="A14" s="6" t="str">
        <x:v>发现阶段排除</x:v>
      </x:c>
      <x:c r="B14" s="6" t="str"/>
      <x:c r="C14" s="6" t="str"/>
      <x:c r="D14" s="6" t="str">
        <x:v>动力电池总成免费招标信息_动力电池总成采购平台-剑鱼标讯</x:v>
      </x:c>
      <x:c r="E14" s="6" t="str">
        <x:v>https://www.jianyu360.cn/tags/letter/all_all_all_D_448315.html</x:v>
      </x:c>
      <x:c r="F14" s="6" t="str">
        <x:v>未纳入主表</x:v>
      </x:c>
      <x:c r="G14" s="6" t="str">
        <x:v>标签聚合页，非独立公告</x:v>
      </x:c>
      <x:c r="H14" s="6" t="str">
        <x:v>https://www.jianyu360.cn/tags/letter/all_all_all_D_448315.html</x:v>
      </x:c>
    </x:row>
    <x:row r="15" ht="40" customHeight="1">
      <x:c r="A15" s="6" t="str">
        <x:v>发现阶段排除</x:v>
      </x:c>
      <x:c r="B15" s="6" t="str"/>
      <x:c r="C15" s="6" t="str"/>
      <x:c r="D15" s="6" t="str">
        <x:v>福州新投生态开发有限公司比亚迪(宋PLUSEV520KM豪华型)SUV车辆采购项目竞价结果公告-剑鱼标讯</x:v>
      </x:c>
      <x:c r="E15" s="6" t="str">
        <x:v>https://www.jianyu360.cn/jycms/detail/20230804_4519137.html</x:v>
      </x:c>
      <x:c r="F15" s="6" t="str">
        <x:v>未纳入主表</x:v>
      </x:c>
      <x:c r="G15" s="6" t="str">
        <x:v>公告超出2025-10-08至2026-10-08窗口</x:v>
      </x:c>
      <x:c r="H15" s="6" t="str">
        <x:v>https://www.jianyu360.cn/jycms/detail/20230804_4519137.html</x:v>
      </x:c>
    </x:row>
    <x:row r="16" ht="40" customHeight="1">
      <x:c r="A16" s="6" t="str">
        <x:v>发现阶段排除</x:v>
      </x:c>
      <x:c r="B16" s="6" t="str"/>
      <x:c r="C16" s="6" t="str"/>
      <x:c r="D16" s="6" t="str">
        <x:v>【招标公告】2026-2027年度电池集采项目的竞争性谈判公告-广东招标网</x:v>
      </x:c>
      <x:c r="E16" s="6" t="str">
        <x:v>https://guangdong.jianyu360.cn/jybx/20260626_26062564808151.html</x:v>
      </x:c>
      <x:c r="F16" s="6" t="str">
        <x:v>未纳入主表</x:v>
      </x:c>
      <x:c r="G16" s="6" t="str">
        <x:v>正文/摘要未发现与目标比亚迪关联</x:v>
      </x:c>
      <x:c r="H16" s="6" t="str">
        <x:v>https://guangdong.jianyu360.cn/jybx/20260626_26062564808151.html</x:v>
      </x:c>
    </x:row>
    <x:row r="17" ht="72" customHeight="1">
      <x:c r="A17" s="6" t="str">
        <x:v>发现阶段排除</x:v>
      </x:c>
      <x:c r="B17" s="6" t="str"/>
      <x:c r="C17" s="6" t="str"/>
      <x:c r="D17" s="6" t="str">
        <x:v>新能源汽车零部件智能制造提升与数控产线数字化改造项目（秦家港单元01-03D号地块改造项目）工程总承包中标结果公告[A3305020660000518001001]_采购与招标网</x:v>
      </x:c>
      <x:c r="E17" s="6" t="str">
        <x:v>https://m.chinabidding.cn/zbgs/U-vzHuFMu.html</x:v>
      </x:c>
      <x:c r="F17" s="6" t="str">
        <x:v>未纳入主表</x:v>
      </x:c>
      <x:c r="G17" s="6" t="str">
        <x:v>正文/摘要未发现与目标比亚迪关联</x:v>
      </x:c>
      <x:c r="H17" s="6" t="str">
        <x:v>https://m.chinabidding.cn/zbgs/U-vzHuFMu.html</x:v>
      </x:c>
    </x:row>
    <x:row r="18" ht="40" customHeight="1">
      <x:c r="A18" s="6" t="str">
        <x:v>发现阶段排除</x:v>
      </x:c>
      <x:c r="B18" s="6" t="str"/>
      <x:c r="C18" s="6" t="str"/>
      <x:c r="D18" s="6" t="str">
        <x:v>新能源锂电池智能设备一体化生产中心-采购网(www.chinabidding.cn)</x:v>
      </x:c>
      <x:c r="E18" s="6" t="str">
        <x:v>https://www.chinabidding.cn/xmxx/nlae3q.html</x:v>
      </x:c>
      <x:c r="F18" s="6" t="str">
        <x:v>未纳入主表</x:v>
      </x:c>
      <x:c r="G18" s="6" t="str">
        <x:v>正文/摘要未发现与目标比亚迪关联</x:v>
      </x:c>
      <x:c r="H18" s="6" t="str">
        <x:v>https://www.chinabidding.cn/xmxx/nlae3q.html</x:v>
      </x:c>
    </x:row>
    <x:row r="19" ht="40" customHeight="1">
      <x:c r="A19" s="6" t="str">
        <x:v>发现阶段排除</x:v>
      </x:c>
      <x:c r="B19" s="6" t="str"/>
      <x:c r="C19" s="6" t="str"/>
      <x:c r="D19" s="6" t="str">
        <x:v>叉车锂电池组结果公告-采购与招标网(www.chinabidding.cn)</x:v>
      </x:c>
      <x:c r="E19" s="6" t="str">
        <x:v>https://www.chinabidding.cn/zbgs/U-vzy9qSC.html</x:v>
      </x:c>
      <x:c r="F19" s="6" t="str">
        <x:v>未纳入主表</x:v>
      </x:c>
      <x:c r="G19" s="6" t="str">
        <x:v>正文/摘要未发现与目标比亚迪关联</x:v>
      </x:c>
      <x:c r="H19" s="6" t="str">
        <x:v>https://www.chinabidding.cn/zbgs/U-vzy9qSC.html</x:v>
      </x:c>
    </x:row>
    <x:row r="20" ht="40" customHeight="1">
      <x:c r="A20" s="6" t="str">
        <x:v>发现阶段排除</x:v>
      </x:c>
      <x:c r="B20" s="6" t="str"/>
      <x:c r="C20" s="6" t="str"/>
      <x:c r="D20" s="6" t="str">
        <x:v>【招标公告】南宁邕城公共交通有限公司2026年采购130辆新能源公交车项目招标公告-广西招标网</x:v>
      </x:c>
      <x:c r="E20" s="6" t="str">
        <x:v>https://guangxi.jianyu360.cn/jybx/20260827_26082681055246.html</x:v>
      </x:c>
      <x:c r="F20" s="6" t="str">
        <x:v>未纳入主表</x:v>
      </x:c>
      <x:c r="G20" s="6" t="str">
        <x:v>正文/摘要未发现与目标比亚迪关联</x:v>
      </x:c>
      <x:c r="H20" s="6" t="str">
        <x:v>https://guangxi.jianyu360.cn/jybx/20260827_26082681055246.html</x:v>
      </x:c>
    </x:row>
    <x:row r="21" ht="40" customHeight="1">
      <x:c r="A21" s="6" t="str">
        <x:v>发现阶段排除</x:v>
      </x:c>
      <x:c r="B21" s="6" t="str"/>
      <x:c r="C21" s="6" t="str"/>
      <x:c r="D21" s="6" t="str">
        <x:v>【招标公告】2026年南川区新能源城市公交车辆采购（第二批次）-重庆招标网</x:v>
      </x:c>
      <x:c r="E21" s="6" t="str">
        <x:v>https://chongqing.jianyu360.cn/jybx/20260509_26050852177057.html</x:v>
      </x:c>
      <x:c r="F21" s="6" t="str">
        <x:v>未纳入主表</x:v>
      </x:c>
      <x:c r="G21" s="6" t="str">
        <x:v>正文/摘要未发现与目标比亚迪关联</x:v>
      </x:c>
      <x:c r="H21" s="6" t="str">
        <x:v>https://chongqing.jianyu360.cn/jybx/20260509_26050852177057.html</x:v>
      </x:c>
    </x:row>
    <x:row r="22" ht="40" customHeight="1">
      <x:c r="A22" s="6" t="str">
        <x:v>发现阶段排除</x:v>
      </x:c>
      <x:c r="B22" s="6" t="str"/>
      <x:c r="C22" s="6" t="str"/>
      <x:c r="D22" s="6" t="str">
        <x:v>【招标公告】龙南市城发公交服务有限公司2026年度新能源公交车辆动力电池更换询价公告-江西招标网</x:v>
      </x:c>
      <x:c r="E22" s="6" t="str">
        <x:v>https://jiangxi.jianyu360.cn/jybx/20260228_26022736024690.html</x:v>
      </x:c>
      <x:c r="F22" s="6" t="str">
        <x:v>未纳入主表</x:v>
      </x:c>
      <x:c r="G22" s="6" t="str">
        <x:v>正文/摘要未发现与目标比亚迪关联</x:v>
      </x:c>
      <x:c r="H22" s="6" t="str">
        <x:v>https://jiangxi.jianyu360.cn/jybx/20260228_26022736024690.html</x:v>
      </x:c>
    </x:row>
    <x:row r="23" ht="40" customHeight="1">
      <x:c r="A23" s="6" t="str">
        <x:v>发现阶段排除</x:v>
      </x:c>
      <x:c r="B23" s="6" t="str"/>
      <x:c r="C23" s="6" t="str"/>
      <x:c r="D23" s="6" t="str">
        <x:v>【招标公告】北横中运量纯电动城市客车采购项目-北横中运量纯电动城市客车采购项目采购公告-上海招标网</x:v>
      </x:c>
      <x:c r="E23" s="6" t="str">
        <x:v>https://shanghai.jianyu360.cn/jybx/20260719_26071871023685.html</x:v>
      </x:c>
      <x:c r="F23" s="6" t="str">
        <x:v>未纳入主表</x:v>
      </x:c>
      <x:c r="G23" s="6" t="str">
        <x:v>正文/摘要未发现与目标比亚迪关联</x:v>
      </x:c>
      <x:c r="H23" s="6" t="str">
        <x:v>https://shanghai.jianyu360.cn/jybx/20260719_26071871023685.html</x:v>
      </x:c>
    </x:row>
    <x:row r="24" ht="40" customHeight="1">
      <x:c r="A24" s="6" t="str">
        <x:v>发现阶段排除</x:v>
      </x:c>
      <x:c r="B24" s="6" t="str"/>
      <x:c r="C24" s="6" t="str"/>
      <x:c r="D24" s="6" t="str">
        <x:v>【招标公告】庆阳公共交通集团有限公司氢燃料电池车辆采购项目（二次）招标公告-甘肃招标网</x:v>
      </x:c>
      <x:c r="E24" s="6" t="str">
        <x:v>https://gansu.jianyu360.cn/jybx/20260626_26062564972405.html</x:v>
      </x:c>
      <x:c r="F24" s="6" t="str">
        <x:v>未纳入主表</x:v>
      </x:c>
      <x:c r="G24" s="6" t="str">
        <x:v>正文/摘要未发现与目标比亚迪关联</x:v>
      </x:c>
      <x:c r="H24" s="6" t="str">
        <x:v>https://gansu.jianyu360.cn/jybx/20260626_26062564972405.html</x:v>
      </x:c>
    </x:row>
    <x:row r="25" ht="40" customHeight="1">
      <x:c r="A25" s="6" t="str">
        <x:v>发现阶段排除</x:v>
      </x:c>
      <x:c r="B25" s="6" t="str"/>
      <x:c r="C25" s="6" t="str"/>
      <x:c r="D25" s="6" t="str">
        <x:v>【招标公告】北京公交集团2026年度第二批公交车辆更新项目招标公告-北京招标网</x:v>
      </x:c>
      <x:c r="E25" s="6" t="str">
        <x:v>https://beijing.jianyu360.cn/jybx/20260812_26081177060540.html</x:v>
      </x:c>
      <x:c r="F25" s="6" t="str">
        <x:v>未纳入主表</x:v>
      </x:c>
      <x:c r="G25" s="6" t="str">
        <x:v>正文/摘要未发现与目标比亚迪关联</x:v>
      </x:c>
      <x:c r="H25" s="6" t="str">
        <x:v>https://beijing.jianyu360.cn/jybx/20260812_26081177060540.html</x:v>
      </x:c>
    </x:row>
    <x:row r="26" ht="56" customHeight="1">
      <x:c r="A26" s="6" t="str">
        <x:v>发现阶段排除</x:v>
      </x:c>
      <x:c r="B26" s="6" t="str"/>
      <x:c r="C26" s="6" t="str"/>
      <x:c r="D26" s="6" t="str">
        <x:v>【招标结果】三亚机关、公寓楼停车场新能源汽车充电桩服务采购项目采购结果公示(2026-JWHHSY-F8001)(第1包)-海南招标网</x:v>
      </x:c>
      <x:c r="E26" s="6" t="str">
        <x:v>https://hainan.jianyu360.cn/jybx/20260826_26082580869179.html</x:v>
      </x:c>
      <x:c r="F26" s="6" t="str">
        <x:v>未纳入主表</x:v>
      </x:c>
      <x:c r="G26" s="6" t="str">
        <x:v>正文/摘要未发现与目标比亚迪关联</x:v>
      </x:c>
      <x:c r="H26" s="6" t="str">
        <x:v>https://hainan.jianyu360.cn/jybx/20260826_26082580869179.html</x:v>
      </x:c>
    </x:row>
    <x:row r="27" ht="40" customHeight="1">
      <x:c r="A27" s="6" t="str">
        <x:v>发现阶段排除</x:v>
      </x:c>
      <x:c r="B27" s="6" t="str"/>
      <x:c r="C27" s="6" t="str"/>
      <x:c r="D27" s="6" t="str">
        <x:v>【招标公告】中国建设银行股份有限公司2026-2027年度全行车辆采购项目第三包：新能源轿车一招标公告-北京招标网</x:v>
      </x:c>
      <x:c r="E27" s="6" t="str">
        <x:v>https://beijing.jianyu360.cn/jybx/20260619_26061863423852.html</x:v>
      </x:c>
      <x:c r="F27" s="6" t="str">
        <x:v>未纳入主表</x:v>
      </x:c>
      <x:c r="G27" s="6" t="str">
        <x:v>正文/摘要未发现与目标比亚迪关联</x:v>
      </x:c>
      <x:c r="H27" s="6" t="str">
        <x:v>https://beijing.jianyu360.cn/jybx/20260619_26061863423852.html</x:v>
      </x:c>
    </x:row>
    <x:row r="28" ht="72" customHeight="1">
      <x:c r="A28" s="6" t="str">
        <x:v>发现阶段排除</x:v>
      </x:c>
      <x:c r="B28" s="6" t="str"/>
      <x:c r="C28" s="6" t="str"/>
      <x:c r="D28" s="6" t="str">
        <x:v>九鼎赣饶国际项目管理有限公司关于江西省江西寻乌工业园区管理委员会寻乌县石排工业园空压机供应链厂房建设工程项目（项目编号：JDGR2026-XW-C002）的竞争性磋商公告-采购与招标网(www.chinabidding.cn)</x:v>
      </x:c>
      <x:c r="E28" s="6" t="str">
        <x:v>https://www.chinabidding.cn/zbgg/U-vzHD1xJ.html</x:v>
      </x:c>
      <x:c r="F28" s="6" t="str">
        <x:v>未纳入主表</x:v>
      </x:c>
      <x:c r="G28" s="6" t="str">
        <x:v>正文/摘要未发现与目标比亚迪关联</x:v>
      </x:c>
      <x:c r="H28" s="6" t="str">
        <x:v>https://www.chinabidding.cn/zbgg/U-vzHD1xJ.html</x:v>
      </x:c>
    </x:row>
    <x:row r="29" ht="56" customHeight="1">
      <x:c r="A29" s="6" t="str">
        <x:v>发现阶段排除</x:v>
      </x:c>
      <x:c r="B29" s="6" t="str"/>
      <x:c r="C29" s="6" t="str"/>
      <x:c r="D29" s="6" t="str">
        <x:v>空压机询价公告（深圳地铁预制厂）SZDTGJC-2026-CSHY-004-采购与招标网(www.chinabidding.cn)</x:v>
      </x:c>
      <x:c r="E29" s="6" t="str">
        <x:v>https://www.chinabidding.cn/zbgg/U-vztnbTj.html</x:v>
      </x:c>
      <x:c r="F29" s="6" t="str">
        <x:v>未纳入主表</x:v>
      </x:c>
      <x:c r="G29" s="6" t="str">
        <x:v>正文/摘要未发现与目标比亚迪关联</x:v>
      </x:c>
      <x:c r="H29" s="6" t="str">
        <x:v>https://www.chinabidding.cn/zbgg/U-vztnbTj.html</x:v>
      </x:c>
    </x:row>
    <x:row r="30" ht="56" customHeight="1">
      <x:c r="A30" s="6" t="str">
        <x:v>发现阶段排除</x:v>
      </x:c>
      <x:c r="B30" s="6" t="str"/>
      <x:c r="C30" s="6" t="str"/>
      <x:c r="D30" s="6" t="str">
        <x:v>气化事业部-金桥南区WK10地块厂房项目洁净室工程-空压机、干燥机-第一次增补事前公示-采购与招标网(www.chinabidding.cn)</x:v>
      </x:c>
      <x:c r="E30" s="6" t="str">
        <x:v>https://www.chinabidding.cn/zfcg/U-vzzMXXL.html</x:v>
      </x:c>
      <x:c r="F30" s="6" t="str">
        <x:v>未纳入主表</x:v>
      </x:c>
      <x:c r="G30" s="6" t="str">
        <x:v>正文/摘要未发现与目标比亚迪关联</x:v>
      </x:c>
      <x:c r="H30" s="6" t="str">
        <x:v>https://www.chinabidding.cn/zfcg/U-vzzMXXL.html</x:v>
      </x:c>
    </x:row>
    <x:row r="31" ht="40" customHeight="1">
      <x:c r="A31" s="6" t="str">
        <x:v>发现阶段排除</x:v>
      </x:c>
      <x:c r="B31" s="6" t="str"/>
      <x:c r="C31" s="6" t="str"/>
      <x:c r="D31" s="6" t="str">
        <x:v>26-4295-1-2 空压机-采购与招标网(www.chinabidding.cn)</x:v>
      </x:c>
      <x:c r="E31" s="6" t="str">
        <x:v>https://www.chinabidding.cn/zbgg/U-vztOb1I.html</x:v>
      </x:c>
      <x:c r="F31" s="6" t="str">
        <x:v>未纳入主表</x:v>
      </x:c>
      <x:c r="G31" s="6" t="str">
        <x:v>正文/摘要未发现与目标比亚迪关联</x:v>
      </x:c>
      <x:c r="H31" s="6" t="str">
        <x:v>https://www.chinabidding.cn/zbgg/U-vztOb1I.html</x:v>
      </x:c>
    </x:row>
    <x:row r="32" ht="40" customHeight="1">
      <x:c r="A32" s="6" t="str">
        <x:v>发现阶段排除</x:v>
      </x:c>
      <x:c r="B32" s="6" t="str"/>
      <x:c r="C32" s="6" t="str"/>
      <x:c r="D32" s="6" t="str">
        <x:v>锡矿山锑业空压机与温压流一体机(湿度仪）询价采购-采购与招标网(www.chinabidding.cn)</x:v>
      </x:c>
      <x:c r="E32" s="6" t="str">
        <x:v>https://www.chinabidding.cn/zbgg/U-vzty1il.html</x:v>
      </x:c>
      <x:c r="F32" s="6" t="str">
        <x:v>未纳入主表</x:v>
      </x:c>
      <x:c r="G32" s="6" t="str">
        <x:v>正文/摘要未发现与目标比亚迪关联</x:v>
      </x:c>
      <x:c r="H32" s="6" t="str">
        <x:v>https://www.chinabidding.cn/zbgg/U-vzty1il.html</x:v>
      </x:c>
    </x:row>
    <x:row r="33" ht="40" customHeight="1">
      <x:c r="A33" s="6" t="str">
        <x:v>发现阶段排除</x:v>
      </x:c>
      <x:c r="B33" s="6" t="str"/>
      <x:c r="C33" s="6" t="str"/>
      <x:c r="D33" s="6" t="str">
        <x:v>纯电动公交车免费招标信息_纯电动公交车采购平台-剑鱼标讯</x:v>
      </x:c>
      <x:c r="E33" s="6" t="str">
        <x:v>https://www.jianyu360.cn/tags/letter/all_all_all_C_71629.html</x:v>
      </x:c>
      <x:c r="F33" s="6" t="str">
        <x:v>未纳入主表</x:v>
      </x:c>
      <x:c r="G33" s="6" t="str">
        <x:v>标签聚合页，非独立公告</x:v>
      </x:c>
      <x:c r="H33" s="6" t="str">
        <x:v>https://www.jianyu360.cn/tags/letter/all_all_all_C_71629.html</x:v>
      </x:c>
    </x:row>
    <x:row r="34" ht="40" customHeight="1">
      <x:c r="A34" s="6" t="str">
        <x:v>发现阶段排除</x:v>
      </x:c>
      <x:c r="B34" s="6" t="str"/>
      <x:c r="C34" s="6" t="str"/>
      <x:c r="D34" s="6" t="str">
        <x:v>【招标公告】东部公交2026年190辆10米低地板纯电动公交客车采购-广东招标网</x:v>
      </x:c>
      <x:c r="E34" s="6" t="str">
        <x:v>https://guangdong.jianyu360.cn/jybx/20260724_26072372386498.html</x:v>
      </x:c>
      <x:c r="F34" s="6" t="str">
        <x:v>未纳入主表</x:v>
      </x:c>
      <x:c r="G34" s="6" t="str">
        <x:v>正文/摘要未发现与目标比亚迪关联</x:v>
      </x:c>
      <x:c r="H34" s="6" t="str">
        <x:v>https://guangdong.jianyu360.cn/jybx/20260724_26072372386498.html</x:v>
      </x:c>
    </x:row>
    <x:row r="35" ht="40" customHeight="1">
      <x:c r="A35" s="6" t="str">
        <x:v>发现阶段排除</x:v>
      </x:c>
      <x:c r="B35" s="6" t="str"/>
      <x:c r="C35" s="6" t="str"/>
      <x:c r="D35" s="6" t="str">
        <x:v>客车采购免费招标信息_客车采购采购平台-剑鱼标讯</x:v>
      </x:c>
      <x:c r="E35" s="6" t="str">
        <x:v>https://www.jianyu360.cn/tags/letter/all_all_all_K_2457867.html</x:v>
      </x:c>
      <x:c r="F35" s="6" t="str">
        <x:v>未纳入主表</x:v>
      </x:c>
      <x:c r="G35" s="6" t="str">
        <x:v>标签聚合页，非独立公告</x:v>
      </x:c>
      <x:c r="H35" s="6" t="str">
        <x:v>https://www.jianyu360.cn/tags/letter/all_all_all_K_2457867.html</x:v>
      </x:c>
    </x:row>
    <x:row r="36" ht="40" customHeight="1">
      <x:c r="A36" s="6" t="str">
        <x:v>发现阶段排除</x:v>
      </x:c>
      <x:c r="B36" s="6" t="str"/>
      <x:c r="C36" s="6" t="str"/>
      <x:c r="D36" s="6" t="str">
        <x:v>纯电动城免费招标信息_纯电动城采购平台-剑鱼标讯</x:v>
      </x:c>
      <x:c r="E36" s="6" t="str">
        <x:v>https://www.jianyu360.cn/tags/letter/all_all_all_C_1482845.html</x:v>
      </x:c>
      <x:c r="F36" s="6" t="str">
        <x:v>未纳入主表</x:v>
      </x:c>
      <x:c r="G36" s="6" t="str">
        <x:v>正文/摘要未发现与目标比亚迪关联</x:v>
      </x:c>
      <x:c r="H36" s="6" t="str">
        <x:v>https://www.jianyu360.cn/tags/letter/all_all_all_C_1482845.html</x:v>
      </x:c>
    </x:row>
    <x:row r="37" ht="40" customHeight="1">
      <x:c r="A37" s="6" t="str">
        <x:v>发现阶段排除</x:v>
      </x:c>
      <x:c r="B37" s="6" t="str"/>
      <x:c r="C37" s="6" t="str"/>
      <x:c r="D37" s="6" t="str">
        <x:v>城市公交客车免费招标信息_城市公交客车采购平台-剑鱼标讯</x:v>
      </x:c>
      <x:c r="E37" s="6" t="str">
        <x:v>https://www.jianyu360.cn/tags/letter/all_all_all_C_2539739.html</x:v>
      </x:c>
      <x:c r="F37" s="6" t="str">
        <x:v>未纳入主表</x:v>
      </x:c>
      <x:c r="G37" s="6" t="str">
        <x:v>正文/摘要未发现与目标比亚迪关联</x:v>
      </x:c>
      <x:c r="H37" s="6" t="str">
        <x:v>https://www.jianyu360.cn/tags/letter/all_all_all_C_2539739.html</x:v>
      </x:c>
    </x:row>
    <x:row r="38" ht="40" customHeight="1">
      <x:c r="A38" s="6" t="str">
        <x:v>发现阶段排除</x:v>
      </x:c>
      <x:c r="B38" s="6" t="str"/>
      <x:c r="C38" s="6" t="str"/>
      <x:c r="D38" s="6" t="str">
        <x:v>空调公交车免费招标信息_空调公交车采购平台-剑鱼标讯</x:v>
      </x:c>
      <x:c r="E38" s="6" t="str">
        <x:v>https://www.jianyu360.cn/tags/letter/all_all_all_K_72697.html</x:v>
      </x:c>
      <x:c r="F38" s="6" t="str">
        <x:v>未纳入主表</x:v>
      </x:c>
      <x:c r="G38" s="6" t="str">
        <x:v>正文/摘要未发现与目标比亚迪关联</x:v>
      </x:c>
      <x:c r="H38" s="6" t="str">
        <x:v>https://www.jianyu360.cn/tags/letter/all_all_all_K_72697.html</x:v>
      </x:c>
    </x:row>
    <x:row r="39" ht="40" customHeight="1">
      <x:c r="A39" s="6" t="str">
        <x:v>发现阶段排除</x:v>
      </x:c>
      <x:c r="B39" s="6" t="str"/>
      <x:c r="C39" s="6" t="str"/>
      <x:c r="D39" s="6" t="str">
        <x:v>车关键零部件免费招标信息_车关键零部件采购平台-剑鱼标讯</x:v>
      </x:c>
      <x:c r="E39" s="6" t="str">
        <x:v>https://www.jianyu360.cn/tags/letter/all_all_all_C_936021.html</x:v>
      </x:c>
      <x:c r="F39" s="6" t="str">
        <x:v>未纳入主表</x:v>
      </x:c>
      <x:c r="G39" s="6" t="str">
        <x:v>标签聚合页，非独立公告</x:v>
      </x:c>
      <x:c r="H39" s="6" t="str">
        <x:v>https://www.jianyu360.cn/tags/letter/all_all_all_C_936021.html</x:v>
      </x:c>
    </x:row>
    <x:row r="40" ht="40" customHeight="1">
      <x:c r="A40" s="6" t="str">
        <x:v>发现阶段排除</x:v>
      </x:c>
      <x:c r="B40" s="6" t="str"/>
      <x:c r="C40" s="6" t="str"/>
      <x:c r="D40" s="6" t="str">
        <x:v>智驾免费招标信息_智驾采购平台-剑鱼标讯</x:v>
      </x:c>
      <x:c r="E40" s="6" t="str">
        <x:v>https://www.jianyu360.cn/tags/letter/all_all_all_Z_2632109.html</x:v>
      </x:c>
      <x:c r="F40" s="6" t="str">
        <x:v>未纳入主表</x:v>
      </x:c>
      <x:c r="G40" s="6" t="str">
        <x:v>标签聚合页，非独立公告</x:v>
      </x:c>
      <x:c r="H40" s="6" t="str">
        <x:v>https://www.jianyu360.cn/tags/letter/all_all_all_Z_2632109.html</x:v>
      </x:c>
    </x:row>
    <x:row r="41" ht="40" customHeight="1">
      <x:c r="A41" s="6" t="str">
        <x:v>发现阶段排除</x:v>
      </x:c>
      <x:c r="B41" s="6" t="str"/>
      <x:c r="C41" s="6" t="str"/>
      <x:c r="D41" s="6" t="str">
        <x:v>比亚迪海豹免费招标信息_比亚迪海豹采购平台-剑鱼标讯</x:v>
      </x:c>
      <x:c r="E41" s="6" t="str">
        <x:v>https://www.jianyu360.cn/tags/letter/all_all_all_B_2155541.html</x:v>
      </x:c>
      <x:c r="F41" s="6" t="str">
        <x:v>未纳入主表</x:v>
      </x:c>
      <x:c r="G41" s="6" t="str">
        <x:v>标签聚合页，非独立公告</x:v>
      </x:c>
      <x:c r="H41" s="6" t="str">
        <x:v>https://www.jianyu360.cn/tags/letter/all_all_all_B_2155541.html</x:v>
      </x:c>
    </x:row>
    <x:row r="42" ht="40" customHeight="1">
      <x:c r="A42" s="6" t="str">
        <x:v>发现阶段排除</x:v>
      </x:c>
      <x:c r="B42" s="6" t="str"/>
      <x:c r="C42" s="6" t="str"/>
      <x:c r="D42" s="6" t="str">
        <x:v>【招标结果】智能新能源汽车某部件云端状态数据采集与平台开发及评估服务采购候选人-北京招标网</x:v>
      </x:c>
      <x:c r="E42" s="6" t="str">
        <x:v>https://beijing.jianyu360.cn/jybx/20260914_26091385972040.html</x:v>
      </x:c>
      <x:c r="F42" s="6" t="str">
        <x:v>未纳入主表</x:v>
      </x:c>
      <x:c r="G42" s="6" t="str">
        <x:v>正文/摘要未发现与目标比亚迪关联</x:v>
      </x:c>
      <x:c r="H42" s="6" t="str">
        <x:v>https://beijing.jianyu360.cn/jybx/20260914_26091385972040.html</x:v>
      </x:c>
    </x:row>
    <x:row r="43" ht="40" customHeight="1">
      <x:c r="A43" s="6" t="str">
        <x:v>发现阶段排除</x:v>
      </x:c>
      <x:c r="B43" s="6" t="str"/>
      <x:c r="C43" s="6" t="str"/>
      <x:c r="D43" s="6" t="str">
        <x:v>【招标结果】上海宝冶-工业工程-雷克萨斯新能源车及丰田电池项目-专业分包-钢结构工程一标段-招标021-上海招标网</x:v>
      </x:c>
      <x:c r="E43" s="6" t="str">
        <x:v>https://shanghai.jianyu360.cn/jybx/20260827_26082681006267.html</x:v>
      </x:c>
      <x:c r="F43" s="6" t="str">
        <x:v>未纳入主表</x:v>
      </x:c>
      <x:c r="G43" s="6" t="str">
        <x:v>正文/摘要未发现与目标比亚迪关联</x:v>
      </x:c>
      <x:c r="H43" s="6" t="str">
        <x:v>https://shanghai.jianyu360.cn/jybx/20260827_26082681006267.html</x:v>
      </x:c>
    </x:row>
    <x:row r="44" ht="40" customHeight="1">
      <x:c r="A44" s="6" t="str">
        <x:v>发现阶段排除</x:v>
      </x:c>
      <x:c r="B44" s="6" t="str"/>
      <x:c r="C44" s="6" t="str"/>
      <x:c r="D44" s="6" t="str">
        <x:v>2026年奇瑞汽车车载充电器总成CDU招标项目采购公告_采购与招标网</x:v>
      </x:c>
      <x:c r="E44" s="6" t="str">
        <x:v>https://m.chinabidding.cn/zbgg/U-vza-EZd.html</x:v>
      </x:c>
      <x:c r="F44" s="6" t="str">
        <x:v>未纳入主表</x:v>
      </x:c>
      <x:c r="G44" s="6" t="str">
        <x:v>无可核验比亚迪主体或采购角色</x:v>
      </x:c>
      <x:c r="H44" s="6" t="str">
        <x:v>https://m.chinabidding.cn/zbgg/U-vza-EZd.html</x:v>
      </x:c>
    </x:row>
    <x:row r="45" ht="72" customHeight="1">
      <x:c r="A45" s="6" t="str">
        <x:v>发现阶段排除</x:v>
      </x:c>
      <x:c r="B45" s="6" t="str"/>
      <x:c r="C45" s="6" t="str"/>
      <x:c r="D45" s="6" t="str">
        <x:v>AMHS整体自动化解决方案产业化项目（果纳半导体项目）工程总承包中标候选人公示[A3305220690008648001001]-采购与招标网(www.chinabidding.cn)</x:v>
      </x:c>
      <x:c r="E45" s="6" t="str">
        <x:v>https://www.chinabidding.cn/zbgs/U-vzlXGva.html</x:v>
      </x:c>
      <x:c r="F45" s="6" t="str">
        <x:v>未纳入主表</x:v>
      </x:c>
      <x:c r="G45" s="6" t="str">
        <x:v>正文/摘要未发现与目标比亚迪关联</x:v>
      </x:c>
      <x:c r="H45" s="6" t="str">
        <x:v>https://www.chinabidding.cn/zbgs/U-vzlXGva.html</x:v>
      </x:c>
    </x:row>
    <x:row r="46" ht="40" customHeight="1">
      <x:c r="A46" s="6" t="str">
        <x:v>发现阶段排除</x:v>
      </x:c>
      <x:c r="B46" s="6" t="str"/>
      <x:c r="C46" s="6" t="str"/>
      <x:c r="D46" s="6" t="str">
        <x:v>比亚迪抚州新能源汽车零部件产业园轻量化项目</x:v>
      </x:c>
      <x:c r="E46" s="6" t="str">
        <x:v>https://www.chinabidding.cn/xmxx/nlaedo.html</x:v>
      </x:c>
      <x:c r="F46" s="6" t="str">
        <x:v>未纳入主表</x:v>
      </x:c>
      <x:c r="G46" s="6" t="str">
        <x:v>反爬挑战，仅取得编码内容；未取得发布日期及公告正文，不入tenders</x:v>
      </x:c>
      <x:c r="H46" s="6" t="str">
        <x:v>https://www.chinabidding.cn/xmxx/nlaedo.html</x:v>
      </x:c>
    </x:row>
    <x:row r="47" ht="40" customHeight="1">
      <x:c r="A47" s="6" t="str">
        <x:v>发现阶段排除</x:v>
      </x:c>
      <x:c r="B47" s="6" t="str"/>
      <x:c r="C47" s="6" t="str"/>
      <x:c r="D47" s="6" t="str">
        <x:v>比亚迪王朝汽车体验中心-采购与招标网(www.chinabidding.cn)</x:v>
      </x:c>
      <x:c r="E47" s="6" t="str">
        <x:v>https://www.chinabidding.cn/xmxx/nlNoGu.html</x:v>
      </x:c>
      <x:c r="F47" s="6" t="str">
        <x:v>未纳入主表</x:v>
      </x:c>
      <x:c r="G47" s="6" t="str">
        <x:v>需登录后查看全文，仅项目壳页；比亚迪集团法人关联未核，不入tenders</x:v>
      </x:c>
      <x:c r="H47" s="6" t="str">
        <x:v>https://www.chinabidding.cn/xmxx/nlNoGu.html</x:v>
      </x:c>
    </x:row>
    <x:row r="48" ht="56" customHeight="1">
      <x:c r="A48" s="6" t="str">
        <x:v>发现阶段排除</x:v>
      </x:c>
      <x:c r="B48" s="6" t="str"/>
      <x:c r="C48" s="6" t="str"/>
      <x:c r="D48" s="6" t="str">
        <x:v>东明县沙窝镇人民政府本级2026年沙窝镇畜牧中心公务车购置</x:v>
      </x:c>
      <x:c r="E48" s="6" t="str">
        <x:v>https://www.jianyu360.cn/nologin/content/SEEY1cEcTIFOD8vM2txc18vIycoDjdjV2R0KAU7ID0gZ35wHD9UCU4.html</x:v>
      </x:c>
      <x:c r="F48" s="6" t="str">
        <x:v>未纳入主表</x:v>
      </x:c>
      <x:c r="G48" s="6" t="str">
        <x:v>动态壳页仅官网标题，未返回项目正文，不入tenders</x:v>
      </x:c>
      <x:c r="H48" s="6" t="str">
        <x:v>https://www.jianyu360.cn/nologin/content/SEEY1cEcTIFOD8vM2txc18vIycoDjdjV2R0KAU7ID0gZ35wHD9UCU4.html</x:v>
      </x:c>
    </x:row>
    <x:row r="49" ht="40" customHeight="1">
      <x:c r="A49" s="6" t="str">
        <x:v>发现阶段排除</x:v>
      </x:c>
      <x:c r="B49" s="6" t="str"/>
      <x:c r="C49" s="6" t="str"/>
      <x:c r="D49" s="6" t="str">
        <x:v>1.93亿！比亚迪汽车工业有限公司连中 - 剑鱼标讯</x:v>
      </x:c>
      <x:c r="E49" s="6" t="str">
        <x:v>https://www.jianyu360.cn/jyblog/QldAVlBEU1FXBhVaFV9XEQcAAQ0RWBVc.html</x:v>
      </x:c>
      <x:c r="F49" s="6" t="str">
        <x:v>未纳入主表</x:v>
      </x:c>
      <x:c r="G49" s="6" t="str">
        <x:v>2025-04-23平台新闻超出公告窗口；企业历史资料仅列待核facts，不把新闻当公告</x:v>
      </x:c>
      <x:c r="H49" s="6" t="str">
        <x:v>https://www.jianyu360.cn/jyblog/QldAVlBEU1FXBhVaFV9XEQcAAQ0RWBVc.html</x:v>
      </x:c>
    </x:row>
    <x:row r="50" ht="40" customHeight="1">
      <x:c r="A50" s="6" t="str">
        <x:v>发现阶段排除</x:v>
      </x:c>
      <x:c r="B50" s="6" t="str"/>
      <x:c r="C50" s="6" t="str"/>
      <x:c r="D50" s="6" t="str">
        <x:v>华润怡宝饮料(长沙)有限公司2026年比亚迪、林德搬运车堆高车维修保养采购公告</x:v>
      </x:c>
      <x:c r="E50" s="6" t="str">
        <x:v>https://www.ebnew.com/businessShow/706928911.html</x:v>
      </x:c>
      <x:c r="F50" s="6" t="str">
        <x:v>未纳入主表</x:v>
      </x:c>
      <x:c r="G50" s="6" t="str">
        <x:v>正文只列比亚迪品牌维修保养，采购人为华润怡宝，无比亚迪集团直接采购/中标依据。</x:v>
      </x:c>
      <x:c r="H50" s="6" t="str">
        <x:v>https://www.ebnew.com/businessShow/706928911.html</x:v>
      </x:c>
    </x:row>
    <x:row r="51" ht="40" customHeight="1">
      <x:c r="A51" s="6" t="str">
        <x:v>发现阶段排除</x:v>
      </x:c>
      <x:c r="B51" s="6" t="str"/>
      <x:c r="C51" s="6" t="str"/>
      <x:c r="D51" s="6" t="str">
        <x:v>天津市滨海新区规划编制研究中心采购车辆项目第2包合同公告</x:v>
      </x:c>
      <x:c r="E51" s="6" t="str">
        <x:v>https://www.ebnew.com/businessShow/707677162.html</x:v>
      </x:c>
      <x:c r="F51" s="6" t="str">
        <x:v>未纳入主表</x:v>
      </x:c>
      <x:c r="G51" s="6" t="str">
        <x:v>车辆经销商天津华泰通汽车销售有限公司为供应商，非比亚迪集团直接中标；车型字段自相矛盾，未据此归属。</x:v>
      </x:c>
      <x:c r="H51" s="6" t="str">
        <x:v>https://www.ebnew.com/businessShow/707677162.html</x:v>
      </x:c>
    </x:row>
    <x:row r="52" ht="40" customHeight="1">
      <x:c r="A52" s="6" t="str">
        <x:v>发现阶段排除</x:v>
      </x:c>
      <x:c r="B52" s="6" t="str"/>
      <x:c r="C52" s="6" t="str"/>
      <x:c r="D52" s="6" t="str">
        <x:v>庞光街道比亚迪四期项目清表、树木粉碎及垃圾外运中标结果公告</x:v>
      </x:c>
      <x:c r="E52" s="6" t="str">
        <x:v>https://www.ebnew.com/businessShow/682291530.html</x:v>
      </x:c>
      <x:c r="F52" s="6" t="str">
        <x:v>未纳入主表</x:v>
      </x:c>
      <x:c r="G52" s="6" t="str">
        <x:v>2022-12-20超出2025-10-08至2026-10-08窗口，且甲乙方均非比亚迪。</x:v>
      </x:c>
      <x:c r="H52" s="6" t="str">
        <x:v>https://www.ebnew.com/businessShow/682291530.html</x:v>
      </x:c>
    </x:row>
    <x:row r="53" ht="56" customHeight="1">
      <x:c r="A53" s="6" t="str">
        <x:v>发现阶段排除</x:v>
      </x:c>
      <x:c r="B53" s="6" t="str"/>
      <x:c r="C53" s="6" t="str"/>
      <x:c r="D53" s="6" t="str">
        <x:v>嵊州新能源产业投资资讯（正文未提供具体标题与日期）</x:v>
      </x:c>
      <x:c r="E53" s="6" t="str">
        <x:v>https://chinabidding.mofcom.gov.cn/article/zwfw/zcfg/dffg/202409/30688.html</x:v>
      </x:c>
      <x:c r="F53" s="6" t="str">
        <x:v>未纳入主表</x:v>
      </x:c>
      <x:c r="G53" s="6" t="str">
        <x:v>历史产业资讯非招投标公告；2021投资额不能计入近一年招标金额。</x:v>
      </x:c>
      <x:c r="H53" s="6" t="str">
        <x:v>https://chinabidding.mofcom.gov.cn/article/zwfw/zcfg/dffg/202409/30688.html</x:v>
      </x:c>
    </x:row>
    <x:row r="54" ht="72" customHeight="1">
      <x:c r="A54" s="6" t="str">
        <x:v>发现阶段排除</x:v>
      </x:c>
      <x:c r="B54" s="6" t="str"/>
      <x:c r="C54" s="6" t="str"/>
      <x:c r="D54" s="6" t="str">
        <x:v>惠州比亚迪电池公告站内搜索</x:v>
      </x:c>
      <x:c r="E54" s="6" t="str">
        <x:v>https://ss.ebnew.com/tradingSearch/index.htm?key=%E6%83%A0%E5%B7%9E%E6%AF%94%E4%BA%9A%E8%BF%AA%E7%94%B5%E6%B1%A0</x:v>
      </x:c>
      <x:c r="F54" s="6" t="str">
        <x:v>未纳入主表</x:v>
      </x:c>
      <x:c r="G54" s="6" t="str">
        <x:v>最新2013-07-16；8条公开结果均在窗口外。</x:v>
      </x:c>
      <x:c r="H54" s="6" t="str">
        <x:v>https://ss.ebnew.com/tradingSearch/index.htm?key=%E6%83%A0%E5%B7%9E%E6%AF%94%E4%BA%9A%E8%BF%AA%E7%94%B5%E6%B1%A0</x:v>
      </x:c>
    </x:row>
    <x:row r="55" ht="72" customHeight="1">
      <x:c r="A55" s="6" t="str">
        <x:v>发现阶段排除</x:v>
      </x:c>
      <x:c r="B55" s="6" t="str"/>
      <x:c r="C55" s="6" t="str"/>
      <x:c r="D55" s="6" t="str">
        <x:v>深圳市比亚迪锂电池公告站内搜索</x:v>
      </x:c>
      <x:c r="E55" s="6" t="str">
        <x:v>https://ss.ebnew.com/tradingSearch/index.htm?key=%E6%B7%B1%E5%9C%B3%E5%B8%82%E6%AF%94%E4%BA%9A%E8%BF%AA%E9%94%82%E7%94%B5%E6%B1%A0</x:v>
      </x:c>
      <x:c r="F55" s="6" t="str">
        <x:v>未纳入主表</x:v>
      </x:c>
      <x:c r="G55" s="6" t="str">
        <x:v>最新2022-01-11；9条公开结果均在窗口外。</x:v>
      </x:c>
      <x:c r="H55" s="6" t="str">
        <x:v>https://ss.ebnew.com/tradingSearch/index.htm?key=%E6%B7%B1%E5%9C%B3%E5%B8%82%E6%AF%94%E4%BA%9A%E8%BF%AA%E9%94%82%E7%94%B5%E6%B1%A0</x:v>
      </x:c>
    </x:row>
    <x:row r="56" ht="56" customHeight="1">
      <x:c r="A56" s="6" t="str">
        <x:v>发现阶段排除</x:v>
      </x:c>
      <x:c r="B56" s="6" t="str"/>
      <x:c r="C56" s="6" t="str"/>
      <x:c r="D56" s="6" t="str">
        <x:v>新疆宏宇建设工程项目管理有限责任公司关于克拉玛依职业技术学院新能源纯电动汽车一站式智慧教学系统项目中标(成交)结果公告</x:v>
      </x:c>
      <x:c r="E56" s="6" t="str">
        <x:v>https://www.ccgp.gov.cn/cggg/dfgg/zbgg/202609/t20260902_27256019.htm</x:v>
      </x:c>
      <x:c r="F56" s="6" t="str">
        <x:v>未纳入主表</x:v>
      </x:c>
      <x:c r="G56" s="6" t="str">
        <x:v>返回摘要未见比亚迪供应商或品牌证据，不计为比亚迪采购项目</x:v>
      </x:c>
      <x:c r="H56" s="6" t="str">
        <x:v>https://www.ccgp.gov.cn/cggg/dfgg/zbgg/202609/t20260902_27256019.htm</x:v>
      </x:c>
    </x:row>
    <x:row r="57" ht="56" customHeight="1">
      <x:c r="A57" s="6" t="str">
        <x:v>发现阶段排除</x:v>
      </x:c>
      <x:c r="B57" s="6" t="str"/>
      <x:c r="C57" s="6" t="str"/>
      <x:c r="D57" s="6" t="str">
        <x:v>江西省百巨招标咨询有限公司关于江西冶金职业技术学院新能源汽车虚拟仿真软件采购项目（项目编号：JXBJ26121341802）竞争性谈判成交公告</x:v>
      </x:c>
      <x:c r="E57" s="6" t="str">
        <x:v>http://www.ccgp.gov.cn/cggg/dfgg/zbgg/202607/t20260720_26970401.htm</x:v>
      </x:c>
      <x:c r="F57" s="6" t="str">
        <x:v>未纳入主表</x:v>
      </x:c>
      <x:c r="G57" s="6" t="str">
        <x:v>返回摘要未见比亚迪供应商或品牌证据，不计为比亚迪采购项目</x:v>
      </x:c>
      <x:c r="H57" s="6" t="str">
        <x:v>http://www.ccgp.gov.cn/cggg/dfgg/zbgg/202607/t20260720_26970401.htm</x:v>
      </x:c>
    </x:row>
    <x:row r="58" ht="40" customHeight="1">
      <x:c r="A58" s="6" t="str">
        <x:v>发现阶段排除</x:v>
      </x:c>
      <x:c r="B58" s="6" t="str"/>
      <x:c r="C58" s="6" t="str"/>
      <x:c r="D58" s="6" t="str">
        <x:v>城轨车辆智慧运维综合创新实训平台中标(成交)结果公告</x:v>
      </x:c>
      <x:c r="E58" s="6" t="str">
        <x:v>http://www.ccgp.gov.cn/cggg/dfgg/zbgg/202609/t20260930_27424894.htm</x:v>
      </x:c>
      <x:c r="F58" s="6" t="str">
        <x:v>未纳入主表</x:v>
      </x:c>
      <x:c r="G58" s="6" t="str">
        <x:v>返回摘要未见比亚迪供应商或品牌证据，不计为比亚迪采购项目</x:v>
      </x:c>
      <x:c r="H58" s="6" t="str">
        <x:v>http://www.ccgp.gov.cn/cggg/dfgg/zbgg/202609/t20260930_27424894.htm</x:v>
      </x:c>
    </x:row>
    <x:row r="59" ht="40" customHeight="1">
      <x:c r="A59" s="6" t="str">
        <x:v>发现阶段排除</x:v>
      </x:c>
      <x:c r="B59" s="6" t="str"/>
      <x:c r="C59" s="6" t="str"/>
      <x:c r="D59" s="6" t="str">
        <x:v>烟台汽车工程职业学院智能制造专业领域垂类模型建设（一期）中标结果公告</x:v>
      </x:c>
      <x:c r="E59" s="6" t="str">
        <x:v>http://www.ccgp.gov.cn/cggg/dfgg/zbgg/202606/t20260618_26782169.htm</x:v>
      </x:c>
      <x:c r="F59" s="6" t="str">
        <x:v>未纳入主表</x:v>
      </x:c>
      <x:c r="G59" s="6" t="str">
        <x:v>返回摘要未见比亚迪供应商或品牌证据，不计为比亚迪采购项目</x:v>
      </x:c>
      <x:c r="H59" s="6" t="str">
        <x:v>http://www.ccgp.gov.cn/cggg/dfgg/zbgg/202606/t20260618_26782169.htm</x:v>
      </x:c>
    </x:row>
    <x:row r="60" ht="40" customHeight="1">
      <x:c r="A60" s="6" t="str">
        <x:v>发现阶段排除</x:v>
      </x:c>
      <x:c r="B60" s="6" t="str"/>
      <x:c r="C60" s="6" t="str"/>
      <x:c r="D60" s="6" t="str">
        <x:v>长春一汽国际招标有限公司关于车载网络测试系统建设项目（二次）的竞争性磋商公告</x:v>
      </x:c>
      <x:c r="E60" s="6" t="str">
        <x:v>https://www.ccgp.gov.cn/cggg/dfgg/jzxcs/202608/t20260826_27206062.htm</x:v>
      </x:c>
      <x:c r="F60" s="6" t="str">
        <x:v>未纳入主表</x:v>
      </x:c>
      <x:c r="G60" s="6" t="str">
        <x:v>返回摘要未见比亚迪供应商或品牌证据，不计为比亚迪采购项目</x:v>
      </x:c>
      <x:c r="H60" s="6" t="str">
        <x:v>https://www.ccgp.gov.cn/cggg/dfgg/jzxcs/202608/t20260826_27206062.htm</x:v>
      </x:c>
    </x:row>
    <x:row r="61" ht="40" customHeight="1">
      <x:c r="A61" s="6" t="str">
        <x:v>发现阶段排除</x:v>
      </x:c>
      <x:c r="B61" s="6" t="str"/>
      <x:c r="C61" s="6" t="str"/>
      <x:c r="D61" s="6" t="str">
        <x:v>汽车运用与维修专业群实训场地功能提升项目(汽车运用与维修品牌专业群成果展示区和汽车科普教育基地)中标(成交)结果公告</x:v>
      </x:c>
      <x:c r="E61" s="6" t="str">
        <x:v>http://www.ccgp.gov.cn/cggg/dfgg/zbgg/202605/t20260513_26559886.htm</x:v>
      </x:c>
      <x:c r="F61" s="6" t="str">
        <x:v>未纳入主表</x:v>
      </x:c>
      <x:c r="G61" s="6" t="str">
        <x:v>返回摘要未见比亚迪供应商或品牌证据，不计为比亚迪采购项目</x:v>
      </x:c>
      <x:c r="H61" s="6" t="str">
        <x:v>http://www.ccgp.gov.cn/cggg/dfgg/zbgg/202605/t20260513_26559886.htm</x:v>
      </x:c>
    </x:row>
    <x:row r="62" ht="40" customHeight="1">
      <x:c r="A62" s="6" t="str">
        <x:v>发现阶段排除</x:v>
      </x:c>
      <x:c r="B62" s="6" t="str"/>
      <x:c r="C62" s="6" t="str"/>
      <x:c r="D62" s="6" t="str">
        <x:v>DNL29黄泥川智能制造产业园1#楼1-2层先进电池中试平台建设工程施工中标公告</x:v>
      </x:c>
      <x:c r="E62" s="6" t="str">
        <x:v>http://www.ccgp.gov.cn/cggg/zygg/zbgg/202607/t20260722_26984500.htm</x:v>
      </x:c>
      <x:c r="F62" s="6" t="str">
        <x:v>未纳入主表</x:v>
      </x:c>
      <x:c r="G62" s="6" t="str">
        <x:v>返回摘要未见比亚迪供应商或品牌证据，不计为比亚迪采购项目</x:v>
      </x:c>
      <x:c r="H62" s="6" t="str">
        <x:v>http://www.ccgp.gov.cn/cggg/zygg/zbgg/202607/t20260722_26984500.htm</x:v>
      </x:c>
    </x:row>
    <x:row r="63" ht="56" customHeight="1">
      <x:c r="A63" s="6" t="str">
        <x:v>发现阶段排除</x:v>
      </x:c>
      <x:c r="B63" s="6" t="str"/>
      <x:c r="C63" s="6" t="str"/>
      <x:c r="D63" s="6" t="str">
        <x:v>中峪国际项目管理有限公司关于长春汽车经济技术开发区一汽-大众备件生产基地项目二期施工阶段全过程造价评审服务机构采购项目的竞争性磋商公告</x:v>
      </x:c>
      <x:c r="E63" s="6" t="str">
        <x:v>https://www.ccgp.gov.cn/cggg/dfgg/jzxcs/202606/t20260617_26766859.htm</x:v>
      </x:c>
      <x:c r="F63" s="6" t="str">
        <x:v>未纳入主表</x:v>
      </x:c>
      <x:c r="G63" s="6" t="str">
        <x:v>返回摘要未见比亚迪供应商或品牌证据，不计为比亚迪采购项目</x:v>
      </x:c>
      <x:c r="H63" s="6" t="str">
        <x:v>https://www.ccgp.gov.cn/cggg/dfgg/jzxcs/202606/t20260617_26766859.htm</x:v>
      </x:c>
    </x:row>
    <x:row r="64" ht="56" customHeight="1">
      <x:c r="A64" s="6" t="str">
        <x:v>发现阶段排除</x:v>
      </x:c>
      <x:c r="B64" s="6" t="str"/>
      <x:c r="C64" s="6" t="str"/>
      <x:c r="D64" s="6" t="str">
        <x:v>N/A</x:v>
      </x:c>
      <x:c r="E64" s="6" t="str">
        <x:v>https://www.ggzy.gov.cn/information/deal/html/a/440000/0201/20260806/00448b836a9cf2b440e0bce72d70b89b9823.html</x:v>
      </x:c>
      <x:c r="F64" s="6" t="str">
        <x:v>未纳入主表</x:v>
      </x:c>
      <x:c r="G64" s="6" t="str">
        <x:v>返回摘要未见比亚迪供应商或品牌证据，不计为比亚迪采购项目</x:v>
      </x:c>
      <x:c r="H64" s="6" t="str">
        <x:v>https://www.ggzy.gov.cn/information/deal/html/a/440000/0201/20260806/00448b836a9cf2b440e0bce72d70b89b9823.html</x:v>
      </x:c>
    </x:row>
    <x:row r="65" ht="56" customHeight="1">
      <x:c r="A65" s="6" t="str">
        <x:v>发现阶段排除</x:v>
      </x:c>
      <x:c r="B65" s="6" t="str"/>
      <x:c r="C65" s="6" t="str"/>
      <x:c r="D65" s="6" t="str">
        <x:v>N/A</x:v>
      </x:c>
      <x:c r="E65" s="6" t="str">
        <x:v>https://www.ggzy.gov.cn/information/deal/html/a/630000/0104/20260722/0063cc0ad69982c34c0d96255b3a6d4f0bb1.html</x:v>
      </x:c>
      <x:c r="F65" s="6" t="str">
        <x:v>未纳入主表</x:v>
      </x:c>
      <x:c r="G65" s="6" t="str">
        <x:v>返回摘要未见比亚迪供应商或品牌证据，不计为比亚迪采购项目</x:v>
      </x:c>
      <x:c r="H65" s="6" t="str">
        <x:v>https://www.ggzy.gov.cn/information/deal/html/a/630000/0104/20260722/0063cc0ad69982c34c0d96255b3a6d4f0bb1.html</x:v>
      </x:c>
    </x:row>
    <x:row r="66" ht="56" customHeight="1">
      <x:c r="A66" s="6" t="str">
        <x:v>发现阶段排除</x:v>
      </x:c>
      <x:c r="B66" s="6" t="str"/>
      <x:c r="C66" s="6" t="str"/>
      <x:c r="D66" s="6" t="str">
        <x:v>卫辉市全域充电站建设项目（一期）1标段&lt;br&gt;卫辉市全域充电站建设项目（一期）2标段中标结果公告_交易公开_国家公共资源交易平台</x:v>
      </x:c>
      <x:c r="E66" s="6" t="str">
        <x:v>https://www.ggzy.gov.cn/information/deal/html/a/410000/0104/20260305/0041bdf7fda3157346dc90b16b90692f5944.html</x:v>
      </x:c>
      <x:c r="F66" s="6" t="str">
        <x:v>未纳入主表</x:v>
      </x:c>
      <x:c r="G66" s="6" t="str">
        <x:v>返回摘要未见比亚迪供应商或品牌证据，不计为比亚迪采购项目</x:v>
      </x:c>
      <x:c r="H66" s="6" t="str">
        <x:v>https://www.ggzy.gov.cn/information/deal/html/a/410000/0104/20260305/0041bdf7fda3157346dc90b16b90692f5944.html</x:v>
      </x:c>
    </x:row>
    <x:row r="67" ht="56" customHeight="1">
      <x:c r="A67" s="6" t="str">
        <x:v>发现阶段排除</x:v>
      </x:c>
      <x:c r="B67" s="6" t="str"/>
      <x:c r="C67" s="6" t="str"/>
      <x:c r="D67" s="6" t="str">
        <x:v>N/A</x:v>
      </x:c>
      <x:c r="E67" s="6" t="str">
        <x:v>https://www.ggzy.gov.cn/information/deal/html/a/410000/0104/20260717/00417eef309cc207428890c31c5353bd30ff.html</x:v>
      </x:c>
      <x:c r="F67" s="6" t="str">
        <x:v>未纳入主表</x:v>
      </x:c>
      <x:c r="G67" s="6" t="str">
        <x:v>返回摘要未见比亚迪供应商或品牌证据，不计为比亚迪采购项目</x:v>
      </x:c>
      <x:c r="H67" s="6" t="str">
        <x:v>https://www.ggzy.gov.cn/information/deal/html/a/410000/0104/20260717/00417eef309cc207428890c31c5353bd30ff.html</x:v>
      </x:c>
    </x:row>
    <x:row r="68" ht="56" customHeight="1">
      <x:c r="A68" s="6" t="str">
        <x:v>发现阶段排除</x:v>
      </x:c>
      <x:c r="B68" s="6" t="str"/>
      <x:c r="C68" s="6" t="str"/>
      <x:c r="D68" s="6" t="str">
        <x:v>N/A</x:v>
      </x:c>
      <x:c r="E68" s="6" t="str">
        <x:v>https://www.ggzy.gov.cn/information/deal/html/b/000000/0201/20260609/2198e6025138febe6d1a6121daddd0e8.html</x:v>
      </x:c>
      <x:c r="F68" s="6" t="str">
        <x:v>未纳入主表</x:v>
      </x:c>
      <x:c r="G68" s="6" t="str">
        <x:v>返回摘要未见比亚迪供应商或品牌证据，不计为比亚迪采购项目</x:v>
      </x:c>
      <x:c r="H68" s="6" t="str">
        <x:v>https://www.ggzy.gov.cn/information/deal/html/b/000000/0201/20260609/2198e6025138febe6d1a6121daddd0e8.html</x:v>
      </x:c>
    </x:row>
    <x:row r="69" ht="56" customHeight="1">
      <x:c r="A69" s="6" t="str">
        <x:v>发现阶段排除</x:v>
      </x:c>
      <x:c r="B69" s="6" t="str"/>
      <x:c r="C69" s="6" t="str"/>
      <x:c r="D69" s="6" t="str">
        <x:v>N/A</x:v>
      </x:c>
      <x:c r="E69" s="6" t="str">
        <x:v>https://www.ggzy.gov.cn/information/deal/html/a/510000/0202/20260603/005148ad6c2813e04659b79031b9f6eac3a7.html</x:v>
      </x:c>
      <x:c r="F69" s="6" t="str">
        <x:v>未纳入主表</x:v>
      </x:c>
      <x:c r="G69" s="6" t="str">
        <x:v>返回摘要未见比亚迪供应商或品牌证据，不计为比亚迪采购项目</x:v>
      </x:c>
      <x:c r="H69" s="6" t="str">
        <x:v>https://www.ggzy.gov.cn/information/deal/html/a/510000/0202/20260603/005148ad6c2813e04659b79031b9f6eac3a7.html</x:v>
      </x:c>
    </x:row>
    <x:row r="70" ht="56" customHeight="1">
      <x:c r="A70" s="6" t="str">
        <x:v>发现阶段排除</x:v>
      </x:c>
      <x:c r="B70" s="6" t="str"/>
      <x:c r="C70" s="6" t="str"/>
      <x:c r="D70" s="6" t="str">
        <x:v>N/A</x:v>
      </x:c>
      <x:c r="E70" s="6" t="str">
        <x:v>https://www.ggzy.gov.cn/information/deal/html/b/630000/0101/20260924/00631c064d6eb9324812952304f3de133a01.html</x:v>
      </x:c>
      <x:c r="F70" s="6" t="str">
        <x:v>未纳入主表</x:v>
      </x:c>
      <x:c r="G70" s="6" t="str">
        <x:v>返回摘要未见比亚迪供应商或品牌证据，不计为比亚迪采购项目</x:v>
      </x:c>
      <x:c r="H70" s="6" t="str">
        <x:v>https://www.ggzy.gov.cn/information/deal/html/b/630000/0101/20260924/00631c064d6eb9324812952304f3de133a01.html</x:v>
      </x:c>
    </x:row>
    <x:row r="71" ht="56" customHeight="1">
      <x:c r="A71" s="6" t="str">
        <x:v>发现阶段排除</x:v>
      </x:c>
      <x:c r="B71" s="6" t="str"/>
      <x:c r="C71" s="6" t="str"/>
      <x:c r="D71" s="6" t="str">
        <x:v>中电信数智科技有限公司昌吉分公司2026年呼图壁县智慧化云平台集成项目 中标结果公示</x:v>
      </x:c>
      <x:c r="E71" s="6" t="str">
        <x:v>https://bigdata.cebpubservice.com/project/2026-04-13/t7fb5a77d53824bbdb95f462d84940605.pdf</x:v>
      </x:c>
      <x:c r="F71" s="6" t="str">
        <x:v>未纳入主表</x:v>
      </x:c>
      <x:c r="G71" s="6" t="str">
        <x:v>返回摘要未见比亚迪供应商或品牌证据，不计为比亚迪采购项目</x:v>
      </x:c>
      <x:c r="H71" s="6" t="str">
        <x:v>https://bigdata.cebpubservice.com/project/2026-04-13/t7fb5a77d53824bbdb95f462d84940605.pdf</x:v>
      </x:c>
    </x:row>
    <x:row r="72" ht="56" customHeight="1">
      <x:c r="A72" s="6" t="str">
        <x:v>发现阶段排除</x:v>
      </x:c>
      <x:c r="B72" s="6" t="str"/>
      <x:c r="C72" s="6" t="str"/>
      <x:c r="D72" s="6" t="str">
        <x:v>招标编号：CRCC-SHJC-2026-22</x:v>
      </x:c>
      <x:c r="E72" s="6" t="str">
        <x:v>https://bigdata.cebpubservice.com/project/2026-06-30/3bb817bad121409dac0f3cf65002ee53.pdf</x:v>
      </x:c>
      <x:c r="F72" s="6" t="str">
        <x:v>未纳入主表</x:v>
      </x:c>
      <x:c r="G72" s="6" t="str">
        <x:v>返回摘要未见比亚迪供应商或品牌证据，不计为比亚迪采购项目</x:v>
      </x:c>
      <x:c r="H72" s="6" t="str">
        <x:v>https://bigdata.cebpubservice.com/project/2026-06-30/3bb817bad121409dac0f3cf65002ee53.pdf</x:v>
      </x:c>
    </x:row>
    <x:row r="73" ht="56" customHeight="1">
      <x:c r="A73" s="6" t="str">
        <x:v>发现阶段排除</x:v>
      </x:c>
      <x:c r="B73" s="6" t="str"/>
      <x:c r="C73" s="6" t="str"/>
      <x:c r="D73" s="6" t="str">
        <x:v>国投集团2026年通用软硬件集中采购项目（标段7：桌面操作系统）中标 结果公示</x:v>
      </x:c>
      <x:c r="E73" s="6" t="str">
        <x:v>https://bigdata.cebpubservice.com/project/2026-03-30/c9e675f5_74af_4244_9e41_27fae7d19f27.pdf</x:v>
      </x:c>
      <x:c r="F73" s="6" t="str">
        <x:v>未纳入主表</x:v>
      </x:c>
      <x:c r="G73" s="6" t="str">
        <x:v>返回摘要未见比亚迪供应商或品牌证据，不计为比亚迪采购项目</x:v>
      </x:c>
      <x:c r="H73" s="6" t="str">
        <x:v>https://bigdata.cebpubservice.com/project/2026-03-30/c9e675f5_74af_4244_9e41_27fae7d19f27.pdf</x:v>
      </x:c>
    </x:row>
    <x:row r="74" ht="72" customHeight="1">
      <x:c r="A74" s="6" t="str">
        <x:v>发现阶段排除</x:v>
      </x:c>
      <x:c r="B74" s="6" t="str"/>
      <x:c r="C74" s="6" t="str"/>
      <x:c r="D74" s="6" t="str">
        <x:v>北京烁科中科信电子装备有限公司 2026 年度拆装机服务入围采购项目入围结果</x:v>
      </x:c>
      <x:c r="E74" s="6" t="str">
        <x:v>https://bigdata.cebpubservice.com/project/2025-12/winBidNoticeFile/Z1101000563010055001/dbe7db9f1bbf49e09ba971d523897830.pdf</x:v>
      </x:c>
      <x:c r="F74" s="6" t="str">
        <x:v>未纳入主表</x:v>
      </x:c>
      <x:c r="G74" s="6" t="str">
        <x:v>返回摘要未见比亚迪供应商或品牌证据，不计为比亚迪采购项目</x:v>
      </x:c>
      <x:c r="H74" s="6" t="str">
        <x:v>https://bigdata.cebpubservice.com/project/2025-12/winBidNoticeFile/Z1101000563010055001/dbe7db9f1bbf49e09ba971d523897830.pdf</x:v>
      </x:c>
    </x:row>
    <x:row r="75" ht="72" customHeight="1">
      <x:c r="A75" s="6" t="str">
        <x:v>发现阶段排除</x:v>
      </x:c>
      <x:c r="B75" s="6" t="str"/>
      <x:c r="C75" s="6" t="str"/>
      <x:c r="D75" s="6" t="str">
        <x:v>国网吉林电力松原供电公司2026年第二次服务授权框架协议（自主执行）竞争 性谈判采购项目推荐的成交候选人公示 （招标编号：23F504）</x:v>
      </x:c>
      <x:c r="E75" s="6" t="str">
        <x:v>https://bigdata.cebpubservice.com/project/2026-05/winCandidateNoticeFile/Z2201000AOO001605001/578762070c4b49a490c498348221a7e5.pdf</x:v>
      </x:c>
      <x:c r="F75" s="6" t="str">
        <x:v>未纳入主表</x:v>
      </x:c>
      <x:c r="G75" s="6" t="str">
        <x:v>返回摘要未见比亚迪供应商或品牌证据，不计为比亚迪采购项目</x:v>
      </x:c>
      <x:c r="H75" s="6" t="str">
        <x:v>https://bigdata.cebpubservice.com/project/2026-05/winCandidateNoticeFile/Z2201000AOO001605001/578762070c4b49a490c498348221a7e5.pdf</x:v>
      </x:c>
    </x:row>
    <x:row r="76" ht="56" customHeight="1">
      <x:c r="A76" s="6" t="str">
        <x:v>发现阶段排除</x:v>
      </x:c>
      <x:c r="B76" s="6" t="str"/>
      <x:c r="C76" s="6" t="str"/>
      <x:c r="D76" s="6" t="str">
        <x:v>北京中关村综合保税区综合能源低碳示范项目一期地源热泵系统施</x:v>
      </x:c>
      <x:c r="E76" s="6" t="str">
        <x:v>https://bigdata.cebpubservice.com/project/2026-01-05/f1dd4e57da324c91990a188fbfb0151c.pdf</x:v>
      </x:c>
      <x:c r="F76" s="6" t="str">
        <x:v>未纳入主表</x:v>
      </x:c>
      <x:c r="G76" s="6" t="str">
        <x:v>返回摘要未见比亚迪供应商或品牌证据，不计为比亚迪采购项目</x:v>
      </x:c>
      <x:c r="H76" s="6" t="str">
        <x:v>https://bigdata.cebpubservice.com/project/2026-01-05/f1dd4e57da324c91990a188fbfb0151c.pdf</x:v>
      </x:c>
    </x:row>
    <x:row r="77" ht="72" customHeight="1">
      <x:c r="A77" s="6" t="str">
        <x:v>发现阶段排除</x:v>
      </x:c>
      <x:c r="B77" s="6" t="str"/>
      <x:c r="C77" s="6" t="str"/>
      <x:c r="D77" s="6" t="str">
        <x:v>中国招标投标公共服务平台</x:v>
      </x:c>
      <x:c r="E77" s="6" t="str">
        <x:v>http://bigdata.cebpubservice.com/html/G3301005053/winCandidateBulletin/2026-07-08/279592783fef4b9e9a306f94e41314a0.html</x:v>
      </x:c>
      <x:c r="F77" s="6" t="str">
        <x:v>未纳入主表</x:v>
      </x:c>
      <x:c r="G77" s="6" t="str">
        <x:v>返回摘要未见比亚迪供应商或品牌证据，不计为比亚迪采购项目</x:v>
      </x:c>
      <x:c r="H77" s="6" t="str">
        <x:v>http://bigdata.cebpubservice.com/html/G3301005053/winCandidateBulletin/2026-07-08/279592783fef4b9e9a306f94e41314a0.html</x:v>
      </x:c>
    </x:row>
    <x:row r="78" ht="72" customHeight="1">
      <x:c r="A78" s="6" t="str">
        <x:v>发现阶段排除</x:v>
      </x:c>
      <x:c r="B78" s="6" t="str"/>
      <x:c r="C78" s="6" t="str"/>
      <x:c r="D78" s="6" t="str">
        <x:v>工程造价咨询服务”以询比方式进行采购，该项目于2026 年3月18 日在甘肃智慧阳光采购平台发布了询比招标公告，于2026年3月21 、招标编号：DHWL-CG-2026-036</x:v>
      </x:c>
      <x:c r="E78" s="6" t="str">
        <x:v>https://bigdata.cebpubservice.com/project/2026-03-24/23fb93cb28cd47c0ac5c5d293023fe4b.pdf</x:v>
      </x:c>
      <x:c r="F78" s="6" t="str">
        <x:v>未纳入主表</x:v>
      </x:c>
      <x:c r="G78" s="6" t="str">
        <x:v>返回摘要未见比亚迪供应商或品牌证据，不计为比亚迪采购项目</x:v>
      </x:c>
      <x:c r="H78" s="6" t="str">
        <x:v>https://bigdata.cebpubservice.com/project/2026-03-24/23fb93cb28cd47c0ac5c5d293023fe4b.pdf</x:v>
      </x:c>
    </x:row>
    <x:row r="79" ht="40" customHeight="1">
      <x:c r="A79" s="6" t="str">
        <x:v>发现阶段排除</x:v>
      </x:c>
      <x:c r="B79" s="6" t="str"/>
      <x:c r="C79" s="6" t="str"/>
      <x:c r="D79" s="6" t="str">
        <x:v>交通运输部南海第一救助飞行队2025年公务车辆采购成交公告</x:v>
      </x:c>
      <x:c r="E79" s="6" t="str">
        <x:v>http://www.ccgp.gov.cn/cggg/zygg/cjgg/202507/t20250715_24968773.htm</x:v>
      </x:c>
      <x:c r="F79" s="6" t="str">
        <x:v>未纳入主表</x:v>
      </x:c>
      <x:c r="G79" s="6" t="str">
        <x:v>日期超出一年窗口</x:v>
      </x:c>
      <x:c r="H79" s="6" t="str">
        <x:v>http://www.ccgp.gov.cn/cggg/zygg/cjgg/202507/t20250715_24968773.htm</x:v>
      </x:c>
    </x:row>
    <x:row r="80" ht="40" customHeight="1">
      <x:c r="A80" s="6" t="str">
        <x:v>发现阶段排除</x:v>
      </x:c>
      <x:c r="B80" s="6" t="str"/>
      <x:c r="C80" s="6" t="str"/>
      <x:c r="D80" s="6" t="str">
        <x:v>呼伦贝尔市航空护林站航空护林站升级改造项目车辆采购中标（成交）结果公告</x:v>
      </x:c>
      <x:c r="E80" s="6" t="str">
        <x:v>http://www.ccgp.gov.cn/cggg/dfgg/zbgg/202506/t20250629_24870485.htm</x:v>
      </x:c>
      <x:c r="F80" s="6" t="str">
        <x:v>未纳入主表</x:v>
      </x:c>
      <x:c r="G80" s="6" t="str">
        <x:v>日期超出一年窗口</x:v>
      </x:c>
      <x:c r="H80" s="6" t="str">
        <x:v>http://www.ccgp.gov.cn/cggg/dfgg/zbgg/202506/t20250629_24870485.htm</x:v>
      </x:c>
    </x:row>
    <x:row r="81" ht="40" customHeight="1">
      <x:c r="A81" s="6" t="str">
        <x:v>发现阶段排除</x:v>
      </x:c>
      <x:c r="B81" s="6" t="str"/>
      <x:c r="C81" s="6" t="str"/>
      <x:c r="D81" s="6" t="str">
        <x:v>巴塘县总工会政府采购公务用车中标（成交）结果公告</x:v>
      </x:c>
      <x:c r="E81" s="6" t="str">
        <x:v>http://www.ccgp.gov.cn/cggg/dfgg/zbgg/202512/t20251231_26023173.htm</x:v>
      </x:c>
      <x:c r="F81" s="6" t="str">
        <x:v>未纳入主表</x:v>
      </x:c>
      <x:c r="G81" s="6" t="str">
        <x:v>返回摘要未见比亚迪供应商或品牌证据，不计为比亚迪采购项目</x:v>
      </x:c>
      <x:c r="H81" s="6" t="str">
        <x:v>http://www.ccgp.gov.cn/cggg/dfgg/zbgg/202512/t20251231_26023173.htm</x:v>
      </x:c>
    </x:row>
    <x:row r="82" ht="104" customHeight="1">
      <x:c r="A82" s="6" t="str">
        <x:v>发现阶段排除</x:v>
      </x:c>
      <x:c r="B82" s="6" t="str"/>
      <x:c r="C82" s="6" t="str"/>
      <x:c r="D82" s="6" t="str">
        <x:v>青岛市崂山区应急管理局,青岛市崂山区人民政府中韩街道办事处,青岛市崂山区人民政府沙子口街道办事处,青岛市崂山区人民政府王哥庄街道办事处,青岛市崂山区人民政府北宅街道办事处,青岛市崂山国家森林公园管理服务中心（崂山林场）,青岛市崂山区人民政府金家岭街道办事处2025年森林消防运兵车采购公开招标公告</x:v>
      </x:c>
      <x:c r="E82" s="6" t="str">
        <x:v>http://www.ccgp.gov.cn/cggg/dfgg/gkzb/202508/t20250829_25260944.htm</x:v>
      </x:c>
      <x:c r="F82" s="6" t="str">
        <x:v>未纳入主表</x:v>
      </x:c>
      <x:c r="G82" s="6" t="str">
        <x:v>日期超出一年窗口</x:v>
      </x:c>
      <x:c r="H82" s="6" t="str">
        <x:v>http://www.ccgp.gov.cn/cggg/dfgg/gkzb/202508/t20250829_25260944.htm</x:v>
      </x:c>
    </x:row>
    <x:row r="83" ht="40" customHeight="1">
      <x:c r="A83" s="6" t="str">
        <x:v>发现阶段排除</x:v>
      </x:c>
      <x:c r="B83" s="6" t="str"/>
      <x:c r="C83" s="6" t="str"/>
      <x:c r="D83" s="6" t="str">
        <x:v>山东省消防救援总队全省自然灾害应急能力提升车辆部门集中采购项目三（重招）中标公告</x:v>
      </x:c>
      <x:c r="E83" s="6" t="str">
        <x:v>http://www.ccgp.gov.cn/cggg/zygg/zbgg/202502/t20250225_24212974.htm</x:v>
      </x:c>
      <x:c r="F83" s="6" t="str">
        <x:v>未纳入主表</x:v>
      </x:c>
      <x:c r="G83" s="6" t="str">
        <x:v>日期超出一年窗口</x:v>
      </x:c>
      <x:c r="H83" s="6" t="str">
        <x:v>http://www.ccgp.gov.cn/cggg/zygg/zbgg/202502/t20250225_24212974.htm</x:v>
      </x:c>
    </x:row>
    <x:row r="84" ht="40" customHeight="1">
      <x:c r="A84" s="6" t="str">
        <x:v>发现阶段排除</x:v>
      </x:c>
      <x:c r="B84" s="6" t="str"/>
      <x:c r="C84" s="6" t="str"/>
      <x:c r="D84" s="6" t="str">
        <x:v>长白山保护区风灾区“以水灭火”装备购置-模块化履带式应急救援车及配套设施项目中标(成交)结果公告</x:v>
      </x:c>
      <x:c r="E84" s="6" t="str">
        <x:v>https://www.ccgp.gov.cn/cggg/dfgg/zbgg/202504/t20250425_24499128.htm</x:v>
      </x:c>
      <x:c r="F84" s="6" t="str">
        <x:v>未纳入主表</x:v>
      </x:c>
      <x:c r="G84" s="6" t="str">
        <x:v>返回摘要未见比亚迪供应商或品牌证据，不计为比亚迪采购项目</x:v>
      </x:c>
      <x:c r="H84" s="6" t="str">
        <x:v>https://www.ccgp.gov.cn/cggg/dfgg/zbgg/202504/t20250425_24499128.htm</x:v>
      </x:c>
    </x:row>
    <x:row r="85" ht="56" customHeight="1">
      <x:c r="A85" s="6" t="str">
        <x:v>发现阶段排除</x:v>
      </x:c>
      <x:c r="B85" s="6" t="str"/>
      <x:c r="C85" s="6" t="str"/>
      <x:c r="D85" s="6" t="str">
        <x:v>成交结果公告</x:v>
      </x:c>
      <x:c r="E85" s="6" t="str">
        <x:v>http://download.ccgp.gov.cn/oss/download?uuid=829d42e3-00e6-443b-9fe3-e6305b</x:v>
      </x:c>
      <x:c r="F85" s="6" t="str">
        <x:v>未纳入主表</x:v>
      </x:c>
      <x:c r="G85" s="6" t="str">
        <x:v>返回摘要未见比亚迪供应商或品牌证据，不计为比亚迪采购项目</x:v>
      </x:c>
      <x:c r="H85" s="6" t="str">
        <x:v>http://download.ccgp.gov.cn/oss/download?uuid=829d42e3-00e6-443b-9fe3-e6305b</x:v>
      </x:c>
    </x:row>
    <x:row r="86" ht="40" customHeight="1">
      <x:c r="A86" s="6" t="str">
        <x:v>发现阶段排除</x:v>
      </x:c>
      <x:c r="B86" s="6" t="str"/>
      <x:c r="C86" s="6" t="str"/>
      <x:c r="D86" s="6" t="str">
        <x:v>永兴县公安局 永兴县公安局购置特种警务车辆询价成交公告</x:v>
      </x:c>
      <x:c r="E86" s="6" t="str">
        <x:v>http://www.ccgp.gov.cn/cggg/dfgg/cjgg/202606/t20260608_26704890.htm</x:v>
      </x:c>
      <x:c r="F86" s="6" t="str">
        <x:v>未纳入主表</x:v>
      </x:c>
      <x:c r="G86" s="6" t="str">
        <x:v>返回摘要未见比亚迪供应商或品牌证据，不计为比亚迪采购项目</x:v>
      </x:c>
      <x:c r="H86" s="6" t="str">
        <x:v>http://www.ccgp.gov.cn/cggg/dfgg/cjgg/202606/t20260608_26704890.htm</x:v>
      </x:c>
    </x:row>
    <x:row r="87" ht="56" customHeight="1">
      <x:c r="A87" s="6" t="str">
        <x:v>发现阶段排除</x:v>
      </x:c>
      <x:c r="B87" s="6" t="str"/>
      <x:c r="C87" s="6" t="str"/>
      <x:c r="D87" s="6" t="str">
        <x:v>N/A</x:v>
      </x:c>
      <x:c r="E87" s="6" t="str">
        <x:v>https://www.ggzy.gov.cn/information/deal/html/b/370000/9001/20260501/0037ff5ddccf13114d42bde14c4fc1e68b71.html</x:v>
      </x:c>
      <x:c r="F87" s="6" t="str">
        <x:v>未纳入主表</x:v>
      </x:c>
      <x:c r="G87" s="6" t="str">
        <x:v>返回摘要未见比亚迪供应商或品牌证据，不计为比亚迪采购项目</x:v>
      </x:c>
      <x:c r="H87" s="6" t="str">
        <x:v>https://www.ggzy.gov.cn/information/deal/html/b/370000/9001/20260501/0037ff5ddccf13114d42bde14c4fc1e68b71.html</x:v>
      </x:c>
    </x:row>
    <x:row r="88" ht="56" customHeight="1">
      <x:c r="A88" s="6" t="str">
        <x:v>发现阶段排除</x:v>
      </x:c>
      <x:c r="B88" s="6" t="str"/>
      <x:c r="C88" s="6" t="str"/>
      <x:c r="D88" s="6" t="str">
        <x:v>N/A</x:v>
      </x:c>
      <x:c r="E88" s="6" t="str">
        <x:v>https://www.ggzy.gov.cn/information/deal/html/a/440000/0202/20260929/0044f1ea15a5daba41d9b2fbad97673633a7.html</x:v>
      </x:c>
      <x:c r="F88" s="6" t="str">
        <x:v>未纳入主表</x:v>
      </x:c>
      <x:c r="G88" s="6" t="str">
        <x:v>返回摘要未见比亚迪供应商或品牌证据，不计为比亚迪采购项目</x:v>
      </x:c>
      <x:c r="H88" s="6" t="str">
        <x:v>https://www.ggzy.gov.cn/information/deal/html/a/440000/0202/20260929/0044f1ea15a5daba41d9b2fbad97673633a7.html</x:v>
      </x:c>
    </x:row>
    <x:row r="89" ht="56" customHeight="1">
      <x:c r="A89" s="6" t="str">
        <x:v>发现阶段排除</x:v>
      </x:c>
      <x:c r="B89" s="6" t="str"/>
      <x:c r="C89" s="6" t="str"/>
      <x:c r="D89" s="6" t="str">
        <x:v>N/A</x:v>
      </x:c>
      <x:c r="E89" s="6" t="str">
        <x:v>https://www.ggzy.gov.cn/information/deal/html/a/460000/0201/20260624/0046b078ff71e2f04dc6b1761863c918c786.html</x:v>
      </x:c>
      <x:c r="F89" s="6" t="str">
        <x:v>未纳入主表</x:v>
      </x:c>
      <x:c r="G89" s="6" t="str">
        <x:v>返回摘要未见比亚迪供应商或品牌证据，不计为比亚迪采购项目</x:v>
      </x:c>
      <x:c r="H89" s="6" t="str">
        <x:v>https://www.ggzy.gov.cn/information/deal/html/a/460000/0201/20260624/0046b078ff71e2f04dc6b1761863c918c786.html</x:v>
      </x:c>
    </x:row>
    <x:row r="90" ht="56" customHeight="1">
      <x:c r="A90" s="6" t="str">
        <x:v>发现阶段排除</x:v>
      </x:c>
      <x:c r="B90" s="6" t="str"/>
      <x:c r="C90" s="6" t="str"/>
      <x:c r="D90" s="6" t="str">
        <x:v>N/A</x:v>
      </x:c>
      <x:c r="E90" s="6" t="str">
        <x:v>https://www.ggzy.gov.cn/information/deal/html/a/370000/9001/20260530/0037cbd341c3a74e4b75b4f82ebd34c79e4e.html</x:v>
      </x:c>
      <x:c r="F90" s="6" t="str">
        <x:v>未纳入主表</x:v>
      </x:c>
      <x:c r="G90" s="6" t="str">
        <x:v>返回摘要未见比亚迪供应商或品牌证据，不计为比亚迪采购项目</x:v>
      </x:c>
      <x:c r="H90" s="6" t="str">
        <x:v>https://www.ggzy.gov.cn/information/deal/html/a/370000/9001/20260530/0037cbd341c3a74e4b75b4f82ebd34c79e4e.html</x:v>
      </x:c>
    </x:row>
    <x:row r="91" ht="56" customHeight="1">
      <x:c r="A91" s="6" t="str">
        <x:v>发现阶段排除</x:v>
      </x:c>
      <x:c r="B91" s="6" t="str"/>
      <x:c r="C91" s="6" t="str"/>
      <x:c r="D91" s="6" t="str">
        <x:v>N/A</x:v>
      </x:c>
      <x:c r="E91" s="6" t="str">
        <x:v>https://www.ggzy.gov.cn/information/deal/html/b/440000/0101/20260330/00443c4eaa816b564a0b8c57e8e7d8ec75fb.html</x:v>
      </x:c>
      <x:c r="F91" s="6" t="str">
        <x:v>未纳入主表</x:v>
      </x:c>
      <x:c r="G91" s="6" t="str">
        <x:v>返回摘要未见比亚迪供应商或品牌证据，不计为比亚迪采购项目</x:v>
      </x:c>
      <x:c r="H91" s="6" t="str">
        <x:v>https://www.ggzy.gov.cn/information/deal/html/b/440000/0101/20260330/00443c4eaa816b564a0b8c57e8e7d8ec75fb.html</x:v>
      </x:c>
    </x:row>
    <x:row r="92" ht="56" customHeight="1">
      <x:c r="A92" s="6" t="str">
        <x:v>发现阶段排除</x:v>
      </x:c>
      <x:c r="B92" s="6" t="str"/>
      <x:c r="C92" s="6" t="str"/>
      <x:c r="D92" s="6" t="str">
        <x:v>N/A</x:v>
      </x:c>
      <x:c r="E92" s="6" t="str">
        <x:v>https://www.ggzy.gov.cn/information/deal/html/b/500000/0201/20251031/ce9dbd02e63e42fa3f8709b3fefc47d4.html</x:v>
      </x:c>
      <x:c r="F92" s="6" t="str">
        <x:v>未纳入主表</x:v>
      </x:c>
      <x:c r="G92" s="6" t="str">
        <x:v>返回摘要未见比亚迪供应商或品牌证据，不计为比亚迪采购项目</x:v>
      </x:c>
      <x:c r="H92" s="6" t="str">
        <x:v>https://www.ggzy.gov.cn/information/deal/html/b/500000/0201/20251031/ce9dbd02e63e42fa3f8709b3fefc47d4.html</x:v>
      </x:c>
    </x:row>
    <x:row r="93" ht="40" customHeight="1">
      <x:c r="A93" s="6" t="str">
        <x:v>发现阶段排除</x:v>
      </x:c>
      <x:c r="B93" s="6" t="str"/>
      <x:c r="C93" s="6" t="str"/>
      <x:c r="D93" s="6" t="str">
        <x:v>中国招标投标公共服务平台</x:v>
      </x:c>
      <x:c r="E93" s="6" t="str">
        <x:v>http://testbulletin.cebpubservice.com/bank/biddingBulletin/index_1189.html</x:v>
      </x:c>
      <x:c r="F93" s="6" t="str">
        <x:v>未纳入主表</x:v>
      </x:c>
      <x:c r="G93" s="6" t="str">
        <x:v>返回摘要未见比亚迪供应商或品牌证据，不计为比亚迪采购项目</x:v>
      </x:c>
      <x:c r="H93" s="6" t="str">
        <x:v>http://testbulletin.cebpubservice.com/bank/biddingBulletin/index_1189.html</x:v>
      </x:c>
    </x:row>
    <x:row r="94" ht="56" customHeight="1">
      <x:c r="A94" s="6" t="str">
        <x:v>发现阶段排除</x:v>
      </x:c>
      <x:c r="B94" s="6" t="str"/>
      <x:c r="C94" s="6" t="str"/>
      <x:c r="D94" s="6" t="str">
        <x:v>中国招标投标公共服务平台</x:v>
      </x:c>
      <x:c r="E94" s="6" t="str">
        <x:v>https://testbulletin.cebpubservice.com/bank/biddingBulletin/2018-05-09/41363.html</x:v>
      </x:c>
      <x:c r="F94" s="6" t="str">
        <x:v>未纳入主表</x:v>
      </x:c>
      <x:c r="G94" s="6" t="str">
        <x:v>日期超出一年窗口</x:v>
      </x:c>
      <x:c r="H94" s="6" t="str">
        <x:v>https://testbulletin.cebpubservice.com/bank/biddingBulletin/2018-05-09/41363.html</x:v>
      </x:c>
    </x:row>
    <x:row r="95" ht="40" customHeight="1">
      <x:c r="A95" s="6" t="str">
        <x:v>发现阶段排除</x:v>
      </x:c>
      <x:c r="B95" s="6" t="str"/>
      <x:c r="C95" s="6" t="str"/>
      <x:c r="D95" s="6" t="str">
        <x:v>中国招标投标公共服务平台</x:v>
      </x:c>
      <x:c r="E95" s="6" t="str">
        <x:v>http://testbulletin.cebpubservice.com/bank/biddingBulletin/index_1194.html</x:v>
      </x:c>
      <x:c r="F95" s="6" t="str">
        <x:v>未纳入主表</x:v>
      </x:c>
      <x:c r="G95" s="6" t="str">
        <x:v>返回摘要未见比亚迪供应商或品牌证据，不计为比亚迪采购项目</x:v>
      </x:c>
      <x:c r="H95" s="6" t="str">
        <x:v>http://testbulletin.cebpubservice.com/bank/biddingBulletin/index_1194.html</x:v>
      </x:c>
    </x:row>
    <x:row r="96" ht="40" customHeight="1">
      <x:c r="A96" s="6" t="str">
        <x:v>发现阶段排除</x:v>
      </x:c>
      <x:c r="B96" s="6" t="str"/>
      <x:c r="C96" s="6" t="str"/>
      <x:c r="D96" s="6" t="str">
        <x:v>中国招标投标公共服务平台</x:v>
      </x:c>
      <x:c r="E96" s="6" t="str">
        <x:v>http://testbulletin.cebpubservice.com/bank/biddingBulletin/index_1192.html</x:v>
      </x:c>
      <x:c r="F96" s="6" t="str">
        <x:v>未纳入主表</x:v>
      </x:c>
      <x:c r="G96" s="6" t="str">
        <x:v>返回摘要未见比亚迪供应商或品牌证据，不计为比亚迪采购项目</x:v>
      </x:c>
      <x:c r="H96" s="6" t="str">
        <x:v>http://testbulletin.cebpubservice.com/bank/biddingBulletin/index_1192.html</x:v>
      </x:c>
    </x:row>
    <x:row r="97" ht="56" customHeight="1">
      <x:c r="A97" s="6" t="str">
        <x:v>发现阶段排除</x:v>
      </x:c>
      <x:c r="B97" s="6" t="str"/>
      <x:c r="C97" s="6" t="str"/>
      <x:c r="D97" s="6" t="str">
        <x:v>中国招标投标公共服务平台</x:v>
      </x:c>
      <x:c r="E97" s="6" t="str">
        <x:v>https://testbulletin.cebpubservice.com/bank/biddingBulletin/2018-01-03/16937.html</x:v>
      </x:c>
      <x:c r="F97" s="6" t="str">
        <x:v>未纳入主表</x:v>
      </x:c>
      <x:c r="G97" s="6" t="str">
        <x:v>日期超出一年窗口</x:v>
      </x:c>
      <x:c r="H97" s="6" t="str">
        <x:v>https://testbulletin.cebpubservice.com/bank/biddingBulletin/2018-01-03/16937.html</x:v>
      </x:c>
    </x:row>
    <x:row r="98" ht="40" customHeight="1">
      <x:c r="A98" s="6" t="str">
        <x:v>发现阶段排除</x:v>
      </x:c>
      <x:c r="B98" s="6" t="str"/>
      <x:c r="C98" s="6" t="str"/>
      <x:c r="D98" s="6" t="str">
        <x:v>中国招标投标公共服务平台</x:v>
      </x:c>
      <x:c r="E98" s="6" t="str">
        <x:v>http://testbulletin.cebpubservice.com/bank/biddingBulletin/index_129.html</x:v>
      </x:c>
      <x:c r="F98" s="6" t="str">
        <x:v>未纳入主表</x:v>
      </x:c>
      <x:c r="G98" s="6" t="str">
        <x:v>返回摘要未见比亚迪供应商或品牌证据，不计为比亚迪采购项目</x:v>
      </x:c>
      <x:c r="H98" s="6" t="str">
        <x:v>http://testbulletin.cebpubservice.com/bank/biddingBulletin/index_129.html</x:v>
      </x:c>
    </x:row>
    <x:row r="99" ht="56" customHeight="1">
      <x:c r="A99" s="6" t="str">
        <x:v>发现阶段排除</x:v>
      </x:c>
      <x:c r="B99" s="6" t="str"/>
      <x:c r="C99" s="6" t="str"/>
      <x:c r="D99" s="6" t="str">
        <x:v>长沙朗盛大厦自营酒店（全季酒店）室内精装修工程项目（标段名称）施工招 标公告 （招标编号：/）</x:v>
      </x:c>
      <x:c r="E99" s="6" t="str">
        <x:v>https://bigdata.cebpubservice.com/project/2026-06-01/742087c197684ee2ad79d582ed8ca2ba.pdf</x:v>
      </x:c>
      <x:c r="F99" s="6" t="str">
        <x:v>未纳入主表</x:v>
      </x:c>
      <x:c r="G99" s="6" t="str">
        <x:v>返回摘要未见比亚迪供应商或品牌证据，不计为比亚迪采购项目</x:v>
      </x:c>
      <x:c r="H99" s="6" t="str">
        <x:v>https://bigdata.cebpubservice.com/project/2026-06-01/742087c197684ee2ad79d582ed8ca2ba.pdf</x:v>
      </x:c>
    </x:row>
    <x:row r="100" ht="40" customHeight="1">
      <x:c r="A100" s="6" t="str">
        <x:v>发现阶段排除</x:v>
      </x:c>
      <x:c r="B100" s="6" t="str"/>
      <x:c r="C100" s="6" t="str"/>
      <x:c r="D100" s="6" t="str">
        <x:v>中国招标投标公共服务平台-测试环境</x:v>
      </x:c>
      <x:c r="E100" s="6" t="str">
        <x:v>https://testbulletin.cebpubservice.com/xxfbcmses/media.html</x:v>
      </x:c>
      <x:c r="F100" s="6" t="str">
        <x:v>未纳入主表</x:v>
      </x:c>
      <x:c r="G100" s="6" t="str">
        <x:v>返回摘要未见比亚迪供应商或品牌证据，不计为比亚迪采购项目</x:v>
      </x:c>
      <x:c r="H100" s="6" t="str">
        <x:v>https://testbulletin.cebpubservice.com/xxfbcmses/media.html</x:v>
      </x:c>
    </x:row>
    <x:row r="101" ht="40" customHeight="1">
      <x:c r="A101" s="6" t="str">
        <x:v>发现阶段排除</x:v>
      </x:c>
      <x:c r="B101" s="6" t="str"/>
      <x:c r="C101" s="6" t="str"/>
      <x:c r="D101" s="6" t="str">
        <x:v>迪庆州机关事务管理局购买公务用车采购项目成交结果更正公告</x:v>
      </x:c>
      <x:c r="E101" s="6" t="str">
        <x:v>http://www.ccgp.gov.cn/cggg/dfgg/gzgg/202609/t20260916_27336406.htm</x:v>
      </x:c>
      <x:c r="F101" s="6" t="str">
        <x:v>未纳入主表</x:v>
      </x:c>
      <x:c r="G101" s="6" t="str">
        <x:v>返回摘要未见比亚迪供应商或品牌证据，不计为比亚迪采购项目</x:v>
      </x:c>
      <x:c r="H101" s="6" t="str">
        <x:v>http://www.ccgp.gov.cn/cggg/dfgg/gzgg/202609/t20260916_27336406.htm</x:v>
      </x:c>
    </x:row>
    <x:row r="102" ht="40" customHeight="1">
      <x:c r="A102" s="6" t="str">
        <x:v>发现阶段排除</x:v>
      </x:c>
      <x:c r="B102" s="6" t="str"/>
      <x:c r="C102" s="6" t="str"/>
      <x:c r="D102" s="6" t="str">
        <x:v>炉霍县市场监督管理局一般公务用车执法执勤用车及电瓶车采购项目中标（成交）结果公告</x:v>
      </x:c>
      <x:c r="E102" s="6" t="str">
        <x:v>http://www.ccgp.gov.cn/cggg/dfgg/zbgg/202604/t20260427_26463524.htm</x:v>
      </x:c>
      <x:c r="F102" s="6" t="str">
        <x:v>未纳入主表</x:v>
      </x:c>
      <x:c r="G102" s="6" t="str">
        <x:v>返回摘要未见比亚迪供应商或品牌证据，不计为比亚迪采购项目</x:v>
      </x:c>
      <x:c r="H102" s="6" t="str">
        <x:v>http://www.ccgp.gov.cn/cggg/dfgg/zbgg/202604/t20260427_26463524.htm</x:v>
      </x:c>
    </x:row>
    <x:row r="103" ht="56" customHeight="1">
      <x:c r="A103" s="6" t="str">
        <x:v>发现阶段排除</x:v>
      </x:c>
      <x:c r="B103" s="6" t="str"/>
      <x:c r="C103" s="6" t="str"/>
      <x:c r="D103" s="6" t="str">
        <x:v>⽅正县公安局2026年度公务⽤⻋维修、保养采购项⽬中标（成交）明细</x:v>
      </x:c>
      <x:c r="E103" s="6" t="str">
        <x:v>http://download.ccgp.gov.cn/oss/download?uuid=6fb10262-5548-466f-acf1-402c7e</x:v>
      </x:c>
      <x:c r="F103" s="6" t="str">
        <x:v>未纳入主表</x:v>
      </x:c>
      <x:c r="G103" s="6" t="str">
        <x:v>返回摘要未见比亚迪供应商或品牌证据，不计为比亚迪采购项目</x:v>
      </x:c>
      <x:c r="H103" s="6" t="str">
        <x:v>http://download.ccgp.gov.cn/oss/download?uuid=6fb10262-5548-466f-acf1-402c7e</x:v>
      </x:c>
    </x:row>
    <x:row r="104" ht="40" customHeight="1">
      <x:c r="A104" s="6" t="str">
        <x:v>发现阶段排除</x:v>
      </x:c>
      <x:c r="B104" s="6" t="str"/>
      <x:c r="C104" s="6" t="str"/>
      <x:c r="D104" s="6" t="str">
        <x:v>普格县人民政府办公室公务用车中标（成交）结果公告</x:v>
      </x:c>
      <x:c r="E104" s="6" t="str">
        <x:v>http://www.ccgp.gov.cn/cggg/dfgg/cjgg/202604/t20260424_26453651.htm</x:v>
      </x:c>
      <x:c r="F104" s="6" t="str">
        <x:v>未纳入主表</x:v>
      </x:c>
      <x:c r="G104" s="6" t="str">
        <x:v>返回摘要未见比亚迪供应商或品牌证据，不计为比亚迪采购项目</x:v>
      </x:c>
      <x:c r="H104" s="6" t="str">
        <x:v>http://www.ccgp.gov.cn/cggg/dfgg/cjgg/202604/t20260424_26453651.htm</x:v>
      </x:c>
    </x:row>
    <x:row r="105" ht="40" customHeight="1">
      <x:c r="A105" s="6" t="str">
        <x:v>发现阶段排除</x:v>
      </x:c>
      <x:c r="B105" s="6" t="str"/>
      <x:c r="C105" s="6" t="str"/>
      <x:c r="D105" s="6" t="str">
        <x:v>岚县机关事务服务中心询价岚县机关事务服务中心公务用车购置项目结果公告</x:v>
      </x:c>
      <x:c r="E105" s="6" t="str">
        <x:v>http://www.ccgp.gov.cn/cggg/dfgg/zbgg/202607/t20260731_27045731.htm</x:v>
      </x:c>
      <x:c r="F105" s="6" t="str">
        <x:v>未纳入主表</x:v>
      </x:c>
      <x:c r="G105" s="6" t="str">
        <x:v>返回摘要未见比亚迪供应商或品牌证据，不计为比亚迪采购项目</x:v>
      </x:c>
      <x:c r="H105" s="6" t="str">
        <x:v>http://www.ccgp.gov.cn/cggg/dfgg/zbgg/202607/t20260731_27045731.htm</x:v>
      </x:c>
    </x:row>
    <x:row r="106" ht="40" customHeight="1">
      <x:c r="A106" s="6" t="str">
        <x:v>发现阶段排除</x:v>
      </x:c>
      <x:c r="B106" s="6" t="str"/>
      <x:c r="C106" s="6" t="str"/>
      <x:c r="D106" s="6" t="str">
        <x:v>乡城县人民法院乡城人民法院执法执勤用车采购中标（成交）结果公告</x:v>
      </x:c>
      <x:c r="E106" s="6" t="str">
        <x:v>http://www.ccgp.gov.cn/cggg/dfgg/zbgg/202606/t20260604_26688163.htm</x:v>
      </x:c>
      <x:c r="F106" s="6" t="str">
        <x:v>未纳入主表</x:v>
      </x:c>
      <x:c r="G106" s="6" t="str">
        <x:v>返回摘要未见比亚迪供应商或品牌证据，不计为比亚迪采购项目</x:v>
      </x:c>
      <x:c r="H106" s="6" t="str">
        <x:v>http://www.ccgp.gov.cn/cggg/dfgg/zbgg/202606/t20260604_26688163.htm</x:v>
      </x:c>
    </x:row>
    <x:row r="107" ht="40" customHeight="1">
      <x:c r="A107" s="6" t="str">
        <x:v>发现阶段排除</x:v>
      </x:c>
      <x:c r="B107" s="6" t="str"/>
      <x:c r="C107" s="6" t="str"/>
      <x:c r="D107" s="6" t="str">
        <x:v>中华人民共和国黄石海事局公务车电子卖场采购项目成交公告</x:v>
      </x:c>
      <x:c r="E107" s="6" t="str">
        <x:v>http://www.ccgp.gov.cn/cggg/zygg/cjgg/202606/t20260609_26712781.htm</x:v>
      </x:c>
      <x:c r="F107" s="6" t="str">
        <x:v>未纳入主表</x:v>
      </x:c>
      <x:c r="G107" s="6" t="str">
        <x:v>返回摘要未见比亚迪供应商或品牌证据，不计为比亚迪采购项目</x:v>
      </x:c>
      <x:c r="H107" s="6" t="str">
        <x:v>http://www.ccgp.gov.cn/cggg/zygg/cjgg/202606/t20260609_26712781.htm</x:v>
      </x:c>
    </x:row>
    <x:row r="108" ht="56" customHeight="1">
      <x:c r="A108" s="6" t="str">
        <x:v>发现阶段排除</x:v>
      </x:c>
      <x:c r="B108" s="6" t="str"/>
      <x:c r="C108" s="6" t="str"/>
      <x:c r="D108" s="6" t="str">
        <x:v>N/A</x:v>
      </x:c>
      <x:c r="E108" s="6" t="str">
        <x:v>https://www.ggzy.gov.cn/information/deal/html/b/430000/0104/20260902/0043cf452ee9f0a64cf88d3009bd0ef2753f.html</x:v>
      </x:c>
      <x:c r="F108" s="6" t="str">
        <x:v>未纳入主表</x:v>
      </x:c>
      <x:c r="G108" s="6" t="str">
        <x:v>返回摘要未见比亚迪供应商或品牌证据，不计为比亚迪采购项目</x:v>
      </x:c>
      <x:c r="H108" s="6" t="str">
        <x:v>https://www.ggzy.gov.cn/information/deal/html/b/430000/0104/20260902/0043cf452ee9f0a64cf88d3009bd0ef2753f.html</x:v>
      </x:c>
    </x:row>
    <x:row r="109" ht="56" customHeight="1">
      <x:c r="A109" s="6" t="str">
        <x:v>发现阶段排除</x:v>
      </x:c>
      <x:c r="B109" s="6" t="str"/>
      <x:c r="C109" s="6" t="str"/>
      <x:c r="D109" s="6" t="str">
        <x:v>N/A</x:v>
      </x:c>
      <x:c r="E109" s="6" t="str">
        <x:v>https://www.ggzy.gov.cn/information/deal/html/b/430000/0201/20260805/0043a6637663c3ab4566b312610e3eb44e67.html</x:v>
      </x:c>
      <x:c r="F109" s="6" t="str">
        <x:v>未纳入主表</x:v>
      </x:c>
      <x:c r="G109" s="6" t="str">
        <x:v>返回摘要未见比亚迪供应商或品牌证据，不计为比亚迪采购项目</x:v>
      </x:c>
      <x:c r="H109" s="6" t="str">
        <x:v>https://www.ggzy.gov.cn/information/deal/html/b/430000/0201/20260805/0043a6637663c3ab4566b312610e3eb44e67.html</x:v>
      </x:c>
    </x:row>
    <x:row r="110" ht="56" customHeight="1">
      <x:c r="A110" s="6" t="str">
        <x:v>发现阶段排除</x:v>
      </x:c>
      <x:c r="B110" s="6" t="str"/>
      <x:c r="C110" s="6" t="str"/>
      <x:c r="D110" s="6" t="str">
        <x:v>N/A</x:v>
      </x:c>
      <x:c r="E110" s="6" t="str">
        <x:v>https://www.ggzy.gov.cn/information/deal/html/b/500000/0101/20260731/0050ed5ec6110b174d6c9f2c7a9d76fd2a54.html</x:v>
      </x:c>
      <x:c r="F110" s="6" t="str">
        <x:v>未纳入主表</x:v>
      </x:c>
      <x:c r="G110" s="6" t="str">
        <x:v>返回摘要未见比亚迪供应商或品牌证据，不计为比亚迪采购项目</x:v>
      </x:c>
      <x:c r="H110" s="6" t="str">
        <x:v>https://www.ggzy.gov.cn/information/deal/html/b/500000/0101/20260731/0050ed5ec6110b174d6c9f2c7a9d76fd2a54.html</x:v>
      </x:c>
    </x:row>
    <x:row r="111" ht="56" customHeight="1">
      <x:c r="A111" s="6" t="str">
        <x:v>发现阶段排除</x:v>
      </x:c>
      <x:c r="B111" s="6" t="str"/>
      <x:c r="C111" s="6" t="str"/>
      <x:c r="D111" s="6" t="str">
        <x:v>N/A</x:v>
      </x:c>
      <x:c r="E111" s="6" t="str">
        <x:v>https://www.ggzy.gov.cn/information/deal/html/b/430000/0101/20260427/ff8080819a82040b019dccd194653b49.html</x:v>
      </x:c>
      <x:c r="F111" s="6" t="str">
        <x:v>未纳入主表</x:v>
      </x:c>
      <x:c r="G111" s="6" t="str">
        <x:v>返回摘要未见比亚迪供应商或品牌证据，不计为比亚迪采购项目</x:v>
      </x:c>
      <x:c r="H111" s="6" t="str">
        <x:v>https://www.ggzy.gov.cn/information/deal/html/b/430000/0101/20260427/ff8080819a82040b019dccd194653b49.html</x:v>
      </x:c>
    </x:row>
    <x:row r="112" ht="56" customHeight="1">
      <x:c r="A112" s="6" t="str">
        <x:v>发现阶段排除</x:v>
      </x:c>
      <x:c r="B112" s="6" t="str"/>
      <x:c r="C112" s="6" t="str"/>
      <x:c r="D112" s="6" t="str">
        <x:v>N/A</x:v>
      </x:c>
      <x:c r="E112" s="6" t="str">
        <x:v>https://www.ggzy.gov.cn/information/deal/html/b/430000/0104/20260214/0043b761ecb63a754ab6afe5b6a1b28db10b.html</x:v>
      </x:c>
      <x:c r="F112" s="6" t="str">
        <x:v>未纳入主表</x:v>
      </x:c>
      <x:c r="G112" s="6" t="str">
        <x:v>返回摘要未见比亚迪供应商或品牌证据，不计为比亚迪采购项目</x:v>
      </x:c>
      <x:c r="H112" s="6" t="str">
        <x:v>https://www.ggzy.gov.cn/information/deal/html/b/430000/0104/20260214/0043b761ecb63a754ab6afe5b6a1b28db10b.html</x:v>
      </x:c>
    </x:row>
    <x:row r="113" ht="56" customHeight="1">
      <x:c r="A113" s="6" t="str">
        <x:v>发现阶段排除</x:v>
      </x:c>
      <x:c r="B113" s="6" t="str"/>
      <x:c r="C113" s="6" t="str"/>
      <x:c r="D113" s="6" t="str">
        <x:v>N/A</x:v>
      </x:c>
      <x:c r="E113" s="6" t="str">
        <x:v>https://www.ggzy.gov.cn/information/deal/html/b/430000/0201/20260702/0043639310ec60b14fa3a8c7eb079951faa9.html</x:v>
      </x:c>
      <x:c r="F113" s="6" t="str">
        <x:v>未纳入主表</x:v>
      </x:c>
      <x:c r="G113" s="6" t="str">
        <x:v>返回摘要未见比亚迪供应商或品牌证据，不计为比亚迪采购项目</x:v>
      </x:c>
      <x:c r="H113" s="6" t="str">
        <x:v>https://www.ggzy.gov.cn/information/deal/html/b/430000/0201/20260702/0043639310ec60b14fa3a8c7eb079951faa9.html</x:v>
      </x:c>
    </x:row>
    <x:row r="114" ht="56" customHeight="1">
      <x:c r="A114" s="6" t="str">
        <x:v>发现阶段排除</x:v>
      </x:c>
      <x:c r="B114" s="6" t="str"/>
      <x:c r="C114" s="6" t="str"/>
      <x:c r="D114" s="6" t="str">
        <x:v>N/A</x:v>
      </x:c>
      <x:c r="E114" s="6" t="str">
        <x:v>https://www.ggzy.gov.cn/information/deal/html/b/460000/0201/20260714/5bc59868fce35eff6c65165f156d50b3.html</x:v>
      </x:c>
      <x:c r="F114" s="6" t="str">
        <x:v>未纳入主表</x:v>
      </x:c>
      <x:c r="G114" s="6" t="str">
        <x:v>返回摘要未见比亚迪供应商或品牌证据，不计为比亚迪采购项目</x:v>
      </x:c>
      <x:c r="H114" s="6" t="str">
        <x:v>https://www.ggzy.gov.cn/information/deal/html/b/460000/0201/20260714/5bc59868fce35eff6c65165f156d50b3.html</x:v>
      </x:c>
    </x:row>
    <x:row r="115" ht="56" customHeight="1">
      <x:c r="A115" s="6" t="str">
        <x:v>发现阶段排除</x:v>
      </x:c>
      <x:c r="B115" s="6" t="str"/>
      <x:c r="C115" s="6" t="str"/>
      <x:c r="D115" s="6" t="str">
        <x:v>中国电信天翼云2025年大数据辅助平台资源池贵州节点建设工程标包2：商密认证控制中心 中标结果公示</x:v>
      </x:c>
      <x:c r="E115" s="6" t="str">
        <x:v>https://bigdata.cebpubservice.com/project/2026-02-25/w098ee94a97b14ffc9dfac59fbdb5ebb6.pdf</x:v>
      </x:c>
      <x:c r="F115" s="6" t="str">
        <x:v>未纳入主表</x:v>
      </x:c>
      <x:c r="G115" s="6" t="str">
        <x:v>返回摘要未见比亚迪供应商或品牌证据，不计为比亚迪采购项目</x:v>
      </x:c>
      <x:c r="H115" s="6" t="str">
        <x:v>https://bigdata.cebpubservice.com/project/2026-02-25/w098ee94a97b14ffc9dfac59fbdb5ebb6.pdf</x:v>
      </x:c>
    </x:row>
    <x:row r="116" ht="56" customHeight="1">
      <x:c r="A116" s="6" t="str">
        <x:v>发现阶段排除</x:v>
      </x:c>
      <x:c r="B116" s="6" t="str"/>
      <x:c r="C116" s="6" t="str"/>
      <x:c r="D116" s="6" t="str">
        <x:v>淘沙湖油服总部产业园一期项目（第二次）施工/标段评标结果公示</x:v>
      </x:c>
      <x:c r="E116" s="6" t="str">
        <x:v>https://bigdata.cebpubservice.com/project/2026-02-25/ebc66379-e71b-43fb-a4c4-7a065f674f72.pdf</x:v>
      </x:c>
      <x:c r="F116" s="6" t="str">
        <x:v>未纳入主表</x:v>
      </x:c>
      <x:c r="G116" s="6" t="str">
        <x:v>返回摘要未见比亚迪供应商或品牌证据，不计为比亚迪采购项目</x:v>
      </x:c>
      <x:c r="H116" s="6" t="str">
        <x:v>https://bigdata.cebpubservice.com/project/2026-02-25/ebc66379-e71b-43fb-a4c4-7a065f674f72.pdf</x:v>
      </x:c>
    </x:row>
    <x:row r="117" ht="72" customHeight="1">
      <x:c r="A117" s="6" t="str">
        <x:v>发现阶段排除</x:v>
      </x:c>
      <x:c r="B117" s="6" t="str"/>
      <x:c r="C117" s="6" t="str"/>
      <x:c r="D117" s="6" t="str">
        <x:v>2025-2027 年度分拣设备及系统维保项目（物流）中标候选人公示 （招标编号：TJBD-2025-C-232）</x:v>
      </x:c>
      <x:c r="E117" s="6" t="str">
        <x:v>https://bigdata.cebpubservice.com/project/2025-05/winCandidateNoticeFile/Z1201007343003800001/3fc0acdc05324e68b1d1cd3f9ed6c1c1.pdf</x:v>
      </x:c>
      <x:c r="F117" s="6" t="str">
        <x:v>未纳入主表</x:v>
      </x:c>
      <x:c r="G117" s="6" t="str">
        <x:v>返回摘要未见比亚迪供应商或品牌证据，不计为比亚迪采购项目</x:v>
      </x:c>
      <x:c r="H117" s="6" t="str">
        <x:v>https://bigdata.cebpubservice.com/project/2025-05/winCandidateNoticeFile/Z1201007343003800001/3fc0acdc05324e68b1d1cd3f9ed6c1c1.pdf</x:v>
      </x:c>
    </x:row>
    <x:row r="118" ht="56" customHeight="1">
      <x:c r="A118" s="6" t="str">
        <x:v>发现阶段排除</x:v>
      </x:c>
      <x:c r="B118" s="6" t="str"/>
      <x:c r="C118" s="6" t="str"/>
      <x:c r="D118" s="6" t="str">
        <x:v>45G 厂房除尘系统成交结果公告 (项目编号：2025LMHW-73)</x:v>
      </x:c>
      <x:c r="E118" s="6" t="str">
        <x:v>https://bigdata.cebpubservice.com/project/2025-11-04/202511041507317756290032580.pdf</x:v>
      </x:c>
      <x:c r="F118" s="6" t="str">
        <x:v>未纳入主表</x:v>
      </x:c>
      <x:c r="G118" s="6" t="str">
        <x:v>返回摘要未见比亚迪供应商或品牌证据，不计为比亚迪采购项目</x:v>
      </x:c>
      <x:c r="H118" s="6" t="str">
        <x:v>https://bigdata.cebpubservice.com/project/2025-11-04/202511041507317756290032580.pdf</x:v>
      </x:c>
    </x:row>
    <x:row r="119" ht="40" customHeight="1">
      <x:c r="A119" s="6" t="str">
        <x:v>发现阶段排除</x:v>
      </x:c>
      <x:c r="B119" s="6" t="str"/>
      <x:c r="C119" s="6" t="str"/>
      <x:c r="D119" s="6" t="str">
        <x:v>宁波邦远工程管理咨询有限公司关于前宋至堰东公路新建工程中标(成交)结果公告</x:v>
      </x:c>
      <x:c r="E119" s="6" t="str">
        <x:v>http://www.ccgp.gov.cn/cggg/dfgg/zbgg/202607/t20260721_26976905.htm</x:v>
      </x:c>
      <x:c r="F119" s="6" t="str">
        <x:v>未纳入主表</x:v>
      </x:c>
      <x:c r="G119" s="6" t="str">
        <x:v>返回摘要未见比亚迪供应商或品牌证据，不计为比亚迪采购项目</x:v>
      </x:c>
      <x:c r="H119" s="6" t="str">
        <x:v>http://www.ccgp.gov.cn/cggg/dfgg/zbgg/202607/t20260721_26976905.htm</x:v>
      </x:c>
    </x:row>
    <x:row r="120" ht="40" customHeight="1">
      <x:c r="A120" s="6" t="str">
        <x:v>发现阶段排除</x:v>
      </x:c>
      <x:c r="B120" s="6" t="str"/>
      <x:c r="C120" s="6" t="str"/>
      <x:c r="D120" s="6" t="str">
        <x:v>浙江至诚工程咨询有限责任公司关于义乌市市场监督管理局电动自行车采购项目中标(成交)结果公告</x:v>
      </x:c>
      <x:c r="E120" s="6" t="str">
        <x:v>https://www.ccgp.gov.cn/cggg/dfgg/zbgg/202609/t20260912_27317583.htm</x:v>
      </x:c>
      <x:c r="F120" s="6" t="str">
        <x:v>未纳入主表</x:v>
      </x:c>
      <x:c r="G120" s="6" t="str">
        <x:v>返回摘要未见比亚迪供应商或品牌证据，不计为比亚迪采购项目</x:v>
      </x:c>
      <x:c r="H120" s="6" t="str">
        <x:v>https://www.ccgp.gov.cn/cggg/dfgg/zbgg/202609/t20260912_27317583.htm</x:v>
      </x:c>
    </x:row>
    <x:row r="121" ht="40" customHeight="1">
      <x:c r="A121" s="6" t="str">
        <x:v>发现阶段排除</x:v>
      </x:c>
      <x:c r="B121" s="6" t="str"/>
      <x:c r="C121" s="6" t="str"/>
      <x:c r="D121" s="6" t="str">
        <x:v>大荔县林业技术推广站大荔冬枣良种及轻简化管理技术示范项目中标（成交）结果公告</x:v>
      </x:c>
      <x:c r="E121" s="6" t="str">
        <x:v>http://www.ccgp.gov.cn/cggg/dfgg/cjgg/202609/t20260901_27239477.htm</x:v>
      </x:c>
      <x:c r="F121" s="6" t="str">
        <x:v>未纳入主表</x:v>
      </x:c>
      <x:c r="G121" s="6" t="str">
        <x:v>返回摘要未见比亚迪供应商或品牌证据，不计为比亚迪采购项目</x:v>
      </x:c>
      <x:c r="H121" s="6" t="str">
        <x:v>http://www.ccgp.gov.cn/cggg/dfgg/cjgg/202609/t20260901_27239477.htm</x:v>
      </x:c>
    </x:row>
    <x:row r="122" ht="40" customHeight="1">
      <x:c r="A122" s="6" t="str">
        <x:v>发现阶段排除</x:v>
      </x:c>
      <x:c r="B122" s="6" t="str"/>
      <x:c r="C122" s="6" t="str"/>
      <x:c r="D122" s="6" t="str">
        <x:v>宋庄文化创意公园(一期)健身场地设施建设项目成交公告</x:v>
      </x:c>
      <x:c r="E122" s="6" t="str">
        <x:v>http://www.ccgp.gov.cn/cggg/dfgg/cjgg/202605/t20260525_26626061.htm</x:v>
      </x:c>
      <x:c r="F122" s="6" t="str">
        <x:v>未纳入主表</x:v>
      </x:c>
      <x:c r="G122" s="6" t="str">
        <x:v>返回摘要未见比亚迪供应商或品牌证据，不计为比亚迪采购项目</x:v>
      </x:c>
      <x:c r="H122" s="6" t="str">
        <x:v>http://www.ccgp.gov.cn/cggg/dfgg/cjgg/202605/t20260525_26626061.htm</x:v>
      </x:c>
    </x:row>
    <x:row r="123" ht="40" customHeight="1">
      <x:c r="A123" s="6" t="str">
        <x:v>发现阶段排除</x:v>
      </x:c>
      <x:c r="B123" s="6" t="str"/>
      <x:c r="C123" s="6" t="str"/>
      <x:c r="D123" s="6" t="str">
        <x:v>连云区小官山北片区滨海健身步道(森林步道)监控智能化工程成交公告</x:v>
      </x:c>
      <x:c r="E123" s="6" t="str">
        <x:v>http://www.ccgp.gov.cn/cggg/dfgg/cjgg/202606/t20260611_26734709.htm</x:v>
      </x:c>
      <x:c r="F123" s="6" t="str">
        <x:v>未纳入主表</x:v>
      </x:c>
      <x:c r="G123" s="6" t="str">
        <x:v>返回摘要未见比亚迪供应商或品牌证据，不计为比亚迪采购项目</x:v>
      </x:c>
      <x:c r="H123" s="6" t="str">
        <x:v>http://www.ccgp.gov.cn/cggg/dfgg/cjgg/202606/t20260611_26734709.htm</x:v>
      </x:c>
    </x:row>
    <x:row r="124" ht="40" customHeight="1">
      <x:c r="A124" s="6" t="str">
        <x:v>发现阶段排除</x:v>
      </x:c>
      <x:c r="B124" s="6" t="str"/>
      <x:c r="C124" s="6" t="str"/>
      <x:c r="D124" s="6" t="str">
        <x:v>ZYCGR22011901自动化高通量序列合成系统采购项目中标公告</x:v>
      </x:c>
      <x:c r="E124" s="6" t="str">
        <x:v>http://www.ccgp.gov.cn/cggg/zygg/zbgg/202609/t20260924_27402167.htm</x:v>
      </x:c>
      <x:c r="F124" s="6" t="str">
        <x:v>未纳入主表</x:v>
      </x:c>
      <x:c r="G124" s="6" t="str">
        <x:v>返回摘要未见比亚迪供应商或品牌证据，不计为比亚迪采购项目</x:v>
      </x:c>
      <x:c r="H124" s="6" t="str">
        <x:v>http://www.ccgp.gov.cn/cggg/zygg/zbgg/202609/t20260924_27402167.htm</x:v>
      </x:c>
    </x:row>
    <x:row r="125" ht="40" customHeight="1">
      <x:c r="A125" s="6" t="str">
        <x:v>发现阶段排除</x:v>
      </x:c>
      <x:c r="B125" s="6" t="str"/>
      <x:c r="C125" s="6" t="str"/>
      <x:c r="D125" s="6" t="str">
        <x:v>雅江县公路段祝桑乡真达村产业振兴用桥重建项目中标（成交）结果公告</x:v>
      </x:c>
      <x:c r="E125" s="6" t="str">
        <x:v>http://www.ccgp.gov.cn/cggg/dfgg/cjgg/202606/t20260629_26833327.htm</x:v>
      </x:c>
      <x:c r="F125" s="6" t="str">
        <x:v>未纳入主表</x:v>
      </x:c>
      <x:c r="G125" s="6" t="str">
        <x:v>返回摘要未见比亚迪供应商或品牌证据，不计为比亚迪采购项目</x:v>
      </x:c>
      <x:c r="H125" s="6" t="str">
        <x:v>http://www.ccgp.gov.cn/cggg/dfgg/cjgg/202606/t20260629_26833327.htm</x:v>
      </x:c>
    </x:row>
    <x:row r="126" ht="56" customHeight="1">
      <x:c r="A126" s="6" t="str">
        <x:v>发现阶段排除</x:v>
      </x:c>
      <x:c r="B126" s="6" t="str"/>
      <x:c r="C126" s="6" t="str"/>
      <x:c r="D126" s="6" t="str">
        <x:v>江西兴宜全过程项目咨询有限公司 宜丰县2026-2028年度县机管中心、法院、检察院、生态环境局及公路中心公务用车维修保养等服务框架协议采购项目征集公告</x:v>
      </x:c>
      <x:c r="E126" s="6" t="str">
        <x:v>http://www.ccgp.gov.cn/cggg/dfgg/gkzb/202607/t20260702_26859842.htm</x:v>
      </x:c>
      <x:c r="F126" s="6" t="str">
        <x:v>未纳入主表</x:v>
      </x:c>
      <x:c r="G126" s="6" t="str">
        <x:v>返回摘要未见比亚迪供应商或品牌证据，不计为比亚迪采购项目</x:v>
      </x:c>
      <x:c r="H126" s="6" t="str">
        <x:v>http://www.ccgp.gov.cn/cggg/dfgg/gkzb/202607/t20260702_26859842.htm</x:v>
      </x:c>
    </x:row>
    <x:row r="127" ht="40" customHeight="1">
      <x:c r="A127" s="6" t="str">
        <x:v>发现阶段排除</x:v>
      </x:c>
      <x:c r="B127" s="6" t="str"/>
      <x:c r="C127" s="6" t="str"/>
      <x:c r="D127" s="6" t="str">
        <x:v>福建：省直及福州部分行政事业单位2026-2027年度公务车辆维修保养服务框架协议完成签约_中国政府采购网</x:v>
      </x:c>
      <x:c r="E127" s="6" t="str">
        <x:v>https://www.ccgp.gov.cn/zcdt/202601/t20260106_26039821.htm</x:v>
      </x:c>
      <x:c r="F127" s="6" t="str">
        <x:v>未纳入主表</x:v>
      </x:c>
      <x:c r="G127" s="6" t="str">
        <x:v>返回摘要未见比亚迪供应商或品牌证据，不计为比亚迪采购项目</x:v>
      </x:c>
      <x:c r="H127" s="6" t="str">
        <x:v>https://www.ccgp.gov.cn/zcdt/202601/t20260106_26039821.htm</x:v>
      </x:c>
    </x:row>
    <x:row r="128" ht="40" customHeight="1">
      <x:c r="A128" s="6" t="str">
        <x:v>发现阶段排除</x:v>
      </x:c>
      <x:c r="B128" s="6" t="str"/>
      <x:c r="C128" s="6" t="str"/>
      <x:c r="D128" s="6" t="str">
        <x:v>2026-2027年度山西省乘用车（新能源）封闭式框架协议采购项目终止公告</x:v>
      </x:c>
      <x:c r="E128" s="6" t="str">
        <x:v>http://www.ccgp.gov.cn/cggg/dfgg/fblbgg/202608/t20260821_27185510.htm</x:v>
      </x:c>
      <x:c r="F128" s="6" t="str">
        <x:v>未纳入主表</x:v>
      </x:c>
      <x:c r="G128" s="6" t="str">
        <x:v>返回摘要未见比亚迪供应商或品牌证据，不计为比亚迪采购项目</x:v>
      </x:c>
      <x:c r="H128" s="6" t="str">
        <x:v>http://www.ccgp.gov.cn/cggg/dfgg/fblbgg/202608/t20260821_27185510.htm</x:v>
      </x:c>
    </x:row>
    <x:row r="129" ht="56" customHeight="1">
      <x:c r="A129" s="6" t="str">
        <x:v>发现阶段排除</x:v>
      </x:c>
      <x:c r="B129" s="6" t="str"/>
      <x:c r="C129" s="6" t="str"/>
      <x:c r="D129" s="6" t="str">
        <x:v>山西省公共资源交易中心（山西省省级政府采购中心）2025-2026年度山西省乘用车（新能源）封闭式框架协议采购项目征集公告</x:v>
      </x:c>
      <x:c r="E129" s="6" t="str">
        <x:v>https://www.ccgp.gov.cn/cggg/dfgg/gkzb/202506/t20250606_24730214.htm</x:v>
      </x:c>
      <x:c r="F129" s="6" t="str">
        <x:v>未纳入主表</x:v>
      </x:c>
      <x:c r="G129" s="6" t="str">
        <x:v>返回摘要未见比亚迪供应商或品牌证据，不计为比亚迪采购项目</x:v>
      </x:c>
      <x:c r="H129" s="6" t="str">
        <x:v>https://www.ccgp.gov.cn/cggg/dfgg/gkzb/202506/t20250606_24730214.htm</x:v>
      </x:c>
    </x:row>
    <x:row r="130" ht="56" customHeight="1">
      <x:c r="A130" s="6" t="str">
        <x:v>发现阶段排除</x:v>
      </x:c>
      <x:c r="B130" s="6" t="str"/>
      <x:c r="C130" s="6" t="str"/>
      <x:c r="D130" s="6" t="str">
        <x:v>分项报价表</x:v>
      </x:c>
      <x:c r="E130" s="6" t="str">
        <x:v>http://download.ccgp.gov.cn/oss/download?uuid=3313a2a2-cbfc-4072-9a71-0078e0</x:v>
      </x:c>
      <x:c r="F130" s="6" t="str">
        <x:v>未纳入主表</x:v>
      </x:c>
      <x:c r="G130" s="6" t="str">
        <x:v>返回摘要未见比亚迪供应商或品牌证据，不计为比亚迪采购项目</x:v>
      </x:c>
      <x:c r="H130" s="6" t="str">
        <x:v>http://download.ccgp.gov.cn/oss/download?uuid=3313a2a2-cbfc-4072-9a71-0078e0</x:v>
      </x:c>
    </x:row>
    <x:row r="131" ht="88" customHeight="1">
      <x:c r="A131" s="6" t="str">
        <x:v>发现阶段排除</x:v>
      </x:c>
      <x:c r="B131" s="6" t="str"/>
      <x:c r="C131" s="6" t="str"/>
      <x:c r="D131" s="6" t="str">
        <x:v>中央国家机关政府采购中心 北京市公共资源交易中心 广东省政府采购中心 安徽省政府采购中心 云南省政府采购和出让中心 吉林省公共资源交易中心（吉林省政府采购中心） 广西壮族自治区政府采购中心 河南省公共资源交易中心 黑龙江省公共资源交易中心（黑龙江省政府采购中心）</x:v>
      </x:c>
      <x:c r="E131" s="6" t="str">
        <x:v>https://download.ccgp.gov.cn/oss/download?uuid=bba71a08-faf6-449a-8414-e10086</x:v>
      </x:c>
      <x:c r="F131" s="6" t="str">
        <x:v>未纳入主表</x:v>
      </x:c>
      <x:c r="G131" s="6" t="str">
        <x:v>返回摘要未见比亚迪供应商或品牌证据，不计为比亚迪采购项目</x:v>
      </x:c>
      <x:c r="H131" s="6" t="str">
        <x:v>https://download.ccgp.gov.cn/oss/download?uuid=bba71a08-faf6-449a-8414-e10086</x:v>
      </x:c>
    </x:row>
    <x:row r="132" ht="56" customHeight="1">
      <x:c r="A132" s="6" t="str">
        <x:v>发现阶段排除</x:v>
      </x:c>
      <x:c r="B132" s="6" t="str"/>
      <x:c r="C132" s="6" t="str"/>
      <x:c r="D132" s="6" t="str">
        <x:v>Download</x:v>
      </x:c>
      <x:c r="E132" s="6" t="str">
        <x:v>http://download.ccgp.gov.cn/oss/download?uuid=12a69775-121c-42d1-93cb-0aae71</x:v>
      </x:c>
      <x:c r="F132" s="6" t="str">
        <x:v>未纳入主表</x:v>
      </x:c>
      <x:c r="G132" s="6" t="str">
        <x:v>返回摘要未见比亚迪供应商或品牌证据，不计为比亚迪采购项目</x:v>
      </x:c>
      <x:c r="H132" s="6" t="str">
        <x:v>http://download.ccgp.gov.cn/oss/download?uuid=12a69775-121c-42d1-93cb-0aae71</x:v>
      </x:c>
    </x:row>
    <x:row r="133" ht="56" customHeight="1">
      <x:c r="A133" s="6" t="str">
        <x:v>发现阶段排除</x:v>
      </x:c>
      <x:c r="B133" s="6" t="str"/>
      <x:c r="C133" s="6" t="str"/>
      <x:c r="D133" s="6" t="str">
        <x:v>Download</x:v>
      </x:c>
      <x:c r="E133" s="6" t="str">
        <x:v>http://download.ccgp.gov.cn/oss/download?uuid=a0d955e5-b952-49f8-9eff-4fa5d8</x:v>
      </x:c>
      <x:c r="F133" s="6" t="str">
        <x:v>未纳入主表</x:v>
      </x:c>
      <x:c r="G133" s="6" t="str">
        <x:v>返回摘要未见比亚迪供应商或品牌证据，不计为比亚迪采购项目</x:v>
      </x:c>
      <x:c r="H133" s="6" t="str">
        <x:v>http://download.ccgp.gov.cn/oss/download?uuid=a0d955e5-b952-49f8-9eff-4fa5d8</x:v>
      </x:c>
    </x:row>
    <x:row r="134" ht="40" customHeight="1">
      <x:c r="A134" s="6" t="str">
        <x:v>发现阶段排除</x:v>
      </x:c>
      <x:c r="B134" s="6" t="str"/>
      <x:c r="C134" s="6" t="str"/>
      <x:c r="D134" s="6" t="str">
        <x:v>长沙公交运营有限公司长沙公交运营有限公司100台11米级纯电动公交车采购项目结果公告</x:v>
      </x:c>
      <x:c r="E134" s="6" t="str">
        <x:v>https://www.cheliangzhaobiao.com/news-29155fe8ba47017aeeea1624fcd626a6/</x:v>
      </x:c>
      <x:c r="F134" s="6" t="str">
        <x:v>未纳入主表</x:v>
      </x:c>
      <x:c r="G134" s="6" t="str">
        <x:v>返回摘要未见比亚迪供应商或品牌证据，不计为比亚迪采购项目</x:v>
      </x:c>
      <x:c r="H134" s="6" t="str">
        <x:v>https://www.cheliangzhaobiao.com/news-29155fe8ba47017aeeea1624fcd626a6/</x:v>
      </x:c>
    </x:row>
    <x:row r="135" ht="40" customHeight="1">
      <x:c r="A135" s="6" t="str">
        <x:v>发现阶段排除</x:v>
      </x:c>
      <x:c r="B135" s="6" t="str"/>
      <x:c r="C135" s="6" t="str"/>
      <x:c r="D135" s="6" t="str">
        <x:v>长沙公交运营有限公司100台11米级纯电动公交车采购项目-水滴标讯</x:v>
      </x:c>
      <x:c r="E135" s="6" t="str">
        <x:v>https://biaoxun.shuidi.cn/detail/272d7527dad561cdb93bc43009c2bd7e</x:v>
      </x:c>
      <x:c r="F135" s="6" t="str">
        <x:v>未纳入主表</x:v>
      </x:c>
      <x:c r="G135" s="6" t="str">
        <x:v>返回摘要未见比亚迪供应商或品牌证据，不计为比亚迪采购项目</x:v>
      </x:c>
      <x:c r="H135" s="6" t="str">
        <x:v>https://biaoxun.shuidi.cn/detail/272d7527dad561cdb93bc43009c2bd7e</x:v>
      </x:c>
    </x:row>
    <x:row r="136" ht="40" customHeight="1">
      <x:c r="A136" s="6" t="str">
        <x:v>发现阶段排除</x:v>
      </x:c>
      <x:c r="B136" s="6" t="str"/>
      <x:c r="C136" s="6" t="str"/>
      <x:c r="D136" s="6" t="str">
        <x:v>比亚迪中标大单！_新浪财经_新浪网</x:v>
      </x:c>
      <x:c r="E136" s="6" t="str">
        <x:v>https://finance.sina.com.cn/wm/2026-07-23/doc-iniiunce7872803.shtml</x:v>
      </x:c>
      <x:c r="F136" s="6" t="str">
        <x:v>未纳入主表</x:v>
      </x:c>
      <x:c r="G136" s="6" t="str">
        <x:v>二手或正文不完整，仅线索，未达到官方核验标准</x:v>
      </x:c>
      <x:c r="H136" s="6" t="str">
        <x:v>https://finance.sina.com.cn/wm/2026-07-23/doc-iniiunce7872803.shtml</x:v>
      </x:c>
    </x:row>
    <x:row r="137" ht="40" customHeight="1">
      <x:c r="A137" s="6" t="str">
        <x:v>发现阶段排除</x:v>
      </x:c>
      <x:c r="B137" s="6" t="str"/>
      <x:c r="C137" s="6" t="str"/>
      <x:c r="D137" s="6" t="str">
        <x:v>100辆11米级纯电动公交车采购中标候选人公示！_客车信息网</x:v>
      </x:c>
      <x:c r="E137" s="6" t="str">
        <x:v>http://www.360buses.cn/news/2026/0720/95025.shtml</x:v>
      </x:c>
      <x:c r="F137" s="6" t="str">
        <x:v>未纳入主表</x:v>
      </x:c>
      <x:c r="G137" s="6" t="str">
        <x:v>二手或正文不完整，仅线索，未达到官方核验标准</x:v>
      </x:c>
      <x:c r="H137" s="6" t="str">
        <x:v>http://www.360buses.cn/news/2026/0720/95025.shtml</x:v>
      </x:c>
    </x:row>
    <x:row r="138" ht="40" customHeight="1">
      <x:c r="A138" s="6" t="str">
        <x:v>发现阶段排除</x:v>
      </x:c>
      <x:c r="B138" s="6" t="str"/>
      <x:c r="C138" s="6" t="str"/>
      <x:c r="D138" s="6" t="str">
        <x:v>3企角逐！100台纯电动公交车大单花落谁家？-城市交通网</x:v>
      </x:c>
      <x:c r="E138" s="6" t="str">
        <x:v>http://www.chinaiut.com/qyfc/127881.html</x:v>
      </x:c>
      <x:c r="F138" s="6" t="str">
        <x:v>未纳入主表</x:v>
      </x:c>
      <x:c r="G138" s="6" t="str">
        <x:v>二手或正文不完整，仅线索，未达到官方核验标准</x:v>
      </x:c>
      <x:c r="H138" s="6" t="str">
        <x:v>http://www.chinaiut.com/qyfc/127881.html</x:v>
      </x:c>
    </x:row>
    <x:row r="139" ht="40" customHeight="1">
      <x:c r="A139" s="6" t="str">
        <x:v>发现阶段排除</x:v>
      </x:c>
      <x:c r="B139" s="6" t="str"/>
      <x:c r="C139" s="6" t="str"/>
      <x:c r="D139" s="6" t="str">
        <x:v>招标丨长沙公交运营有限公司100台11米级纯电动公交车采购项目公开招标公告-城市交通网</x:v>
      </x:c>
      <x:c r="E139" s="6" t="str">
        <x:v>http://www.chinaiut.com/zhaobiao/127258.html</x:v>
      </x:c>
      <x:c r="F139" s="6" t="str">
        <x:v>未纳入主表</x:v>
      </x:c>
      <x:c r="G139" s="6" t="str">
        <x:v>返回摘要未见比亚迪供应商或品牌证据，不计为比亚迪采购项目</x:v>
      </x:c>
      <x:c r="H139" s="6" t="str">
        <x:v>http://www.chinaiut.com/zhaobiao/127258.html</x:v>
      </x:c>
    </x:row>
    <x:row r="140" ht="56" customHeight="1">
      <x:c r="A140" s="6" t="str">
        <x:v>发现阶段排除</x:v>
      </x:c>
      <x:c r="B140" s="6" t="str"/>
      <x:c r="C140" s="6" t="str"/>
      <x:c r="D140" s="6" t="str">
        <x:v>⽅正县公安局交通管理⼤队购买执勤执法⻋辆中标（成交）明细</x:v>
      </x:c>
      <x:c r="E140" s="6" t="str">
        <x:v>http://download.ccgp.gov.cn/oss/download?uuid=176072f9-80a6-4c86-8891-330d43</x:v>
      </x:c>
      <x:c r="F140" s="6" t="str">
        <x:v>未纳入主表</x:v>
      </x:c>
      <x:c r="G140" s="6" t="str">
        <x:v>返回摘要未见比亚迪供应商或品牌证据，不计为比亚迪采购项目</x:v>
      </x:c>
      <x:c r="H140" s="6" t="str">
        <x:v>http://download.ccgp.gov.cn/oss/download?uuid=176072f9-80a6-4c86-8891-330d43</x:v>
      </x:c>
    </x:row>
    <x:row r="141" ht="40" customHeight="1">
      <x:c r="A141" s="6" t="str">
        <x:v>发现阶段排除</x:v>
      </x:c>
      <x:c r="B141" s="6" t="str"/>
      <x:c r="C141" s="6" t="str"/>
      <x:c r="D141" s="6" t="str">
        <x:v>云南省森林消防总队“机动队伍能力提升”装备配备项目运输投送车辆装备（指挥车类）购置项目中标公告</x:v>
      </x:c>
      <x:c r="E141" s="6" t="str">
        <x:v>https://www.ccgp.gov.cn/cggg/zygg/zbgg/202408/t20240830_23031869.htm</x:v>
      </x:c>
      <x:c r="F141" s="6" t="str">
        <x:v>未纳入主表</x:v>
      </x:c>
      <x:c r="G141" s="6" t="str">
        <x:v>返回摘要未见比亚迪供应商或品牌证据，不计为比亚迪采购项目</x:v>
      </x:c>
      <x:c r="H141" s="6" t="str">
        <x:v>https://www.ccgp.gov.cn/cggg/zygg/zbgg/202408/t20240830_23031869.htm</x:v>
      </x:c>
    </x:row>
    <x:row r="142" ht="40" customHeight="1">
      <x:c r="A142" s="6" t="str">
        <x:v>发现阶段排除</x:v>
      </x:c>
      <x:c r="B142" s="6" t="str"/>
      <x:c r="C142" s="6" t="str"/>
      <x:c r="D142" s="6" t="str">
        <x:v>峨边彝族自治县金岩乡卫生院移动DR车采购项目中标（成交）结果公告</x:v>
      </x:c>
      <x:c r="E142" s="6" t="str">
        <x:v>http://www.ccgp.gov.cn/cggg/dfgg/cjgg/202605/t20260514_26568776.htm</x:v>
      </x:c>
      <x:c r="F142" s="6" t="str">
        <x:v>未纳入主表</x:v>
      </x:c>
      <x:c r="G142" s="6" t="str">
        <x:v>返回摘要未见比亚迪供应商或品牌证据，不计为比亚迪采购项目</x:v>
      </x:c>
      <x:c r="H142" s="6" t="str">
        <x:v>http://www.ccgp.gov.cn/cggg/dfgg/cjgg/202605/t20260514_26568776.htm</x:v>
      </x:c>
    </x:row>
    <x:row r="143" ht="56" customHeight="1">
      <x:c r="A143" s="6" t="str">
        <x:v>发现阶段排除</x:v>
      </x:c>
      <x:c r="B143" s="6" t="str"/>
      <x:c r="C143" s="6" t="str"/>
      <x:c r="D143" s="6" t="str">
        <x:v>评审情况表</x:v>
      </x:c>
      <x:c r="E143" s="6" t="str">
        <x:v>http://download.ccgp.gov.cn/oss/download?uuid=bbe214eb-f563-411d-a29e-8f5319</x:v>
      </x:c>
      <x:c r="F143" s="6" t="str">
        <x:v>未纳入主表</x:v>
      </x:c>
      <x:c r="G143" s="6" t="str">
        <x:v>返回摘要未见比亚迪供应商或品牌证据，不计为比亚迪采购项目</x:v>
      </x:c>
      <x:c r="H143" s="6" t="str">
        <x:v>http://download.ccgp.gov.cn/oss/download?uuid=bbe214eb-f563-411d-a29e-8f5319</x:v>
      </x:c>
    </x:row>
    <x:row r="144" ht="56" customHeight="1">
      <x:c r="A144" s="6" t="str">
        <x:v>发现阶段排除</x:v>
      </x:c>
      <x:c r="B144" s="6" t="str"/>
      <x:c r="C144" s="6" t="str"/>
      <x:c r="D144" s="6" t="str">
        <x:v>N/A</x:v>
      </x:c>
      <x:c r="E144" s="6" t="str">
        <x:v>https://www.ggzy.gov.cn/information/deal/html/b/0067/0104/20260811/0067c308035a3b924e368deee443b1974a47.html</x:v>
      </x:c>
      <x:c r="F144" s="6" t="str">
        <x:v>未纳入主表</x:v>
      </x:c>
      <x:c r="G144" s="6" t="str">
        <x:v>返回摘要未见比亚迪供应商或品牌证据，不计为比亚迪采购项目</x:v>
      </x:c>
      <x:c r="H144" s="6" t="str">
        <x:v>https://www.ggzy.gov.cn/information/deal/html/b/0067/0104/20260811/0067c308035a3b924e368deee443b1974a47.html</x:v>
      </x:c>
    </x:row>
    <x:row r="145" ht="56" customHeight="1">
      <x:c r="A145" s="6" t="str">
        <x:v>发现阶段排除</x:v>
      </x:c>
      <x:c r="B145" s="6" t="str"/>
      <x:c r="C145" s="6" t="str"/>
      <x:c r="D145" s="6" t="str">
        <x:v>N/A</x:v>
      </x:c>
      <x:c r="E145" s="6" t="str">
        <x:v>https://www.ggzy.gov.cn/information/deal/html/b/510000/9001/20260904/00512d5b5bd765b6411d908a59085c70573d.html</x:v>
      </x:c>
      <x:c r="F145" s="6" t="str">
        <x:v>未纳入主表</x:v>
      </x:c>
      <x:c r="G145" s="6" t="str">
        <x:v>返回摘要未见比亚迪供应商或品牌证据，不计为比亚迪采购项目</x:v>
      </x:c>
      <x:c r="H145" s="6" t="str">
        <x:v>https://www.ggzy.gov.cn/information/deal/html/b/510000/9001/20260904/00512d5b5bd765b6411d908a59085c70573d.html</x:v>
      </x:c>
    </x:row>
    <x:row r="146" ht="56" customHeight="1">
      <x:c r="A146" s="6" t="str">
        <x:v>发现阶段排除</x:v>
      </x:c>
      <x:c r="B146" s="6" t="str"/>
      <x:c r="C146" s="6" t="str"/>
      <x:c r="D146" s="6" t="str">
        <x:v>N/A</x:v>
      </x:c>
      <x:c r="E146" s="6" t="str">
        <x:v>https://www.ggzy.gov.cn/information/deal/html/b/620000/0101/20260722/0062e1eed7c0fcd04cf89c7d6c945592526a.html</x:v>
      </x:c>
      <x:c r="F146" s="6" t="str">
        <x:v>未纳入主表</x:v>
      </x:c>
      <x:c r="G146" s="6" t="str">
        <x:v>返回摘要未见比亚迪供应商或品牌证据，不计为比亚迪采购项目</x:v>
      </x:c>
      <x:c r="H146" s="6" t="str">
        <x:v>https://www.ggzy.gov.cn/information/deal/html/b/620000/0101/20260722/0062e1eed7c0fcd04cf89c7d6c945592526a.html</x:v>
      </x:c>
    </x:row>
    <x:row r="147" ht="56" customHeight="1">
      <x:c r="A147" s="6" t="str">
        <x:v>发现阶段排除</x:v>
      </x:c>
      <x:c r="B147" s="6" t="str"/>
      <x:c r="C147" s="6" t="str"/>
      <x:c r="D147" s="6" t="str">
        <x:v>N/A</x:v>
      </x:c>
      <x:c r="E147" s="6" t="str">
        <x:v>https://www.ggzy.gov.cn/information/deal/html/a/460000/0502/20260813/0046ea92bac23fa842f38cacf43c66b494a6.html</x:v>
      </x:c>
      <x:c r="F147" s="6" t="str">
        <x:v>未纳入主表</x:v>
      </x:c>
      <x:c r="G147" s="6" t="str">
        <x:v>返回摘要未见比亚迪供应商或品牌证据，不计为比亚迪采购项目</x:v>
      </x:c>
      <x:c r="H147" s="6" t="str">
        <x:v>https://www.ggzy.gov.cn/information/deal/html/a/460000/0502/20260813/0046ea92bac23fa842f38cacf43c66b494a6.html</x:v>
      </x:c>
    </x:row>
    <x:row r="148" ht="56" customHeight="1">
      <x:c r="A148" s="6" t="str">
        <x:v>发现阶段排除</x:v>
      </x:c>
      <x:c r="B148" s="6" t="str"/>
      <x:c r="C148" s="6" t="str"/>
      <x:c r="D148" s="6" t="str">
        <x:v>中国招标投标公共服务平台</x:v>
      </x:c>
      <x:c r="E148" s="6" t="str">
        <x:v>http://testbulletin.cebpubservice.com/bank/biddingBulletin/2018-06-15/41948.html</x:v>
      </x:c>
      <x:c r="F148" s="6" t="str">
        <x:v>未纳入主表</x:v>
      </x:c>
      <x:c r="G148" s="6" t="str">
        <x:v>日期超出一年窗口</x:v>
      </x:c>
      <x:c r="H148" s="6" t="str">
        <x:v>http://testbulletin.cebpubservice.com/bank/biddingBulletin/2018-06-15/41948.html</x:v>
      </x:c>
    </x:row>
    <x:row r="149" ht="40" customHeight="1">
      <x:c r="A149" s="6" t="str">
        <x:v>发现阶段排除</x:v>
      </x:c>
      <x:c r="B149" s="6" t="str"/>
      <x:c r="C149" s="6" t="str"/>
      <x:c r="D149" s="6" t="str">
        <x:v>中国招标投标公共服务平台</x:v>
      </x:c>
      <x:c r="E149" s="6" t="str">
        <x:v>http://testbulletin.cebpubservice.com/bank/biddingBulletin/index_912.html</x:v>
      </x:c>
      <x:c r="F149" s="6" t="str">
        <x:v>未纳入主表</x:v>
      </x:c>
      <x:c r="G149" s="6" t="str">
        <x:v>返回摘要未见比亚迪供应商或品牌证据，不计为比亚迪采购项目</x:v>
      </x:c>
      <x:c r="H149" s="6" t="str">
        <x:v>http://testbulletin.cebpubservice.com/bank/biddingBulletin/index_912.html</x:v>
      </x:c>
    </x:row>
    <x:row r="150" ht="40" customHeight="1">
      <x:c r="A150" s="6" t="str">
        <x:v>发现阶段排除</x:v>
      </x:c>
      <x:c r="B150" s="6" t="str"/>
      <x:c r="C150" s="6" t="str"/>
      <x:c r="D150" s="6" t="str">
        <x:v>中国招标投标公共服务平台</x:v>
      </x:c>
      <x:c r="E150" s="6" t="str">
        <x:v>http://testbulletin.cebpubservice.com/cms/</x:v>
      </x:c>
      <x:c r="F150" s="6" t="str">
        <x:v>未纳入主表</x:v>
      </x:c>
      <x:c r="G150" s="6" t="str">
        <x:v>返回摘要未见比亚迪供应商或品牌证据，不计为比亚迪采购项目</x:v>
      </x:c>
      <x:c r="H150" s="6" t="str">
        <x:v>http://testbulletin.cebpubservice.com/cms/</x:v>
      </x:c>
    </x:row>
    <x:row r="151" ht="56" customHeight="1">
      <x:c r="A151" s="6" t="str">
        <x:v>发现阶段排除</x:v>
      </x:c>
      <x:c r="B151" s="6" t="str"/>
      <x:c r="C151" s="6" t="str"/>
      <x:c r="D151" s="6" t="str">
        <x:v>中国招标投标公共服务平台</x:v>
      </x:c>
      <x:c r="E151" s="6" t="str">
        <x:v>http://testbulletin.cebpubservice.com/bank/biddingBulletin/2018-05-09/41363.html</x:v>
      </x:c>
      <x:c r="F151" s="6" t="str">
        <x:v>未纳入主表</x:v>
      </x:c>
      <x:c r="G151" s="6" t="str">
        <x:v>日期超出一年窗口</x:v>
      </x:c>
      <x:c r="H151" s="6" t="str">
        <x:v>http://testbulletin.cebpubservice.com/bank/biddingBulletin/2018-05-09/41363.html</x:v>
      </x:c>
    </x:row>
    <x:row r="152" ht="56" customHeight="1">
      <x:c r="A152" s="6" t="str">
        <x:v>发现阶段排除</x:v>
      </x:c>
      <x:c r="B152" s="6" t="str"/>
      <x:c r="C152" s="6" t="str"/>
      <x:c r="D152" s="6" t="str">
        <x:v>中国招标投标公共服务平台</x:v>
      </x:c>
      <x:c r="E152" s="6" t="str">
        <x:v>http://testbulletin.cebpubservice.com/bank/biddingBulletin/2018-06-15/43230.html</x:v>
      </x:c>
      <x:c r="F152" s="6" t="str">
        <x:v>未纳入主表</x:v>
      </x:c>
      <x:c r="G152" s="6" t="str">
        <x:v>日期超出一年窗口</x:v>
      </x:c>
      <x:c r="H152" s="6" t="str">
        <x:v>http://testbulletin.cebpubservice.com/bank/biddingBulletin/2018-06-15/43230.html</x:v>
      </x:c>
    </x:row>
    <x:row r="153" ht="40" customHeight="1">
      <x:c r="A153" s="6" t="str">
        <x:v>发现阶段排除</x:v>
      </x:c>
      <x:c r="B153" s="6" t="str"/>
      <x:c r="C153" s="6" t="str"/>
      <x:c r="D153" s="6" t="str">
        <x:v>中国招标投标公共服务平台</x:v>
      </x:c>
      <x:c r="E153" s="6" t="str">
        <x:v>http://testbulletin.cebpubservice.com/bank/biddingBulletin/index_838.html</x:v>
      </x:c>
      <x:c r="F153" s="6" t="str">
        <x:v>未纳入主表</x:v>
      </x:c>
      <x:c r="G153" s="6" t="str">
        <x:v>返回摘要未见比亚迪供应商或品牌证据，不计为比亚迪采购项目</x:v>
      </x:c>
      <x:c r="H153" s="6" t="str">
        <x:v>http://testbulletin.cebpubservice.com/bank/biddingBulletin/index_838.html</x:v>
      </x:c>
    </x:row>
    <x:row r="154" ht="56" customHeight="1">
      <x:c r="A154" s="6" t="str">
        <x:v>发现阶段排除</x:v>
      </x:c>
      <x:c r="B154" s="6" t="str"/>
      <x:c r="C154" s="6" t="str"/>
      <x:c r="D154" s="6" t="str">
        <x:v>中国招标投标公共服务平台</x:v>
      </x:c>
      <x:c r="E154" s="6" t="str">
        <x:v>http://testbulletin.cebpubservice.com/bank/biddingBulletin/2018-06-15/42704.html</x:v>
      </x:c>
      <x:c r="F154" s="6" t="str">
        <x:v>未纳入主表</x:v>
      </x:c>
      <x:c r="G154" s="6" t="str">
        <x:v>返回摘要未见比亚迪供应商或品牌证据，不计为比亚迪采购项目</x:v>
      </x:c>
      <x:c r="H154" s="6" t="str">
        <x:v>http://testbulletin.cebpubservice.com/bank/biddingBulletin/2018-06-15/42704.html</x:v>
      </x:c>
    </x:row>
    <x:row r="155" ht="72" customHeight="1">
      <x:c r="A155" s="6" t="str">
        <x:v>发现阶段排除</x:v>
      </x:c>
      <x:c r="B155" s="6" t="str"/>
      <x:c r="C155" s="6" t="str"/>
      <x:c r="D155" s="6" t="str">
        <x:v>比亚迪公司储罐采购项目(二次）中标候选人公示</x:v>
      </x:c>
      <x:c r="E155" s="6" t="str">
        <x:v>https://www.chengezhao.com/system/download/zbywDownload.htm?bulletinId=4f54e73f5b985735912cd90c7f9cceec&amp;fileId=493fe1b8-535b-4aa2-93c9-3a36dd0c16c5</x:v>
      </x:c>
      <x:c r="F155" s="6" t="str">
        <x:v>未纳入主表</x:v>
      </x:c>
      <x:c r="G155" s="6" t="str">
        <x:v>与O011为同一储罐项目候选公告的PDF附件，不重复计入采购公告</x:v>
      </x:c>
      <x:c r="H155" s="6" t="str">
        <x:v>https://www.chengezhao.com/system/download/zbywDownload.htm?bulletinId=4f54e73f5b985735912cd90c7f9cceec&amp;fileId=493fe1b8-535b-4aa2-93c9-3a36dd0c16c5</x:v>
      </x:c>
    </x:row>
    <x:row r="156" ht="40" customHeight="1">
      <x:c r="A156" s="6" t="str">
        <x:v>发现阶段排除</x:v>
      </x:c>
      <x:c r="B156" s="6" t="str"/>
      <x:c r="C156" s="6" t="str"/>
      <x:c r="D156" s="6" t="str">
        <x:v>比亚迪公司分级机采购项目(二次)招标公告丨光速招标海量免费标讯</x:v>
      </x:c>
      <x:c r="E156" s="6" t="str">
        <x:v>https://www.guangsuzb.com/bidding_v_2082152201305640967.html</x:v>
      </x:c>
      <x:c r="F156" s="6" t="str">
        <x:v>未纳入主表</x:v>
      </x:c>
      <x:c r="G156" s="6" t="str">
        <x:v>非采购原始发布平台；不计入采购公告或事实</x:v>
      </x:c>
      <x:c r="H156" s="6" t="str">
        <x:v>https://www.guangsuzb.com/bidding_v_2082152201305640967.html</x:v>
      </x:c>
    </x:row>
    <x:row r="157" ht="40" customHeight="1">
      <x:c r="A157" s="6" t="str">
        <x:v>发现阶段排除</x:v>
      </x:c>
      <x:c r="B157" s="6" t="str"/>
      <x:c r="C157" s="6" t="str"/>
      <x:c r="D157" s="6" t="str">
        <x:v>比亚迪公司储罐采购项目(二次)招标公告 - 污水处理设备材料</x:v>
      </x:c>
      <x:c r="E157" s="6" t="str">
        <x:v>https://www.dowater.com/zhaobiao/2026-08-11/12809369.asp</x:v>
      </x:c>
      <x:c r="F157" s="6" t="str">
        <x:v>未纳入主表</x:v>
      </x:c>
      <x:c r="G157" s="6" t="str">
        <x:v>非采购原始发布平台；不计入采购公告或事实</x:v>
      </x:c>
      <x:c r="H157" s="6" t="str">
        <x:v>https://www.dowater.com/zhaobiao/2026-08-11/12809369.asp</x:v>
      </x:c>
    </x:row>
    <x:row r="158" ht="56" customHeight="1">
      <x:c r="A158" s="6" t="str">
        <x:v>发现阶段排除</x:v>
      </x:c>
      <x:c r="B158" s="6" t="str"/>
      <x:c r="C158" s="6" t="str"/>
      <x:c r="D158" s="6" t="str">
        <x:v>H股双语2025年年报</x:v>
      </x:c>
      <x:c r="E158" s="6" t="str">
        <x:v>https://www.hkexnews.hk/listedco/listconews/sehk/2026/0327/2026032703009_c.pdf</x:v>
      </x:c>
      <x:c r="F158" s="6" t="str">
        <x:v>未纳入主表</x:v>
      </x:c>
      <x:c r="G158" s="6" t="str">
        <x:v>与A股年报报告期重复，使用巨潮完整原文；不重复统计同一财务事实。</x:v>
      </x:c>
      <x:c r="H158" s="6" t="str">
        <x:v>https://www.hkexnews.hk/listedco/listconews/sehk/2026/0327/2026032703009_c.pdf</x:v>
      </x:c>
    </x:row>
    <x:row r="159" ht="40" customHeight="1">
      <x:c r="A159" s="6" t="str">
        <x:v>发现阶段排除</x:v>
      </x:c>
      <x:c r="B159" s="6" t="str"/>
      <x:c r="C159" s="6" t="str"/>
      <x:c r="D159" s="6" t="str">
        <x:v>比亚迪9月销量解读</x:v>
      </x:c>
      <x:c r="E159" s="6" t="str">
        <x:v>https://chejiahao.autohome.com.cn/info/26598691</x:v>
      </x:c>
      <x:c r="F159" s="6" t="str">
        <x:v>未纳入主表</x:v>
      </x:c>
      <x:c r="G159" s="6" t="str">
        <x:v>二手媒体海外乘用车及皮卡口径与官方出口口径不同；未采纳其179877及1337831数值。</x:v>
      </x:c>
      <x:c r="H159" s="6" t="str">
        <x:v>https://chejiahao.autohome.com.cn/info/26598691</x:v>
      </x:c>
    </x:row>
    <x:row r="160" ht="40" customHeight="1">
      <x:c r="A160" s="6" t="str">
        <x:v>发现阶段排除</x:v>
      </x:c>
      <x:c r="B160" s="6" t="str"/>
      <x:c r="C160" s="6" t="str"/>
      <x:c r="D160" s="6" t="str">
        <x:v>2026年9月产销快报A股媒体发布</x:v>
      </x:c>
      <x:c r="E160" s="6" t="str">
        <x:v>https://paper.cnstock.com/html/2026-10/08/content_2274628.htm</x:v>
      </x:c>
      <x:c r="F160" s="6" t="str">
        <x:v>未纳入主表</x:v>
      </x:c>
      <x:c r="G160" s="6" t="str">
        <x:v>正式公告转载中表格为图片；已取得港交所PDF原表，同期数据不重复入事实表。</x:v>
      </x:c>
      <x:c r="H160" s="6" t="str">
        <x:v>https://paper.cnstock.com/html/2026-10/08/content_2274628.htm</x:v>
      </x:c>
    </x:row>
    <x:row r="161" ht="40" customHeight="1">
      <x:c r="A161" s="6" t="str">
        <x:v>复核纠正或降级</x:v>
      </x:c>
      <x:c r="B161" s="6" t="str">
        <x:v>O001</x:v>
      </x:c>
      <x:c r="C161" s="6" t="str"/>
      <x:c r="D161" s="6" t="str">
        <x:v>currency/amount_cny</x:v>
      </x:c>
      <x:c r="E161" s="6" t="str">
        <x:v>{"currency":"CNY","amount_cny":2500000}</x:v>
      </x:c>
      <x:c r="F161" s="6" t="str">
        <x:v>{"currency":null,"amount_cny":null,"amount_numeric_raw":2500000,"unit":"元"}</x:v>
      </x:c>
      <x:c r="G161" s="6" t="str">
        <x:v>该项目金额条款仅写元/万元，未明确人民币；O014人民币只修饰500元招标文件费用，不能自动外推采购预算。保留未确认币种的原数值，不折算为CNY。</x:v>
      </x:c>
      <x:c r="H161" s="6" t="str">
        <x:v>O001；行/页 21</x:v>
      </x:c>
    </x:row>
    <x:row r="162" ht="40" customHeight="1">
      <x:c r="A162" s="6" t="str">
        <x:v>复核纠正或降级</x:v>
      </x:c>
      <x:c r="B162" s="6" t="str">
        <x:v>O002</x:v>
      </x:c>
      <x:c r="C162" s="6" t="str"/>
      <x:c r="D162" s="6" t="str">
        <x:v>currency/amount_cny</x:v>
      </x:c>
      <x:c r="E162" s="6" t="str">
        <x:v>{"currency":"CNY","amount_cny":5000000}</x:v>
      </x:c>
      <x:c r="F162" s="6" t="str">
        <x:v>{"currency":null,"amount_cny":null,"amount_numeric_raw":5000000,"unit":"元"}</x:v>
      </x:c>
      <x:c r="G162" s="6" t="str">
        <x:v>该项目金额条款仅写元/万元，未明确人民币；O014人民币只修饰500元招标文件费用，不能自动外推采购预算。保留未确认币种的原数值，不折算为CNY。</x:v>
      </x:c>
      <x:c r="H162" s="6" t="str">
        <x:v>O002；行/页 19</x:v>
      </x:c>
    </x:row>
    <x:row r="163" ht="40" customHeight="1">
      <x:c r="A163" s="6" t="str">
        <x:v>复核纠正或降级</x:v>
      </x:c>
      <x:c r="B163" s="6" t="str">
        <x:v>O003</x:v>
      </x:c>
      <x:c r="C163" s="6" t="str"/>
      <x:c r="D163" s="6" t="str">
        <x:v>currency/amount_cny</x:v>
      </x:c>
      <x:c r="E163" s="6" t="str">
        <x:v>{"currency":"CNY","amount_cny":7000000}</x:v>
      </x:c>
      <x:c r="F163" s="6" t="str">
        <x:v>{"currency":null,"amount_cny":null,"amount_numeric_raw":7000000,"unit":"元"}</x:v>
      </x:c>
      <x:c r="G163" s="6" t="str">
        <x:v>该项目金额条款仅写元/万元，未明确人民币；O014人民币只修饰500元招标文件费用，不能自动外推采购预算。保留未确认币种的原数值，不折算为CNY。</x:v>
      </x:c>
      <x:c r="H163" s="6" t="str">
        <x:v>O003；行/页 22</x:v>
      </x:c>
    </x:row>
    <x:row r="164" ht="40" customHeight="1">
      <x:c r="A164" s="6" t="str">
        <x:v>复核纠正或降级</x:v>
      </x:c>
      <x:c r="B164" s="6" t="str">
        <x:v>O004</x:v>
      </x:c>
      <x:c r="C164" s="6" t="str"/>
      <x:c r="D164" s="6" t="str">
        <x:v>currency/amount_cny</x:v>
      </x:c>
      <x:c r="E164" s="6" t="str">
        <x:v>{"currency":"CNY","amount_cny":1370000}</x:v>
      </x:c>
      <x:c r="F164" s="6" t="str">
        <x:v>{"currency":null,"amount_cny":null,"amount_numeric_raw":1370000,"unit":"元"}</x:v>
      </x:c>
      <x:c r="G164" s="6" t="str">
        <x:v>该项目金额条款仅写元/万元，未明确人民币；O014人民币只修饰500元招标文件费用，不能自动外推采购预算。保留未确认币种的原数值，不折算为CNY。</x:v>
      </x:c>
      <x:c r="H164" s="6" t="str">
        <x:v>O004；行/页 116</x:v>
      </x:c>
    </x:row>
    <x:row r="165" ht="40" customHeight="1">
      <x:c r="A165" s="6" t="str">
        <x:v>复核纠正或降级</x:v>
      </x:c>
      <x:c r="B165" s="6" t="str">
        <x:v>O006</x:v>
      </x:c>
      <x:c r="C165" s="6" t="str"/>
      <x:c r="D165" s="6" t="str">
        <x:v>currency/amount_cny</x:v>
      </x:c>
      <x:c r="E165" s="6" t="str">
        <x:v>{"currency":"CNY","amount_cny":3900000}</x:v>
      </x:c>
      <x:c r="F165" s="6" t="str">
        <x:v>{"currency":null,"amount_cny":null,"amount_numeric_raw":3900000,"unit":"元"}</x:v>
      </x:c>
      <x:c r="G165" s="6" t="str">
        <x:v>该项目金额条款仅写元/万元，未明确人民币；O014人民币只修饰500元招标文件费用，不能自动外推采购预算。保留未确认币种的原数值，不折算为CNY。</x:v>
      </x:c>
      <x:c r="H165" s="6" t="str">
        <x:v>O006；行/页 18</x:v>
      </x:c>
    </x:row>
    <x:row r="166" ht="40" customHeight="1">
      <x:c r="A166" s="6" t="str">
        <x:v>复核纠正或降级</x:v>
      </x:c>
      <x:c r="B166" s="6" t="str">
        <x:v>O007</x:v>
      </x:c>
      <x:c r="C166" s="6" t="str"/>
      <x:c r="D166" s="6" t="str">
        <x:v>currency/amount_cny</x:v>
      </x:c>
      <x:c r="E166" s="6" t="str">
        <x:v>{"currency":"CNY","amount_cny":2000000}</x:v>
      </x:c>
      <x:c r="F166" s="6" t="str">
        <x:v>{"currency":null,"amount_cny":null,"amount_numeric_raw":2000000,"unit":"元"}</x:v>
      </x:c>
      <x:c r="G166" s="6" t="str">
        <x:v>该项目金额条款仅写元/万元，未明确人民币；O014人民币只修饰500元招标文件费用，不能自动外推采购预算。保留未确认币种的原数值，不折算为CNY。</x:v>
      </x:c>
      <x:c r="H166" s="6" t="str">
        <x:v>O007；行/页 27</x:v>
      </x:c>
    </x:row>
    <x:row r="167" ht="40" customHeight="1">
      <x:c r="A167" s="6" t="str">
        <x:v>复核纠正或降级</x:v>
      </x:c>
      <x:c r="B167" s="6" t="str">
        <x:v>O008</x:v>
      </x:c>
      <x:c r="C167" s="6" t="str"/>
      <x:c r="D167" s="6" t="str">
        <x:v>currency/amount_cny</x:v>
      </x:c>
      <x:c r="E167" s="6" t="str">
        <x:v>{"currency":"CNY","amount_cny":1160000}</x:v>
      </x:c>
      <x:c r="F167" s="6" t="str">
        <x:v>{"currency":null,"amount_cny":null,"amount_numeric_raw":1160000,"unit":"元"}</x:v>
      </x:c>
      <x:c r="G167" s="6" t="str">
        <x:v>该项目金额条款仅写元/万元，未明确人民币；O014人民币只修饰500元招标文件费用，不能自动外推采购预算。保留未确认币种的原数值，不折算为CNY。</x:v>
      </x:c>
      <x:c r="H167" s="6" t="str">
        <x:v>O008；行/页 21</x:v>
      </x:c>
    </x:row>
    <x:row r="168" ht="40" customHeight="1">
      <x:c r="A168" s="6" t="str">
        <x:v>复核纠正或降级</x:v>
      </x:c>
      <x:c r="B168" s="6" t="str">
        <x:v>O010</x:v>
      </x:c>
      <x:c r="C168" s="6" t="str"/>
      <x:c r="D168" s="6" t="str">
        <x:v>currency/amount_cny</x:v>
      </x:c>
      <x:c r="E168" s="6" t="str">
        <x:v>{"currency":"CNY","amount_cny":21323100}</x:v>
      </x:c>
      <x:c r="F168" s="6" t="str">
        <x:v>{"currency":null,"amount_cny":null,"amount_numeric_raw":21323100,"unit":"元"}</x:v>
      </x:c>
      <x:c r="G168" s="6" t="str">
        <x:v>该项目金额条款仅写元/万元，未明确人民币；O014人民币只修饰500元招标文件费用，不能自动外推采购预算。保留未确认币种的原数值，不折算为CNY。</x:v>
      </x:c>
      <x:c r="H168" s="6" t="str">
        <x:v>O010；行/页 19</x:v>
      </x:c>
    </x:row>
    <x:row r="169" ht="40" customHeight="1">
      <x:c r="A169" s="6" t="str">
        <x:v>复核纠正或降级</x:v>
      </x:c>
      <x:c r="B169" s="6" t="str">
        <x:v>O011</x:v>
      </x:c>
      <x:c r="C169" s="6" t="str"/>
      <x:c r="D169" s="6" t="str">
        <x:v>currency/amount_cny</x:v>
      </x:c>
      <x:c r="E169" s="6" t="str">
        <x:v>{"currency":"CNY","amount_cny":115003}</x:v>
      </x:c>
      <x:c r="F169" s="6" t="str">
        <x:v>{"currency":null,"amount_cny":null,"amount_numeric_raw":115003,"unit":"元"}</x:v>
      </x:c>
      <x:c r="G169" s="6" t="str">
        <x:v>该项目金额条款仅写元/万元，未明确人民币；O014人民币只修饰500元招标文件费用，不能自动外推采购预算。保留未确认币种的原数值，不折算为CNY。</x:v>
      </x:c>
      <x:c r="H169" s="6" t="str">
        <x:v>O011；行/页 21</x:v>
      </x:c>
    </x:row>
    <x:row r="170" ht="40" customHeight="1">
      <x:c r="A170" s="6" t="str">
        <x:v>复核纠正或降级</x:v>
      </x:c>
      <x:c r="B170" s="6" t="str">
        <x:v>O013</x:v>
      </x:c>
      <x:c r="C170" s="6" t="str"/>
      <x:c r="D170" s="6" t="str">
        <x:v>currency/amount_cny</x:v>
      </x:c>
      <x:c r="E170" s="6" t="str">
        <x:v>{"currency":"CNY","amount_cny":294000}</x:v>
      </x:c>
      <x:c r="F170" s="6" t="str">
        <x:v>{"currency":null,"amount_cny":null,"amount_numeric_raw":294000,"unit":"元"}</x:v>
      </x:c>
      <x:c r="G170" s="6" t="str">
        <x:v>该项目金额条款仅写元/万元，未明确人民币；O014人民币只修饰500元招标文件费用，不能自动外推采购预算。保留未确认币种的原数值，不折算为CNY。</x:v>
      </x:c>
      <x:c r="H170" s="6" t="str">
        <x:v>O013；行/页 21</x:v>
      </x:c>
    </x:row>
    <x:row r="171" ht="40" customHeight="1">
      <x:c r="A171" s="6" t="str">
        <x:v>复核纠正或降级</x:v>
      </x:c>
      <x:c r="B171" s="6" t="str">
        <x:v>O014</x:v>
      </x:c>
      <x:c r="C171" s="6" t="str"/>
      <x:c r="D171" s="6" t="str">
        <x:v>currency/amount_cny</x:v>
      </x:c>
      <x:c r="E171" s="6" t="str">
        <x:v>{"currency":"CNY","amount_cny":465000}</x:v>
      </x:c>
      <x:c r="F171" s="6" t="str">
        <x:v>{"currency":null,"amount_cny":null,"amount_numeric_raw":465000,"unit":"元"}</x:v>
      </x:c>
      <x:c r="G171" s="6" t="str">
        <x:v>该项目金额条款仅写元/万元，未明确人民币；O014人民币只修饰500元招标文件费用，不能自动外推采购预算。保留未确认币种的原数值，不折算为CNY。</x:v>
      </x:c>
      <x:c r="H171" s="6" t="str">
        <x:v>O014；行/页 41</x:v>
      </x:c>
    </x:row>
    <x:row r="172" ht="40" customHeight="1">
      <x:c r="A172" s="6" t="str">
        <x:v>复核纠正或降级</x:v>
      </x:c>
      <x:c r="B172" s="6" t="str">
        <x:v>G001</x:v>
      </x:c>
      <x:c r="C172" s="6" t="str"/>
      <x:c r="D172" s="6" t="str">
        <x:v>currency/amount_cny</x:v>
      </x:c>
      <x:c r="E172" s="6" t="str">
        <x:v>{"currency":"CNY","amount_cny":132000}</x:v>
      </x:c>
      <x:c r="F172" s="6" t="str">
        <x:v>{"currency":null,"amount_cny":null,"amount_numeric_raw":132000,"unit":"元"}</x:v>
      </x:c>
      <x:c r="G172" s="6" t="str">
        <x:v>本项目对应公开文本仅明示元，未明确人民币；不能引用同一抓取文件中其他项目的人民币表头补币种。</x:v>
      </x:c>
      <x:c r="H172" s="6" t="str">
        <x:v>G001；行/页 178</x:v>
      </x:c>
    </x:row>
    <x:row r="173" ht="40" customHeight="1">
      <x:c r="A173" s="6" t="str">
        <x:v>复核纠正或降级</x:v>
      </x:c>
      <x:c r="B173" s="6" t="str">
        <x:v>G003</x:v>
      </x:c>
      <x:c r="C173" s="6" t="str"/>
      <x:c r="D173" s="6" t="str">
        <x:v>currency/amount_cny</x:v>
      </x:c>
      <x:c r="E173" s="6" t="str">
        <x:v>{"currency":"CNY","amount_cny":69980000}</x:v>
      </x:c>
      <x:c r="F173" s="6" t="str">
        <x:v>{"currency":null,"amount_cny":null,"amount_numeric_raw":69980000,"unit":"元"}</x:v>
      </x:c>
      <x:c r="G173" s="6" t="str">
        <x:v>本项目对应公开文本仅明示元，未明确人民币；不能引用同一抓取文件中其他项目的人民币表头补币种。</x:v>
      </x:c>
      <x:c r="H173" s="6" t="str">
        <x:v>G003；行/页 45</x:v>
      </x:c>
    </x:row>
    <x:row r="174" ht="40" customHeight="1">
      <x:c r="A174" s="6" t="str">
        <x:v>复核纠正或降级</x:v>
      </x:c>
      <x:c r="B174" s="6" t="str">
        <x:v>G001</x:v>
      </x:c>
      <x:c r="C174" s="6" t="str"/>
      <x:c r="D174" s="6" t="str">
        <x:v>facts.entity_name/公开采购联系人</x:v>
      </x:c>
      <x:c r="E174" s="6" t="str">
        <x:v>比亚迪汽车工业有限公司；阎工：66209829</x:v>
      </x:c>
      <x:c r="F174" s="6" t="str">
        <x:v>青岛市政务服务和公共资源交易中心；代理联系人阎工：66209829；移关联角色表</x:v>
      </x:c>
      <x:c r="G174" s="6" t="str">
        <x:v>官方正文联系人属于采购代理，不能当比亚迪集团员工或比亚迪供应商联系人。</x:v>
      </x:c>
      <x:c r="H174" s="6" t="str">
        <x:v>G001；行/页 963</x:v>
      </x:c>
    </x:row>
    <x:row r="175" ht="40" customHeight="1">
      <x:c r="A175" s="6" t="str">
        <x:v>复核纠正或降级</x:v>
      </x:c>
      <x:c r="B175" s="6" t="str">
        <x:v>G002</x:v>
      </x:c>
      <x:c r="C175" s="6" t="str"/>
      <x:c r="D175" s="6" t="str">
        <x:v>facts.entity_name/公开采购联系人</x:v>
      </x:c>
      <x:c r="E175" s="6" t="str">
        <x:v>比亚迪品牌；王清艳：0888-5120808</x:v>
      </x:c>
      <x:c r="F175" s="6" t="str">
        <x:v>丽江市政府采购和出让中心/项目联系人王清艳：0888-5120808；移关联角色表</x:v>
      </x:c>
      <x:c r="G175" s="6" t="str">
        <x:v>官方项目联系方式明确采购代理电话；这是政府采购项目联系人，非比亚迪员工。</x:v>
      </x:c>
      <x:c r="H175" s="6" t="str">
        <x:v>G002；行/页 1084</x:v>
      </x:c>
    </x:row>
    <x:row r="176" ht="34" customHeight="1">
      <x:c r="A176" s="6" t="str">
        <x:v>复核纠正或降级</x:v>
      </x:c>
      <x:c r="B176" s="6" t="str">
        <x:v>G002</x:v>
      </x:c>
      <x:c r="C176" s="6" t="str"/>
      <x:c r="D176" s="6" t="str">
        <x:v>facts.entity_name/成交总价</x:v>
      </x:c>
      <x:c r="E176" s="6" t="str">
        <x:v>比亚迪品牌；238800元</x:v>
      </x:c>
      <x:c r="F176" s="6" t="str">
        <x:v>玉溪倡迪汽车销售有限公司；成交总价238800元人民币</x:v>
      </x:c>
      <x:c r="G176" s="6" t="str">
        <x:v>成交主体为经销商，不是品牌本身；本公告表头明确人民币，可保留CNY。</x:v>
      </x:c>
      <x:c r="H176" s="6" t="str">
        <x:v>G002；行/页 1077</x:v>
      </x:c>
    </x:row>
    <x:row r="177" ht="56" customHeight="1">
      <x:c r="A177" s="6" t="str">
        <x:v>复核纠正或降级</x:v>
      </x:c>
      <x:c r="B177" s="6" t="str">
        <x:v>O002</x:v>
      </x:c>
      <x:c r="C177" s="6" t="str"/>
      <x:c r="D177" s="6" t="str">
        <x:v>招标代理项目负责人</x:v>
      </x:c>
      <x:c r="E177" s="6" t="str">
        <x:v>闵代道、郑沙、何琴琴、王玮、马姗姗、孙婉超、童本锋 电 话：18126131331、18617187621 电子邮件：mindd@chinaccs.cn、zhengsha@chinaccs.cn</x:v>
      </x:c>
      <x:c r="F177" s="6" t="str">
        <x:v>闵代道、郑沙、何琴琴、王玮、马姗姗、孙婉超、童本锋</x:v>
      </x:c>
      <x:c r="G177" s="6" t="str">
        <x:v>同一PDF提取行造成跨字段污染，项目负责人字段包含电话邮件、电话字段包含邮件；应按标签切分。</x:v>
      </x:c>
      <x:c r="H177" s="6" t="str">
        <x:v>O002；行/页 86</x:v>
      </x:c>
    </x:row>
    <x:row r="178" ht="40" customHeight="1">
      <x:c r="A178" s="6" t="str">
        <x:v>复核纠正或降级</x:v>
      </x:c>
      <x:c r="B178" s="6" t="str">
        <x:v>O002</x:v>
      </x:c>
      <x:c r="C178" s="6" t="str"/>
      <x:c r="D178" s="6" t="str">
        <x:v>招标代理联系电话</x:v>
      </x:c>
      <x:c r="E178" s="6" t="str">
        <x:v>18126131331、18617187621 电子邮件：mindd@chinaccs.cn、zhengsha@chinaccs.cn</x:v>
      </x:c>
      <x:c r="F178" s="6" t="str">
        <x:v>18126131331、18617187621</x:v>
      </x:c>
      <x:c r="G178" s="6" t="str">
        <x:v>同一PDF提取行造成跨字段污染，项目负责人字段包含电话邮件、电话字段包含邮件；应按标签切分。</x:v>
      </x:c>
      <x:c r="H178" s="6" t="str">
        <x:v>O002；行/页 86</x:v>
      </x:c>
    </x:row>
    <x:row r="179" ht="200" customHeight="1">
      <x:c r="A179" s="6" t="str">
        <x:v>复核纠正或降级</x:v>
      </x:c>
      <x:c r="B179" s="6" t="str">
        <x:v>O004</x:v>
      </x:c>
      <x:c r="C179" s="6" t="str"/>
      <x:c r="D179" s="6" t="str">
        <x:v>供应商资格</x:v>
      </x:c>
      <x:c r="E179" s="6" t="str">
        <x:v>3.2GHz，最高加速时钟频率≥4.1GHz，支持内存规格≥6400MT/s
★
GPU卡
配置≥16张GPU卡，每张显卡显存≥32GB，单卡FP32理论算力≥104TFLOPS，单卡FP16理论算力≥419TFLOPS，显存带宽≥1790 GB/s，CUDA核心数≥21760
★
内存
配置≥24根64G DDR55600MHz ECC RDIMM内存，支持≥24个DDR5 内存插槽，支持内存镜像、内存热备、内存故障隔离等多种保护模式;
★
硬盘
配置≥8个热插拔硬盘槽位，≥4块3.84TB NVMe U.2 SSD
★
PCIE扩展
最大可配置≥26个PCIe 5.0扩展插槽，可支持≥16个双宽GPU和≥8张高速网卡
★
网络
配置1张双口25G 光纤网卡带模块，≥1张单口400G NDR HCA卡（配400G NDR OSFP多模IB光模块），配套2x400G NDR OSFP多模双口IB光模块，20M MPO-MPO多模光纤线缆
</x:v>
      </x:c>
      <x:c r="F179" s="6" t="str">
        <x:v>3.2投标人必须是服务器的制造商或合法代理商。投标人是制造商的，须出具制造商声明函；投标人为代理商的，须提供代理商资格声明函及制造商(分公司、办事处授权无效)对本次投标项目出具的唯一、合法且有效的授权书。若同一制造商在本项目中授权两家或以上代理商参与投标，代理商均按无效标处理；制造商与其合法代理商同时参加本次投标，代理商按无效标处理。（按要求提供有效证明材料）。</x:v>
      </x:c>
      <x:c r="G179" s="6" t="str">
        <x:v>正则误把处理器3.2GHz起点当资格条款3.2，混入GPU等技术参数、预算和付款；应定位投标人资格要求章节。</x:v>
      </x:c>
      <x:c r="H179" s="6" t="str">
        <x:v>O004；行/页 128</x:v>
      </x:c>
    </x:row>
    <x:row r="180" ht="200" customHeight="1">
      <x:c r="A180" s="6" t="str">
        <x:v>复核纠正或降级</x:v>
      </x:c>
      <x:c r="B180" s="6" t="str">
        <x:v>O004</x:v>
      </x:c>
      <x:c r="C180" s="6" t="str"/>
      <x:c r="D180" s="6" t="str">
        <x:v>供应商资格</x:v>
      </x:c>
      <x:c r="E180" s="6" t="str">
        <x:v>
★
电源
配置≥10个热插拔铂金冗余电源，单个电源功率≥3200W，支持电源N+N冗余
★
风扇
配置≥20个8080热插拔风扇，支持N+1冗余
★
管理
集成BMC芯片，对外提供1个1Gbps RJ45管理口，支持Redfish、SNMP、IPMI2.0等标准接口，基于iKVM/HTML5的远程管理界面，提供全面的故障诊断、自动化运维、远程管理的功能，支持BMC双flash冗余备份，BIOS支持中文界面。
服务
3年原厂整机质保带硬盘保留，3年原厂免费上门服务（提供原厂项目授权函以及原厂服务承诺函）
★
集群调优服务
现网4台海光BW1000相关HPC集群系统调试调优服务和培训服务
★
验收要求
稳定运行3个月无故障通过验收。有故障供应商无法解决，招标人有权要求退货。
2.3项目预算及付款条件：项目不含税预算金额137万元。付款方式：预付30%,到货凭票付30%,验收合格后凭票付30%,质保一年付10%;全部6个月商票。
2.4</x:v>
      </x:c>
      <x:c r="F180" s="6" t="str"/>
      <x:c r="G180" s="6" t="str"/>
      <x:c r="H180" s="6" t="str">
        <x:v>O004；行/页 128</x:v>
      </x:c>
    </x:row>
    <x:row r="181" ht="168" customHeight="1">
      <x:c r="A181" s="6" t="str">
        <x:v>复核纠正或降级</x:v>
      </x:c>
      <x:c r="B181" s="6" t="str">
        <x:v>O004</x:v>
      </x:c>
      <x:c r="C181" s="6" t="str"/>
      <x:c r="D181" s="6" t="str">
        <x:v>供应商资格</x:v>
      </x:c>
      <x:c r="E181" s="6" t="str">
        <x:v>标包划分：不划分标包。
2.5交货期限：签订合同后 60天内交货。
2.6交货地点：深圳市
## 三、投标人资格要求
3.1投标人须为在中华人民共和国境内依法登记的法人或其他组织，具有独立承担民事责任的能力。（须提供营业执照或事业单位法人证书等证明资料扫描件。分支机构参与投标的，须取得具有法人资格的总公司（或总部机构）出具给分支机构的授权书，并提供总公司（或总部机构）和分支机构的营业执照复印件）。
3.2投标人必须是服务器的制造商或合法代理商。投标人是制造商的，须出具制造商声明函；投标人为代理商的，须提供代理商资格声明函及制造商(分公司、办事处授权无效)对本次投标项目出具的唯一、合法且有效的授权书。若同一制造商在本项目中授权两家或以上代理商参与投标，代理商均按无效标处理；制造商与其合法代理商同时参加本次投标，代理商按无效标处理。（按要求提供有效证明材料）。</x:v>
      </x:c>
      <x:c r="F181" s="6" t="str"/>
      <x:c r="G181" s="6" t="str"/>
      <x:c r="H181" s="6" t="str">
        <x:v>O004；行/页 128</x:v>
      </x:c>
    </x:row>
    <x:row r="182" ht="34" customHeight="1">
      <x:c r="A182" s="6" t="str">
        <x:v>复核纠正或降级</x:v>
      </x:c>
      <x:c r="B182" s="6" t="str">
        <x:v>O003</x:v>
      </x:c>
      <x:c r="C182" s="6" t="str"/>
      <x:c r="D182" s="6" t="str">
        <x:v>招标代理电子邮件（有效性）</x:v>
      </x:c>
      <x:c r="E182" s="6" t="str">
        <x:v>mindd@@chinaccs.cn</x:v>
      </x:c>
      <x:c r="F182" s="6" t="str">
        <x:v>原文双@保留；邮箱格式异常、待核，不作为可发送邮箱</x:v>
      </x:c>
      <x:c r="G182" s="6" t="str">
        <x:v>此处原文笔误，已有其他公告单@不能在本项目上静默改写。</x:v>
      </x:c>
      <x:c r="H182" s="6" t="str">
        <x:v>O003；行/页 106</x:v>
      </x:c>
    </x:row>
    <x:row r="183" ht="34" customHeight="1">
      <x:c r="A183" s="6" t="str">
        <x:v>复核纠正或降级</x:v>
      </x:c>
      <x:c r="B183" s="6" t="str">
        <x:v>O002</x:v>
      </x:c>
      <x:c r="C183" s="6" t="str"/>
      <x:c r="D183" s="6" t="str">
        <x:v>公告采购方联系地址</x:v>
      </x:c>
      <x:c r="E183" s="6" t="str">
        <x:v>深圳市坪由区坑梓街道秀沙路 5 号坑梓比亚迪二期</x:v>
      </x:c>
      <x:c r="F183" s="6" t="str">
        <x:v>原文坪由区保留并标记疑似提取/原文笔误、行政区待核；不得当已核实地址</x:v>
      </x:c>
      <x:c r="G183" s="6" t="str">
        <x:v>地址可能有文字错误，未读取原PDF图像不能自动纠正成坪山区。</x:v>
      </x:c>
      <x:c r="H183" s="6" t="str">
        <x:v>O002；行/页 82</x:v>
      </x:c>
    </x:row>
    <x:row r="184" ht="56" customHeight="1">
      <x:c r="A184" s="6" t="str">
        <x:v>复核纠正或降级</x:v>
      </x:c>
      <x:c r="B184" s="6" t="str">
        <x:v>O011</x:v>
      </x:c>
      <x:c r="C184" s="6" t="str"/>
      <x:c r="D184" s="6" t="str">
        <x:v>published_date/as_of/publication_date</x:v>
      </x:c>
      <x:c r="E184" s="6" t="str">
        <x:v>2026-09-02</x:v>
      </x:c>
      <x:c r="F184" s="6" t="str">
        <x:v>{"original_announcement_date":"2026-09-01","platform_publish_date":"2026-09-02"}</x:v>
      </x:c>
      <x:c r="G184" s="6" t="str">
        <x:v>官方原PDF O009落款9月1日，正文公示期亦9月1日起；原公告日期和网页发布日期要分列，近一年窗口使用原公告日期。</x:v>
      </x:c>
      <x:c r="H184" s="6" t="str">
        <x:v>O011；行/页 29</x:v>
      </x:c>
    </x:row>
    <x:row r="185" ht="56" customHeight="1">
      <x:c r="A185" s="6" t="str">
        <x:v>复核纠正或降级</x:v>
      </x:c>
      <x:c r="B185" s="6" t="str">
        <x:v>J001</x:v>
      </x:c>
      <x:c r="C185" s="6" t="str"/>
      <x:c r="D185" s="6" t="str">
        <x:v>published_date</x:v>
      </x:c>
      <x:c r="E185" s="6" t="str">
        <x:v>2026-02-16</x:v>
      </x:c>
      <x:c r="F185" s="6" t="str">
        <x:v>{"earliest_observed_publish_date":"2026-02-15","J001_republish_date":"2026-02-16","original_announcement_date":"待核"}</x:v>
      </x:c>
      <x:c r="G185" s="6" t="str">
        <x:v>同标题同采购主体和维修保养范围的B010转载早于J001一天，但B010编号遮挡；J001日期不可称原公告日期；两个转载正文未取得守正原始发布日期。</x:v>
      </x:c>
      <x:c r="H185" s="6" t="str">
        <x:v>J001；行/页 11</x:v>
      </x:c>
    </x:row>
    <x:row r="186" ht="34" customHeight="1">
      <x:c r="A186" s="6" t="str">
        <x:v>复核纠正或降级</x:v>
      </x:c>
      <x:c r="B186" s="6" t="str">
        <x:v>J010</x:v>
      </x:c>
      <x:c r="C186" s="6" t="str"/>
      <x:c r="D186" s="6" t="str">
        <x:v>登记成立日期</x:v>
      </x:c>
      <x:c r="E186" s="6" t="str">
        <x:v>2006-08-03</x:v>
      </x:c>
      <x:c r="F186" s="6" t="str">
        <x:v>历史二手参考，排除近一年已核实企业事实</x:v>
      </x:c>
      <x:c r="G186" s="6" t="str">
        <x:v>发布日期2025-04-23窗外，且为平台新闻不能替代当前工商登记。</x:v>
      </x:c>
      <x:c r="H186" s="6" t="str">
        <x:v>J010；行/页 3</x:v>
      </x:c>
    </x:row>
    <x:row r="187" ht="34" customHeight="1">
      <x:c r="A187" s="6" t="str">
        <x:v>复核纠正或降级</x:v>
      </x:c>
      <x:c r="B187" s="6" t="str">
        <x:v>J010</x:v>
      </x:c>
      <x:c r="C187" s="6" t="str"/>
      <x:c r="D187" s="6" t="str">
        <x:v>法定代表人</x:v>
      </x:c>
      <x:c r="E187" s="6" t="str">
        <x:v>王传福</x:v>
      </x:c>
      <x:c r="F187" s="6" t="str">
        <x:v>历史二手参考，排除近一年已核实企业事实</x:v>
      </x:c>
      <x:c r="G187" s="6" t="str">
        <x:v>发布日期2025-04-23窗外，且为平台新闻不能替代当前工商登记。</x:v>
      </x:c>
      <x:c r="H187" s="6" t="str">
        <x:v>J010；行/页 3</x:v>
      </x:c>
    </x:row>
    <x:row r="188" ht="34" customHeight="1">
      <x:c r="A188" s="6" t="str">
        <x:v>复核纠正或降级</x:v>
      </x:c>
      <x:c r="B188" s="6" t="str">
        <x:v>J010</x:v>
      </x:c>
      <x:c r="C188" s="6" t="str"/>
      <x:c r="D188" s="6" t="str">
        <x:v>经营范围（节选）</x:v>
      </x:c>
      <x:c r="E188" s="6" t="str">
        <x:v>汽车、电动车及其零配件、汽车模具及其相关附件等</x:v>
      </x:c>
      <x:c r="F188" s="6" t="str">
        <x:v>历史二手参考，排除近一年已核实企业事实</x:v>
      </x:c>
      <x:c r="G188" s="6" t="str">
        <x:v>发布日期2025-04-23窗外，且为平台新闻不能替代当前工商登记。</x:v>
      </x:c>
      <x:c r="H188" s="6" t="str">
        <x:v>J010；行/页 3</x:v>
      </x:c>
    </x:row>
    <x:row r="189" ht="40" customHeight="1">
      <x:c r="A189" s="6" t="str">
        <x:v>复核纠正或降级</x:v>
      </x:c>
      <x:c r="B189" s="6" t="str">
        <x:v>B001</x:v>
      </x:c>
      <x:c r="C189" s="6" t="str"/>
      <x:c r="D189" s="6" t="str">
        <x:v>企业性质</x:v>
      </x:c>
      <x:c r="E189" s="6" t="str">
        <x:v>中外合资</x:v>
      </x:c>
      <x:c r="F189" s="6" t="str">
        <x:v>{"value":"中外合资","status":"无日期平台企业库摘要/待核","as_of":null}</x:v>
      </x:c>
      <x:c r="G189" s="6" t="str">
        <x:v>企业库没有更新或登记日期，仅能确认页面这样展示，不能证明近一年或当前登记事实；截断主营内容保持节选。</x:v>
      </x:c>
      <x:c r="H189" s="6" t="str">
        <x:v>B001；行/页 71</x:v>
      </x:c>
    </x:row>
    <x:row r="190" ht="40" customHeight="1">
      <x:c r="A190" s="6" t="str">
        <x:v>复核纠正或降级</x:v>
      </x:c>
      <x:c r="B190" s="6" t="str">
        <x:v>B001</x:v>
      </x:c>
      <x:c r="C190" s="6" t="str"/>
      <x:c r="D190" s="6" t="str">
        <x:v>所属行业</x:v>
      </x:c>
      <x:c r="E190" s="6" t="str">
        <x:v>交通运输</x:v>
      </x:c>
      <x:c r="F190" s="6" t="str">
        <x:v>{"value":"交通运输","status":"无日期平台企业库摘要/待核","as_of":null}</x:v>
      </x:c>
      <x:c r="G190" s="6" t="str">
        <x:v>企业库没有更新或登记日期，仅能确认页面这样展示，不能证明近一年或当前登记事实；截断主营内容保持节选。</x:v>
      </x:c>
      <x:c r="H190" s="6" t="str">
        <x:v>B001；行/页 73</x:v>
      </x:c>
    </x:row>
    <x:row r="191" ht="40" customHeight="1">
      <x:c r="A191" s="6" t="str">
        <x:v>复核纠正或降级</x:v>
      </x:c>
      <x:c r="B191" s="6" t="str">
        <x:v>B001</x:v>
      </x:c>
      <x:c r="C191" s="6" t="str"/>
      <x:c r="D191" s="6" t="str">
        <x:v>所属地区</x:v>
      </x:c>
      <x:c r="E191" s="6" t="str">
        <x:v>中国广东省深圳市</x:v>
      </x:c>
      <x:c r="F191" s="6" t="str">
        <x:v>{"value":"中国广东省深圳市","status":"无日期平台企业库摘要/待核","as_of":null}</x:v>
      </x:c>
      <x:c r="G191" s="6" t="str">
        <x:v>企业库没有更新或登记日期，仅能确认页面这样展示，不能证明近一年或当前登记事实；截断主营内容保持节选。</x:v>
      </x:c>
      <x:c r="H191" s="6" t="str">
        <x:v>B001；行/页 75</x:v>
      </x:c>
    </x:row>
    <x:row r="192" ht="40" customHeight="1">
      <x:c r="A192" s="6" t="str">
        <x:v>复核纠正或降级</x:v>
      </x:c>
      <x:c r="B192" s="6" t="str">
        <x:v>B001</x:v>
      </x:c>
      <x:c r="C192" s="6" t="str"/>
      <x:c r="D192" s="6" t="str">
        <x:v>注册资本</x:v>
      </x:c>
      <x:c r="E192" s="6" t="str">
        <x:v>375765.45</x:v>
      </x:c>
      <x:c r="F192" s="6" t="str">
        <x:v>{"value":375765.45,"status":"无日期平台企业库摘要/待核","as_of":null}</x:v>
      </x:c>
      <x:c r="G192" s="6" t="str">
        <x:v>企业库没有更新或登记日期，仅能确认页面这样展示，不能证明近一年或当前登记事实；截断主营内容保持节选。</x:v>
      </x:c>
      <x:c r="H192" s="6" t="str">
        <x:v>B001；行/页 77</x:v>
      </x:c>
    </x:row>
    <x:row r="193" ht="40" customHeight="1">
      <x:c r="A193" s="6" t="str">
        <x:v>复核纠正或降级</x:v>
      </x:c>
      <x:c r="B193" s="6" t="str">
        <x:v>B001</x:v>
      </x:c>
      <x:c r="C193" s="6" t="str"/>
      <x:c r="D193" s="6" t="str">
        <x:v>经营模式</x:v>
      </x:c>
      <x:c r="E193" s="6" t="str">
        <x:v>生产型</x:v>
      </x:c>
      <x:c r="F193" s="6" t="str">
        <x:v>{"value":"生产型","status":"无日期平台企业库摘要/待核","as_of":null}</x:v>
      </x:c>
      <x:c r="G193" s="6" t="str">
        <x:v>企业库没有更新或登记日期，仅能确认页面这样展示，不能证明近一年或当前登记事实；截断主营内容保持节选。</x:v>
      </x:c>
      <x:c r="H193" s="6" t="str">
        <x:v>B001；行/页 79</x:v>
      </x:c>
    </x:row>
    <x:row r="194" ht="40" customHeight="1">
      <x:c r="A194" s="6" t="str">
        <x:v>复核纠正或降级</x:v>
      </x:c>
      <x:c r="B194" s="6" t="str">
        <x:v>B001</x:v>
      </x:c>
      <x:c r="C194" s="6" t="str"/>
      <x:c r="D194" s="6" t="str">
        <x:v>主营产品摘要</x:v>
      </x:c>
      <x:c r="E194" s="6" t="str">
        <x:v>一般经营项目是：汽车、电动车及其零配件、汽...</x:v>
      </x:c>
      <x:c r="F194" s="6" t="str">
        <x:v>{"value":"一般经营项目是：汽车、电动车及其零配件、汽...","status":"无日期平台企业库摘要/待核","as_of":null}</x:v>
      </x:c>
      <x:c r="G194" s="6" t="str">
        <x:v>企业库没有更新或登记日期，仅能确认页面这样展示，不能证明近一年或当前登记事实；截断主营内容保持节选。</x:v>
      </x:c>
      <x:c r="H194" s="6" t="str">
        <x:v>B001；行/页 None</x:v>
      </x:c>
    </x:row>
    <x:row r="195" ht="40" customHeight="1">
      <x:c r="A195" s="6" t="str">
        <x:v>复核纠正或降级</x:v>
      </x:c>
      <x:c r="B195" s="6" t="str">
        <x:v>B001</x:v>
      </x:c>
      <x:c r="C195" s="6" t="str"/>
      <x:c r="D195" s="6" t="str">
        <x:v>企业性质</x:v>
      </x:c>
      <x:c r="E195" s="6" t="str">
        <x:v>私营企业</x:v>
      </x:c>
      <x:c r="F195" s="6" t="str">
        <x:v>{"value":"私营企业","status":"无日期平台企业库摘要/待核","as_of":null}</x:v>
      </x:c>
      <x:c r="G195" s="6" t="str">
        <x:v>企业库没有更新或登记日期，仅能确认页面这样展示，不能证明近一年或当前登记事实；截断主营内容保持节选。</x:v>
      </x:c>
      <x:c r="H195" s="6" t="str">
        <x:v>B001；行/页 85</x:v>
      </x:c>
    </x:row>
    <x:row r="196" ht="40" customHeight="1">
      <x:c r="A196" s="6" t="str">
        <x:v>复核纠正或降级</x:v>
      </x:c>
      <x:c r="B196" s="6" t="str">
        <x:v>B001</x:v>
      </x:c>
      <x:c r="C196" s="6" t="str"/>
      <x:c r="D196" s="6" t="str">
        <x:v>所属行业</x:v>
      </x:c>
      <x:c r="E196" s="6" t="str">
        <x:v>工程建筑行业</x:v>
      </x:c>
      <x:c r="F196" s="6" t="str">
        <x:v>{"value":"工程建筑行业","status":"无日期平台企业库摘要/待核","as_of":null}</x:v>
      </x:c>
      <x:c r="G196" s="6" t="str">
        <x:v>企业库没有更新或登记日期，仅能确认页面这样展示，不能证明近一年或当前登记事实；截断主营内容保持节选。</x:v>
      </x:c>
      <x:c r="H196" s="6" t="str">
        <x:v>B001；行/页 185</x:v>
      </x:c>
    </x:row>
    <x:row r="197" ht="40" customHeight="1">
      <x:c r="A197" s="6" t="str">
        <x:v>复核纠正或降级</x:v>
      </x:c>
      <x:c r="B197" s="6" t="str">
        <x:v>B001</x:v>
      </x:c>
      <x:c r="C197" s="6" t="str"/>
      <x:c r="D197" s="6" t="str">
        <x:v>所属地区</x:v>
      </x:c>
      <x:c r="E197" s="6" t="str">
        <x:v>中国广东省深圳市坪山区</x:v>
      </x:c>
      <x:c r="F197" s="6" t="str">
        <x:v>{"value":"中国广东省深圳市坪山区","status":"无日期平台企业库摘要/待核","as_of":null}</x:v>
      </x:c>
      <x:c r="G197" s="6" t="str">
        <x:v>企业库没有更新或登记日期，仅能确认页面这样展示，不能证明近一年或当前登记事实；截断主营内容保持节选。</x:v>
      </x:c>
      <x:c r="H197" s="6" t="str">
        <x:v>B001；行/页 187</x:v>
      </x:c>
    </x:row>
    <x:row r="198" ht="40" customHeight="1">
      <x:c r="A198" s="6" t="str">
        <x:v>复核纠正或降级</x:v>
      </x:c>
      <x:c r="B198" s="6" t="str">
        <x:v>B001</x:v>
      </x:c>
      <x:c r="C198" s="6" t="str"/>
      <x:c r="D198" s="6" t="str">
        <x:v>注册资本</x:v>
      </x:c>
      <x:c r="E198" s="14" t="str">
        <x:v>11000</x:v>
      </x:c>
      <x:c r="F198" s="6" t="str">
        <x:v>{"value":11000,"status":"无日期平台企业库摘要/待核","as_of":null}</x:v>
      </x:c>
      <x:c r="G198" s="6" t="str">
        <x:v>企业库没有更新或登记日期，仅能确认页面这样展示，不能证明近一年或当前登记事实；截断主营内容保持节选。</x:v>
      </x:c>
      <x:c r="H198" s="6" t="str">
        <x:v>B001；行/页 189</x:v>
      </x:c>
    </x:row>
    <x:row r="199" ht="40" customHeight="1">
      <x:c r="A199" s="6" t="str">
        <x:v>复核纠正或降级</x:v>
      </x:c>
      <x:c r="B199" s="6" t="str">
        <x:v>B001</x:v>
      </x:c>
      <x:c r="C199" s="6" t="str"/>
      <x:c r="D199" s="6" t="str">
        <x:v>主营产品摘要</x:v>
      </x:c>
      <x:c r="E199" s="6" t="str">
        <x:v>城市轨道信号、通信、自动售检票、综合监控、...</x:v>
      </x:c>
      <x:c r="F199" s="6" t="str">
        <x:v>{"value":"城市轨道信号、通信、自动售检票、综合监控、...","status":"无日期平台企业库摘要/待核","as_of":null}</x:v>
      </x:c>
      <x:c r="G199" s="6" t="str">
        <x:v>企业库没有更新或登记日期，仅能确认页面这样展示，不能证明近一年或当前登记事实；截断主营内容保持节选。</x:v>
      </x:c>
      <x:c r="H199" s="6" t="str">
        <x:v>B001；行/页 193</x:v>
      </x:c>
    </x:row>
    <x:row r="200" ht="34" customHeight="1">
      <x:c r="A200" s="6" t="str">
        <x:v>复核纠正或降级</x:v>
      </x:c>
      <x:c r="B200" s="6" t="str">
        <x:v>Q009</x:v>
      </x:c>
      <x:c r="C200" s="6" t="str"/>
      <x:c r="D200" s="6" t="str">
        <x:v>byd_role</x:v>
      </x:c>
      <x:c r="E200" s="6" t="str">
        <x:v>供应商</x:v>
      </x:c>
      <x:c r="F200" s="6" t="str">
        <x:v>框架协议入围供应商</x:v>
      </x:c>
      <x:c r="G200" s="6" t="str">
        <x:v>需明确框架入围，车型价格为入围商品单价，不能计实际成交额或集团采购额。</x:v>
      </x:c>
      <x:c r="H200" s="6" t="str">
        <x:v>Q009；行/页 158</x:v>
      </x:c>
    </x:row>
    <x:row r="201" ht="34" customHeight="1">
      <x:c r="A201" s="6" t="str">
        <x:v>复核纠正或降级</x:v>
      </x:c>
      <x:c r="B201" s="6" t="str">
        <x:v>J006</x:v>
      </x:c>
      <x:c r="C201" s="6" t="str"/>
      <x:c r="D201" s="6" t="str">
        <x:v>核验状态</x:v>
      </x:c>
      <x:c r="E201" s="6" t="str">
        <x:v>登录项目壳页</x:v>
      </x:c>
      <x:c r="F201" s="6" t="str">
        <x:v>待核线索；非独立已核实招采公告</x:v>
      </x:c>
      <x:c r="G201" s="6" t="str">
        <x:v>收集整理发布日期、标题与登录提示不足以确认采购方/项目金额/公告阶段。</x:v>
      </x:c>
      <x:c r="H201" s="6" t="str">
        <x:v>J006；行/页 11</x:v>
      </x:c>
    </x:row>
    <x:row r="202" ht="34" customHeight="1">
      <x:c r="A202" s="6" t="str">
        <x:v>复核纠正或降级</x:v>
      </x:c>
      <x:c r="B202" s="6" t="str">
        <x:v>J007</x:v>
      </x:c>
      <x:c r="C202" s="6" t="str"/>
      <x:c r="D202" s="6" t="str">
        <x:v>全部7条tenders核验状态</x:v>
      </x:c>
      <x:c r="E202" s="6" t="str">
        <x:v>待核摘要</x:v>
      </x:c>
      <x:c r="F202" s="6" t="str">
        <x:v>仅聚合摘要；7条线索逐条待核，非7条已核实独立公告</x:v>
      </x:c>
      <x:c r="G202" s="6" t="str">
        <x:v>没有独立公告正文/URL及完整采购角色证据，不能因摘要标题出现比亚迪而确认集团采购。</x:v>
      </x:c>
      <x:c r="H202" s="6" t="str">
        <x:v>J007；行/页 182</x:v>
      </x:c>
    </x:row>
    <x:row r="203" ht="34" customHeight="1">
      <x:c r="A203" s="6" t="str">
        <x:v>复核纠正或降级</x:v>
      </x:c>
      <x:c r="B203" s="6" t="str">
        <x:v>G003</x:v>
      </x:c>
      <x:c r="C203" s="6" t="str"/>
      <x:c r="D203" s="6" t="str">
        <x:v>最终中标状态</x:v>
      </x:c>
      <x:c r="E203" s="6" t="str">
        <x:v>第一候选人（二手）</x:v>
      </x:c>
      <x:c r="F203" s="6" t="str">
        <x:v>候选人（二手待核）；非已核实最终中标</x:v>
      </x:c>
      <x:c r="G203" s="6" t="str">
        <x:v>二手标题结果公告与正文候选公示不一致，G004新闻不能替代最终原始授标公告。</x:v>
      </x:c>
      <x:c r="H203" s="6" t="str">
        <x:v>G003；行/页 45</x:v>
      </x:c>
    </x:row>
    <x:row r="204" ht="40" customHeight="1">
      <x:c r="A204" s="6" t="str">
        <x:v>复核纠正或降级</x:v>
      </x:c>
      <x:c r="B204" s="6" t="str">
        <x:v>F004</x:v>
      </x:c>
      <x:c r="C204" s="6" t="str"/>
      <x:c r="D204" s="6" t="str">
        <x:v>香港投资者关系热线</x:v>
      </x:c>
      <x:c r="E204" s="14" t="str">
        <x:v>+852-21366185</x:v>
      </x:c>
      <x:c r="F204" s="14" t="str">
        <x:v>+852-21366185</x:v>
      </x:c>
      <x:c r="G204" s="6" t="str">
        <x:v>原文将该号码列为第三方顾问IPR公关热线；比亚迪自有投资者关系热线另为(+86)755-8988 8888-62126。原字段可能让读者误认自有香港投资者关系部门。</x:v>
      </x:c>
      <x:c r="H204" s="6" t="str">
        <x:v>F004；行/页 None</x:v>
      </x:c>
    </x:row>
    <x:row r="205" ht="40" customHeight="1">
      <x:c r="A205" s="6" t="str">
        <x:v>复核纠正或降级</x:v>
      </x:c>
      <x:c r="B205" s="6" t="str">
        <x:v>F002</x:v>
      </x:c>
      <x:c r="C205" s="6" t="str"/>
      <x:c r="D205" s="6" t="str">
        <x:v>汽车业务毛利率</x:v>
      </x:c>
      <x:c r="E205" s="6" t="str">
        <x:v>22.33</x:v>
      </x:c>
      <x:c r="F205" s="6" t="str">
        <x:v>22.33</x:v>
      </x:c>
      <x:c r="G205" s="6" t="str">
        <x:v>数值正确，但原文产品行包含汽车相关产品及其他产品；建议完整保留产品口径，避免被当成纯整车汽车业务毛利率。</x:v>
      </x:c>
      <x:c r="H205" s="6" t="str">
        <x:v>F002；行/页 26</x:v>
      </x:c>
    </x:row>
    <x:row r="206" ht="40" customHeight="1">
      <x:c r="A206" s="6" t="str">
        <x:v>公告去重</x:v>
      </x:c>
      <x:c r="B206" s="6" t="str">
        <x:v>Q004</x:v>
      </x:c>
      <x:c r="C206" s="6" t="str">
        <x:v>R0011</x:v>
      </x:c>
      <x:c r="D206" s="6" t="str">
        <x:v>比亚迪公司流化床采购项目（二次）中标候选人公示</x:v>
      </x:c>
      <x:c r="E206" s="6" t="str">
        <x:v>Q004</x:v>
      </x:c>
      <x:c r="F206" s="6" t="str">
        <x:v>O008</x:v>
      </x:c>
      <x:c r="G206" s="6" t="str">
        <x:v>独立审查确认为流化床二次同一候选公示</x:v>
      </x:c>
      <x:c r="H206" s="6" t="str">
        <x:v>https://www.qianlima.com/bid-623690843.html</x:v>
      </x:c>
    </x:row>
    <x:row r="207" ht="40" customHeight="1">
      <x:c r="A207" s="6" t="str">
        <x:v>跨阶段项目关联</x:v>
      </x:c>
      <x:c r="B207" s="6" t="str">
        <x:v>O001,O007,O008,Q004</x:v>
      </x:c>
      <x:c r="C207" s="6" t="str"/>
      <x:c r="D207" s="6" t="str">
        <x:v>公告阶段/项目族</x:v>
      </x:c>
      <x:c r="E207" s="6" t="str">
        <x:v>多个公告</x:v>
      </x:c>
      <x:c r="F207" s="6" t="str">
        <x:v>项目族P01</x:v>
      </x:c>
      <x:c r="G207" s="6" t="str">
        <x:v>流化床初次E17466、二次E17466C01及二次候选阶段；多个真实阶段保留，项目族只能算一次，不累计预算和候选价。</x:v>
      </x:c>
      <x:c r="H207" s="6" t="str">
        <x:v>对应来源编号</x:v>
      </x:c>
    </x:row>
    <x:row r="208" ht="40" customHeight="1">
      <x:c r="A208" s="6" t="str">
        <x:v>跨阶段项目关联</x:v>
      </x:c>
      <x:c r="B208" s="6" t="str">
        <x:v>B003,B004</x:v>
      </x:c>
      <x:c r="C208" s="6" t="str"/>
      <x:c r="D208" s="6" t="str">
        <x:v>公告阶段/项目族</x:v>
      </x:c>
      <x:c r="E208" s="6" t="str">
        <x:v>多个公告</x:v>
      </x:c>
      <x:c r="F208" s="6" t="str">
        <x:v>项目族P02</x:v>
      </x:c>
      <x:c r="G208" s="6" t="str">
        <x:v>同云南宜良200MW/400MWh储能系统设备项目，候选4/3、结果4/8是不同阶段，不能跨阶段删公告，也不能算两次业绩。</x:v>
      </x:c>
      <x:c r="H208" s="6" t="str">
        <x:v>对应来源编号</x:v>
      </x:c>
    </x:row>
    <x:row r="209" ht="34" customHeight="1">
      <x:c r="A209" s="6" t="str">
        <x:v>跨阶段项目关联</x:v>
      </x:c>
      <x:c r="B209" s="6" t="str">
        <x:v>Q011,Q012</x:v>
      </x:c>
      <x:c r="C209" s="6" t="str"/>
      <x:c r="D209" s="6" t="str">
        <x:v>公告阶段/项目族</x:v>
      </x:c>
      <x:c r="E209" s="6" t="str">
        <x:v>多个公告</x:v>
      </x:c>
      <x:c r="F209" s="6" t="str">
        <x:v>项目族P03</x:v>
      </x:c>
      <x:c r="G209" s="6" t="str">
        <x:v>同空压机标包一，二次9/21与初次8/31；项目族关联，中间编号隐藏，保留阶段及条件差异。</x:v>
      </x:c>
      <x:c r="H209" s="6" t="str">
        <x:v>对应来源编号</x:v>
      </x:c>
    </x:row>
    <x:row r="210" ht="40" customHeight="1">
      <x:c r="A210" s="6" t="str">
        <x:v>跨阶段项目关联</x:v>
      </x:c>
      <x:c r="B210" s="6" t="str">
        <x:v>O006,Q025</x:v>
      </x:c>
      <x:c r="C210" s="6" t="str"/>
      <x:c r="D210" s="6" t="str">
        <x:v>公告阶段/项目族</x:v>
      </x:c>
      <x:c r="E210" s="6" t="str">
        <x:v>多个公告</x:v>
      </x:c>
      <x:c r="F210" s="6" t="str">
        <x:v>项目族P04</x:v>
      </x:c>
      <x:c r="G210" s="6" t="str">
        <x:v>场发射扫描电子显微镜初次与二次；预算同390万元，标题明确二次；不同公告保留，第二次买方全称仍遮挡，不强行恢复。</x:v>
      </x:c>
      <x:c r="H210" s="6" t="str">
        <x:v>对应来源编号</x:v>
      </x:c>
    </x:row>
    <x:row r="211" ht="40" customHeight="1">
      <x:c r="A211" s="6" t="str">
        <x:v>跨阶段项目关联</x:v>
      </x:c>
      <x:c r="B211" s="6" t="str">
        <x:v>Q018,Q026</x:v>
      </x:c>
      <x:c r="C211" s="6" t="str"/>
      <x:c r="D211" s="6" t="str">
        <x:v>公告阶段/项目族</x:v>
      </x:c>
      <x:c r="E211" s="6" t="str">
        <x:v>多个公告</x:v>
      </x:c>
      <x:c r="F211" s="6" t="str">
        <x:v>项目族P05</x:v>
      </x:c>
      <x:c r="G211" s="6" t="str">
        <x:v>比亚迪外电接入电缆及电气设施，同日招标公告和需求公开是不同公告类型，采购人为标题所示临空产业投资集团，不是集团直接招采。</x:v>
      </x:c>
      <x:c r="H211" s="6" t="str">
        <x:v>对应来源编号</x:v>
      </x:c>
    </x:row>
    <x:row r="212" ht="40" customHeight="1">
      <x:c r="A212" s="6" t="str">
        <x:v>跨阶段项目关联</x:v>
      </x:c>
      <x:c r="B212" s="6" t="str">
        <x:v>Q019,J007</x:v>
      </x:c>
      <x:c r="C212" s="6" t="str"/>
      <x:c r="D212" s="6" t="str">
        <x:v>公告阶段/项目族</x:v>
      </x:c>
      <x:c r="E212" s="6" t="str">
        <x:v>多个公告</x:v>
      </x:c>
      <x:c r="F212" s="6" t="str">
        <x:v>项目族P06</x:v>
      </x:c>
      <x:c r="G212" s="6" t="str">
        <x:v>J007中机电安装工程施工中标摘要与Q019同阜南县项目标段和工程类别，为候选项目族关联；J007无独立正文，不进行已核实阶段升级。</x:v>
      </x:c>
      <x:c r="H212" s="6" t="str">
        <x:v>对应来源编号</x:v>
      </x:c>
    </x:row>
  </x:sheetData>
  <x:pageMargins left="0.7" right="0.7" top="0.75" bottom="0.75" header="0.3" footer="0.3"/>
  <x:tableParts count="1">
    <x:tablePart xmlns:r="http://schemas.openxmlformats.org/officeDocument/2006/relationships" r:id="R2faa982bbc0346bc"/>
  </x:tableParts>
</x:worksheet>
</file>