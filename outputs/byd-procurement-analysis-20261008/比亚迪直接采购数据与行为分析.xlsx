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30de36f483d4612" /></Relationships>
</file>

<file path=xl/workbook.xml><?xml version="1.0" encoding="utf-8"?>
<x:workbook xmlns:x="http://schemas.openxmlformats.org/spreadsheetml/2006/main">
  <x:sheets>
    <x:sheet xmlns:r="http://schemas.openxmlformats.org/officeDocument/2006/relationships" name="采购行为分析" sheetId="1" r:id="R6b3db24bbff54b03"/>
    <x:sheet xmlns:r="http://schemas.openxmlformats.org/officeDocument/2006/relationships" name="采购项目明细" sheetId="2" r:id="R09171f80a38f425b"/>
    <x:sheet xmlns:r="http://schemas.openxmlformats.org/officeDocument/2006/relationships" name="公告与规格证据" sheetId="3" r:id="R455b1162c37b4c77"/>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yyyy-mm-dd"/>
    <x:numFmt numFmtId="201" formatCode="#,##0"/>
    <x:numFmt numFmtId="202" formatCode="#,##0.00"/>
    <x:numFmt numFmtId="203" formatCode="@"/>
    <x:numFmt numFmtId="204" formatCode="yyyy-mm-dd hh:mm:ss"/>
    <x:numFmt numFmtId="205" formatCode="0.0%"/>
    <x:numFmt numFmtId="206" formatCode="yyyy-mm"/>
  </x:numFmts>
  <x:fonts count="11">
    <x:font>
      <x:sz val="11"/>
      <x:name val="Carlito"/>
    </x:font>
    <x:font>
      <x:sz val="11"/>
      <x:color rgb="FF18352F"/>
      <x:name val="Microsoft YaHei"/>
    </x:font>
    <x:font>
      <x:b/>
      <x:sz val="16"/>
      <x:color rgb="FF18352F"/>
      <x:name val="Microsoft YaHei"/>
    </x:font>
    <x:font>
      <x:sz val="11"/>
      <x:color rgb="FF18352F"/>
      <x:name val="Microsoft YaHei"/>
    </x:font>
    <x:font>
      <x:b/>
      <x:sz val="11"/>
      <x:color rgb="FFFFFFFF"/>
      <x:name val="Microsoft YaHei"/>
    </x:font>
    <x:font>
      <x:u val="single"/>
      <x:sz val="11"/>
      <x:color rgb="FF336D60"/>
      <x:name val="Microsoft YaHei"/>
    </x:font>
    <x:font>
      <x:b/>
      <x:sz val="11"/>
      <x:color rgb="FF64746F"/>
      <x:name val="Microsoft YaHei"/>
    </x:font>
    <x:font>
      <x:b/>
      <x:sz val="17"/>
      <x:color rgb="FF12342F"/>
      <x:name val="Microsoft YaHei"/>
    </x:font>
    <x:font>
      <x:b/>
      <x:sz val="11"/>
      <x:color rgb="FF18352F"/>
      <x:name val="Microsoft YaHei"/>
    </x:font>
    <x:font>
      <x:b/>
      <x:sz val="14"/>
      <x:color rgb="FF336D60"/>
      <x:name val="Microsoft YaHei"/>
    </x:font>
    <x:font>
      <x:b/>
      <x:sz val="11"/>
      <x:color rgb="FF12342F"/>
      <x:name val="Microsoft YaHei"/>
    </x:font>
  </x:fonts>
  <x:fills count="5">
    <x:fill>
      <x:patternFill patternType="none"/>
    </x:fill>
    <x:fill>
      <x:patternFill patternType="gray125"/>
    </x:fill>
    <x:fill>
      <x:patternFill patternType="solid">
        <x:fgColor rgb="FF12342F"/>
      </x:patternFill>
    </x:fill>
    <x:fill>
      <x:patternFill patternType="solid">
        <x:fgColor rgb="FFEDF4F0"/>
      </x:patternFill>
    </x:fill>
    <x:fill>
      <x:patternFill patternType="solid">
        <x:fgColor rgb="FFFFFFFF"/>
      </x:patternFill>
    </x:fill>
  </x:fills>
  <x:borders count="2">
    <x:border>
      <x:left/>
      <x:right/>
      <x:top/>
      <x:bottom/>
      <x:diagonal/>
    </x:border>
    <x:border>
      <x:left/>
      <x:right/>
      <x:top/>
      <x:bottom style="thin">
        <x:color rgb="FF336D60"/>
      </x:bottom>
      <x:diagonal/>
    </x:border>
  </x:borders>
  <x:cellStyleXfs count="1">
    <x:xf numFmtId="0" fontId="0" fillId="0" borderId="0"/>
  </x:cellStyleXfs>
  <x:cellXfs count="4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1"/>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2" fontId="1" fillId="3"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3" fontId="1" fillId="3"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top" wrapText="1"/>
    </x:xf>
    <x:xf numFmtId="204" fontId="1" fillId="3" borderId="0" xfId="0" applyNumberFormat="1" applyFont="1" applyFill="1" applyBorder="1" applyAlignment="1">
      <x:alignment vertical="top" wrapText="1"/>
    </x:xf>
    <x:xf numFmtId="204" fontId="1" fillId="0"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1" fillId="0" borderId="1" xfId="0" applyNumberFormat="1" applyFont="1" applyFill="1" applyBorder="1" applyAlignment="1">
      <x:alignment vertical="center"/>
    </x:xf>
    <x:xf numFmtId="0"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7" fillId="0" borderId="0" xfId="0" applyNumberFormat="1" applyFont="1" applyFill="1" applyBorder="1" applyAlignment="1">
      <x:alignment horizontal="center" vertical="center"/>
    </x:xf>
    <x:xf numFmtId="0" fontId="8" fillId="0" borderId="0" xfId="0" applyNumberFormat="1" applyFont="1" applyFill="1" applyBorder="1" applyAlignment="1">
      <x:alignment vertical="center"/>
    </x:xf>
    <x:xf numFmtId="0" fontId="8" fillId="0" borderId="0" xfId="0" applyNumberFormat="1" applyFont="1" applyFill="1" applyBorder="1" applyAlignment="1">
      <x:alignment vertical="center" wrapText="1"/>
    </x:xf>
    <x:xf numFmtId="205" fontId="1" fillId="0" borderId="0" xfId="0" applyNumberFormat="1" applyFont="1" applyFill="1" applyBorder="1" applyAlignment="1">
      <x:alignment vertical="center"/>
    </x:xf>
    <x:xf numFmtId="205" fontId="9"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206"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0" fillId="0" borderId="0" xfId="0" applyNumberFormat="1" applyFont="1" applyFill="1" applyBorder="1" applyAlignment="1">
      <x:alignment vertical="center"/>
    </x:xf>
    <x:xf numFmtId="201" fontId="10" fillId="0" borderId="0" xfId="0" applyNumberFormat="1" applyFont="1" applyFill="1" applyBorder="1" applyAlignment="1">
      <x:alignment vertical="center"/>
    </x:xf>
    <x:xf numFmtId="206"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6" fontId="1" fillId="0" borderId="0" xfId="0" applyNumberFormat="1" applyFont="1" applyFill="1" applyBorder="1" applyAlignment="1">
      <x:alignment vertical="top" wrapText="1"/>
    </x:xf>
    <x:xf numFmtId="206"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244c144c4c44359" /><Relationship Type="http://schemas.openxmlformats.org/officeDocument/2006/relationships/theme" Target="/xl/theme/theme1.xml" Id="Rda31afe1d70f426c" /><Relationship Type="http://schemas.openxmlformats.org/officeDocument/2006/relationships/sharedStrings" Target="/xl/sharedStrings.xml" Id="R778f26cd32aa492a" /><Relationship Type="http://schemas.openxmlformats.org/officeDocument/2006/relationships/worksheet" Target="/xl/worksheets/sheet1.xml" Id="R6b3db24bbff54b03" /><Relationship Type="http://schemas.openxmlformats.org/officeDocument/2006/relationships/worksheet" Target="/xl/worksheets/sheet2.xml" Id="R09171f80a38f425b" /><Relationship Type="http://schemas.openxmlformats.org/officeDocument/2006/relationships/worksheet" Target="/xl/worksheets/sheet3.xml" Id="R455b1162c37b4c77" /></Relationships>
</file>

<file path=xl/drawings/_rels/drawing1.xml.rels>&#65279;<?xml version="1.0" encoding="utf-8"?><Relationships xmlns="http://schemas.openxmlformats.org/package/2006/relationships"><Relationship Type="http://schemas.openxmlformats.org/officeDocument/2006/relationships/chart" Target="/xl/drawings/charts/chart1.xml" Id="Ra160916f054048a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Microsoft YaHei"/>
                <a:ea typeface="Microsoft YaHei"/>
                <a:cs typeface="Microsoft YaHei"/>
              </a:rPr>
              <a:t>样本项目与公告数量</a:t>
            </a:r>
          </a:p>
        </c:rich>
      </c:tx>
      <c:overlay val="0"/>
      <c:txPr>
        <a:bodyPr xmlns:a="http://schemas.openxmlformats.org/drawingml/2006/main" anchorCtr="1"/>
        <a:lstStyle xmlns:a="http://schemas.openxmlformats.org/drawingml/2006/main"/>
        <a:p xmlns:a="http://schemas.openxmlformats.org/drawingml/2006/main">
          <a:pPr>
            <a:defRPr sz="975">
              <a:latin typeface="Microsoft YaHei"/>
              <a:ea typeface="Microsoft YaHei"/>
              <a:cs typeface="Microsoft YaHei"/>
            </a:defRPr>
          </a:pPr>
        </a:p>
      </c:txPr>
    </c:title>
    <c:plotArea>
      <c:barChart>
        <c:barDir val="col"/>
        <c:varyColors val="0"/>
        <c:ser>
          <c:idx val="0"/>
          <c:order val="0"/>
          <c:tx>
            <c:v>首次可见项目</c:v>
          </c:tx>
          <c:spPr>
            <a:solidFill xmlns:a="http://schemas.openxmlformats.org/drawingml/2006/main">
              <a:srgbClr val="336D60"/>
            </a:solidFill>
          </c:spPr>
          <c:cat>
            <c:strRef>
              <c:f>'采购行为分析'!$A$36:$A$40</c:f>
              <c:strCache>
                <c:ptCount val="0"/>
              </c:strCache>
            </c:strRef>
          </c:cat>
          <c:val>
            <c:numRef>
              <c:f>'采购行为分析'!$B$36:$B$40</c:f>
              <c:numCache>
                <c:formatCode>#,##0</c:formatCode>
                <c:ptCount val="0"/>
              </c:numCache>
            </c:numRef>
          </c:val>
        </c:ser>
        <c:ser>
          <c:idx val="1"/>
          <c:order val="1"/>
          <c:tx>
            <c:v>独立公告</c:v>
          </c:tx>
          <c:spPr>
            <a:solidFill xmlns:a="http://schemas.openxmlformats.org/drawingml/2006/main">
              <a:srgbClr val="95B3A9"/>
            </a:solidFill>
          </c:spPr>
          <c:cat>
            <c:strRef>
              <c:f>'采购行为分析'!$A$36:$A$40</c:f>
              <c:strCache>
                <c:ptCount val="0"/>
              </c:strCache>
            </c:strRef>
          </c:cat>
          <c:val>
            <c:numRef>
              <c:f>'采购行为分析'!$C$36:$C$40</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Microsoft YaHei"/>
                <a:ea typeface="Microsoft YaHei"/>
                <a:cs typeface="Microsoft YaHei"/>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Microsoft YaHei"/>
                <a:ea typeface="Microsoft YaHei"/>
                <a:cs typeface="Microsoft YaHei"/>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Microsoft YaHei"/>
              <a:ea typeface="Microsoft YaHei"/>
              <a:cs typeface="Microsoft YaHei"/>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34</xdr:row>
      <xdr:rowOff>0</xdr:rowOff>
    </xdr:from>
    <xdr:to>
      <xdr:col>6</xdr:col>
      <xdr:colOff>0</xdr:colOff>
      <xdr:row>44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160916f054048a4"/>
        </a:graphicData>
      </a:graphic>
    </xdr:graphicFrame>
    <xdr:clientData/>
  </xdr:twoCellAnchor>
</xdr:wsDr>
</file>

<file path=xl/tables/table1.xml><?xml version="1.0" encoding="utf-8"?>
<x:table xmlns:x="http://schemas.openxmlformats.org/spreadsheetml/2006/main" id="1" name="ProcurementProjects" displayName="ProcurementProjects" ref="A5:W16" headerRowCount="1" totalsRowCount="0" totalsRowShown="0">
  <x:autoFilter ref="A5:W16"/>
  <x:tableColumns count="23">
    <x:tableColumn id="1" name="基础项目号/标包"/>
    <x:tableColumn id="2" name="实际采购法人"/>
    <x:tableColumn id="3" name="分析品类"/>
    <x:tableColumn id="4" name="采购产品"/>
    <x:tableColumn id="5" name="新购品牌/型号"/>
    <x:tableColumn id="6" name="招标需求数量"/>
    <x:tableColumn id="7" name="单位"/>
    <x:tableColumn id="8" name="具体技术规格（版本分列）"/>
    <x:tableColumn id="9" name="首次可见需求日期"/>
    <x:tableColumn id="10" name="最近原始公告日期"/>
    <x:tableColumn id="11" name="最近转载阶段日期"/>
    <x:tableColumn id="12" name="样本独立项目次数"/>
    <x:tableColumn id="13" name="最新已知预算（不含税，元）"/>
    <x:tableColumn id="14" name="币种口径"/>
    <x:tableColumn id="15" name="候选报价（不含税，元）"/>
    <x:tableColumn id="16" name="候选报价（含税，元）"/>
    <x:tableColumn id="17" name="公示候选供应商"/>
    <x:tableColumn id="18" name="截至2026-10-08的证据阶段"/>
    <x:tableColumn id="19" name="交期/交货地/验收"/>
    <x:tableColumn id="20" name="采购与付款特征"/>
    <x:tableColumn id="21" name="未来90天购买可能性分析"/>
    <x:tableColumn id="22" name="数量证据来源"/>
    <x:tableColumn id="23" name="公告证据编号"/>
  </x:tableColumns>
  <x:tableStyleInfo name="TableStyleMedium2" showFirstColumn="0" showLastColumn="0" showRowStripes="1" showColumnStripes="0"/>
</x:table>
</file>

<file path=xl/tables/table2.xml><?xml version="1.0" encoding="utf-8"?>
<x:table xmlns:x="http://schemas.openxmlformats.org/spreadsheetml/2006/main" id="2" name="ProcurementNotices" displayName="ProcurementNotices" ref="A5:Q20" headerRowCount="1" totalsRowCount="0" totalsRowShown="0">
  <x:autoFilter ref="A5:Q20"/>
  <x:tableColumns count="17">
    <x:tableColumn id="1" name="证据编号"/>
    <x:tableColumn id="2" name="基础项目号/标包"/>
    <x:tableColumn id="3" name="实际采购法人"/>
    <x:tableColumn id="4" name="采购产品"/>
    <x:tableColumn id="5" name="公告阶段"/>
    <x:tableColumn id="6" name="公告原文/事件日期"/>
    <x:tableColumn id="7" name="网页发布日期"/>
    <x:tableColumn id="8" name="证据层级"/>
    <x:tableColumn id="9" name="本阶段需求数量"/>
    <x:tableColumn id="10" name="单位"/>
    <x:tableColumn id="11" name="本阶段未税预算（元）"/>
    <x:tableColumn id="12" name="候选未税报价（元）"/>
    <x:tableColumn id="13" name="候选含税报价（元）"/>
    <x:tableColumn id="14" name="候选供应商"/>
    <x:tableColumn id="15" name="本阶段规格参数原文"/>
    <x:tableColumn id="16" name="投标截止时间（北京时间）"/>
    <x:tableColumn id="17" name="阶段关联与口径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6a99420749d41fb" /></Relationships>
</file>

<file path=xl/worksheets/_rels/sheet2.xml.rels>&#65279;<?xml version="1.0" encoding="utf-8"?><Relationships xmlns="http://schemas.openxmlformats.org/package/2006/relationships"><Relationship Type="http://schemas.openxmlformats.org/officeDocument/2006/relationships/table" Target="/xl/tables/table1.xml" Id="R2e0d67bd2cd44fa6" /></Relationships>
</file>

<file path=xl/worksheets/_rels/sheet3.xml.rels>&#65279;<?xml version="1.0" encoding="utf-8"?><Relationships xmlns="http://schemas.openxmlformats.org/package/2006/relationships"><Relationship Type="http://schemas.openxmlformats.org/officeDocument/2006/relationships/table" Target="/xl/tables/table2.xml" Id="R1b4138a8c86842b2" /></Relationships>
</file>

<file path=xl/worksheets/sheet1.xml><?xml version="1.0" encoding="utf-8"?>
<x:worksheet xmlns:x="http://schemas.openxmlformats.org/spreadsheetml/2006/main">
  <x:sheetPr>
    <x:tabColor rgb="FF12342F"/>
  </x:sheetPr>
  <x:sheetViews>
    <x:sheetView showGridLines="0" workbookViewId="0"/>
  </x:sheetViews>
  <x:sheetFormatPr defaultRowHeight="15"/>
  <x:cols>
    <x:col min="1" max="1" width="28" hidden="0" customWidth="1"/>
    <x:col min="2" max="2" width="12" hidden="0" customWidth="1"/>
    <x:col min="3" max="3" width="17" hidden="0" customWidth="1"/>
    <x:col min="4" max="4" width="27" hidden="0" customWidth="1"/>
    <x:col min="5" max="5" width="39" hidden="0" customWidth="1"/>
    <x:col min="6" max="6" width="57" hidden="0" customWidth="1"/>
  </x:cols>
  <x:sheetData>
    <x:row r="1" ht="26" customHeight="1">
      <x:c r="A1" s="2"/>
      <x:c r="B1" s="2"/>
      <x:c r="C1" s="2"/>
      <x:c r="D1" s="2"/>
      <x:c r="E1" s="2"/>
      <x:c r="F1" s="2"/>
    </x:row>
    <x:row r="2" ht="34" customHeight="1">
      <x:c r="A2" s="4" t="str">
        <x:v>比亚迪直接招采与采购行为分析</x:v>
      </x:c>
      <x:c r="B2" s="4" t="str">
        <x:v>比亚迪直接招采与采购行为分析</x:v>
      </x:c>
      <x:c r="C2" s="4" t="str">
        <x:v>比亚迪直接招采与采购行为分析</x:v>
      </x:c>
      <x:c r="D2" s="4" t="str">
        <x:v>比亚迪直接招采与采购行为分析</x:v>
      </x:c>
      <x:c r="E2" s="4" t="str">
        <x:v>比亚迪直接招采与采购行为分析</x:v>
      </x:c>
      <x:c r="F2" s="4" t="str">
        <x:v>比亚迪直接招采与采购行为分析</x:v>
      </x:c>
    </x:row>
    <x:row r="3" ht="28" customHeight="1">
      <x:c r="A3" s="6" t="str">
        <x:v>资料窗口 2025-10-08 至 2026-10-08。实际取得的采购样本集中在2026年5—9月。</x:v>
      </x:c>
      <x:c r="B3" s="6" t="str">
        <x:v>资料窗口 2025-10-08 至 2026-10-08。实际取得的采购样本集中在2026年5—9月。</x:v>
      </x:c>
      <x:c r="C3" s="6" t="str">
        <x:v>资料窗口 2025-10-08 至 2026-10-08。实际取得的采购样本集中在2026年5—9月。</x:v>
      </x:c>
      <x:c r="D3" s="6" t="str">
        <x:v>资料窗口 2025-10-08 至 2026-10-08。实际取得的采购样本集中在2026年5—9月。</x:v>
      </x:c>
      <x:c r="E3" s="6" t="str">
        <x:v>资料窗口 2025-10-08 至 2026-10-08。实际取得的采购样本集中在2026年5—9月。</x:v>
      </x:c>
      <x:c r="F3" s="6" t="str">
        <x:v>资料窗口 2025-10-08 至 2026-10-08。实际取得的采购样本集中在2026年5—9月。</x:v>
      </x:c>
    </x:row>
    <x:row r="4" ht="26" customHeight="1">
      <x:c r="A4" s="28"/>
      <x:c r="B4" s="28"/>
      <x:c r="C4" s="28"/>
      <x:c r="D4" s="28"/>
      <x:c r="E4" s="28"/>
      <x:c r="F4" s="28"/>
    </x:row>
    <x:row r="5" ht="26" customHeight="1">
      <x:c r="A5" s="2"/>
      <x:c r="B5" s="2"/>
      <x:c r="C5" s="2"/>
      <x:c r="D5" s="2"/>
      <x:c r="E5" s="2"/>
      <x:c r="F5" s="2"/>
    </x:row>
    <x:row r="6" ht="26" customHeight="1">
      <x:c r="A6" s="29" t="str">
        <x:v>独立采购项目</x:v>
      </x:c>
      <x:c r="B6" s="29"/>
      <x:c r="C6" s="29" t="str">
        <x:v>有数量的项目</x:v>
      </x:c>
      <x:c r="D6" s="29"/>
      <x:c r="E6" s="29" t="str">
        <x:v>最终成交证据条数</x:v>
      </x:c>
      <x:c r="F6" s="29"/>
    </x:row>
    <x:row r="7" ht="35" customHeight="1">
      <x:c r="A7" s="31" t="n">
        <x:f>COUNTA('采购项目明细'!A6:A16)</x:f>
        <x:v>11</x:v>
      </x:c>
      <x:c r="B7" s="31"/>
      <x:c r="C7" s="31" t="n">
        <x:f>COUNT('采购项目明细'!F6:F16)</x:f>
        <x:v>8</x:v>
      </x:c>
      <x:c r="D7" s="31"/>
      <x:c r="E7" s="31" t="n">
        <x:f>0</x:f>
        <x:v>0</x:v>
      </x:c>
      <x:c r="F7" s="31"/>
    </x:row>
    <x:row r="8" ht="26" customHeight="1">
      <x:c r="A8" s="2" t="str">
        <x:v>已合并重招与候选</x:v>
      </x:c>
      <x:c r="B8" s="2"/>
      <x:c r="C8" s="2" t="str">
        <x:v>含1项转载数量</x:v>
      </x:c>
      <x:c r="D8" s="2"/>
      <x:c r="E8" s="2" t="str">
        <x:v>本样本未取得</x:v>
      </x:c>
      <x:c r="F8" s="2"/>
    </x:row>
    <x:row r="9" ht="26" customHeight="1">
      <x:c r="A9" s="2"/>
      <x:c r="B9" s="2"/>
      <x:c r="C9" s="2"/>
      <x:c r="D9" s="2"/>
      <x:c r="E9" s="2"/>
      <x:c r="F9" s="2"/>
    </x:row>
    <x:row r="10" ht="30" customHeight="1">
      <x:c r="A10" s="33" t="str">
        <x:v>材料制备与分析项目占比</x:v>
      </x:c>
      <x:c r="B10" s="33" t="str">
        <x:v>材料制备与分析项目占比</x:v>
      </x:c>
      <x:c r="C10" s="35" t="n">
        <x:f>SUM(B17:B18)/A7</x:f>
        <x:v>0.6363636363636364</x:v>
      </x:c>
      <x:c r="D10" s="35"/>
      <x:c r="E10" s="6" t="str">
        <x:v>按独立采购项目计算，非采购金额占比。</x:v>
      </x:c>
      <x:c r="F10" s="6" t="str">
        <x:v>按独立采购项目计算，非采购金额占比。</x:v>
      </x:c>
    </x:row>
    <x:row r="11" ht="25" customHeight="1">
      <x:c r="A11" s="6" t="str">
        <x:v>可见需求：气碎机1台、流化床1台、温等静压机1台、XPS 1台、SEM 1台、AI服务器1台、检测柜5台；储罐7台来自同编号转载。</x:v>
      </x:c>
      <x:c r="B11" s="6" t="str">
        <x:v>可见需求：气碎机1台、流化床1台、温等静压机1台、XPS 1台、SEM 1台、AI服务器1台、检测柜5台；储罐7台来自同编号转载。</x:v>
      </x:c>
      <x:c r="C11" s="6" t="str">
        <x:v>可见需求：气碎机1台、流化床1台、温等静压机1台、XPS 1台、SEM 1台、AI服务器1台、检测柜5台；储罐7台来自同编号转载。</x:v>
      </x:c>
      <x:c r="D11" s="6" t="str">
        <x:v>可见需求：气碎机1台、流化床1台、温等静压机1台、XPS 1台、SEM 1台、AI服务器1台、检测柜5台；储罐7台来自同编号转载。</x:v>
      </x:c>
      <x:c r="E11" s="6" t="str">
        <x:v>可见需求：气碎机1台、流化床1台、温等静压机1台、XPS 1台、SEM 1台、AI服务器1台、检测柜5台；储罐7台来自同编号转载。</x:v>
      </x:c>
      <x:c r="F11" s="6" t="str">
        <x:v>可见需求：气碎机1台、流化床1台、温等静压机1台、XPS 1台、SEM 1台、AI服务器1台、检测柜5台；储罐7台来自同编号转载。</x:v>
      </x:c>
    </x:row>
    <x:row r="12" ht="25" customHeight="1">
      <x:c r="A12" s="6" t="str">
        <x:v>可见需求：气碎机1台、流化床1台、温等静压机1台、XPS 1台、SEM 1台、AI服务器1台、检测柜5台；储罐7台来自同编号转载。</x:v>
      </x:c>
      <x:c r="B12" s="6" t="str">
        <x:v>可见需求：气碎机1台、流化床1台、温等静压机1台、XPS 1台、SEM 1台、AI服务器1台、检测柜5台；储罐7台来自同编号转载。</x:v>
      </x:c>
      <x:c r="C12" s="6" t="str">
        <x:v>可见需求：气碎机1台、流化床1台、温等静压机1台、XPS 1台、SEM 1台、AI服务器1台、检测柜5台；储罐7台来自同编号转载。</x:v>
      </x:c>
      <x:c r="D12" s="6" t="str">
        <x:v>可见需求：气碎机1台、流化床1台、温等静压机1台、XPS 1台、SEM 1台、AI服务器1台、检测柜5台；储罐7台来自同编号转载。</x:v>
      </x:c>
      <x:c r="E12" s="6" t="str">
        <x:v>可见需求：气碎机1台、流化床1台、温等静压机1台、XPS 1台、SEM 1台、AI服务器1台、检测柜5台；储罐7台来自同编号转载。</x:v>
      </x:c>
      <x:c r="F12" s="6" t="str">
        <x:v>可见需求：气碎机1台、流化床1台、温等静压机1台、XPS 1台、SEM 1台、AI服务器1台、检测柜5台；储罐7台来自同编号转载。</x:v>
      </x:c>
    </x:row>
    <x:row r="13" ht="25" customHeight="1">
      <x:c r="A13" s="6" t="str">
        <x:v>统计口径：数量是招标需求，金额是预算或候选报价。成交数量、最终型号和全年真实频次未知。15条公告对应11个项目，二次招标不计复购。未取得公告的月份不能解释为没有采购。</x:v>
      </x:c>
      <x:c r="B13" s="6" t="str">
        <x:v>统计口径：数量是招标需求，金额是预算或候选报价。成交数量、最终型号和全年真实频次未知。15条公告对应11个项目，二次招标不计复购。未取得公告的月份不能解释为没有采购。</x:v>
      </x:c>
      <x:c r="C13" s="6" t="str">
        <x:v>统计口径：数量是招标需求，金额是预算或候选报价。成交数量、最终型号和全年真实频次未知。15条公告对应11个项目，二次招标不计复购。未取得公告的月份不能解释为没有采购。</x:v>
      </x:c>
      <x:c r="D13" s="6" t="str">
        <x:v>统计口径：数量是招标需求，金额是预算或候选报价。成交数量、最终型号和全年真实频次未知。15条公告对应11个项目，二次招标不计复购。未取得公告的月份不能解释为没有采购。</x:v>
      </x:c>
      <x:c r="E13" s="6" t="str">
        <x:v>统计口径：数量是招标需求，金额是预算或候选报价。成交数量、最终型号和全年真实频次未知。15条公告对应11个项目，二次招标不计复购。未取得公告的月份不能解释为没有采购。</x:v>
      </x:c>
      <x:c r="F13" s="6" t="str">
        <x:v>统计口径：数量是招标需求，金额是预算或候选报价。成交数量、最终型号和全年真实频次未知。15条公告对应11个项目，二次招标不计复购。未取得公告的月份不能解释为没有采购。</x:v>
      </x:c>
    </x:row>
    <x:row r="14" ht="25" customHeight="1">
      <x:c r="A14" s="6" t="str">
        <x:v>统计口径：数量是招标需求，金额是预算或候选报价。成交数量、最终型号和全年真实频次未知。15条公告对应11个项目，二次招标不计复购。未取得公告的月份不能解释为没有采购。</x:v>
      </x:c>
      <x:c r="B14" s="6" t="str">
        <x:v>统计口径：数量是招标需求，金额是预算或候选报价。成交数量、最终型号和全年真实频次未知。15条公告对应11个项目，二次招标不计复购。未取得公告的月份不能解释为没有采购。</x:v>
      </x:c>
      <x:c r="C14" s="6" t="str">
        <x:v>统计口径：数量是招标需求，金额是预算或候选报价。成交数量、最终型号和全年真实频次未知。15条公告对应11个项目，二次招标不计复购。未取得公告的月份不能解释为没有采购。</x:v>
      </x:c>
      <x:c r="D14" s="6" t="str">
        <x:v>统计口径：数量是招标需求，金额是预算或候选报价。成交数量、最终型号和全年真实频次未知。15条公告对应11个项目，二次招标不计复购。未取得公告的月份不能解释为没有采购。</x:v>
      </x:c>
      <x:c r="E14" s="6" t="str">
        <x:v>统计口径：数量是招标需求，金额是预算或候选报价。成交数量、最终型号和全年真实频次未知。15条公告对应11个项目，二次招标不计复购。未取得公告的月份不能解释为没有采购。</x:v>
      </x:c>
      <x:c r="F14" s="6" t="str">
        <x:v>统计口径：数量是招标需求，金额是预算或候选报价。成交数量、最终型号和全年真实频次未知。15条公告对应11个项目，二次招标不计复购。未取得公告的月份不能解释为没有采购。</x:v>
      </x:c>
    </x:row>
    <x:row r="15" ht="30" customHeight="1">
      <x:c r="A15" s="9" t="str">
        <x:v>最近采购方向及后续购买可能性</x:v>
      </x:c>
      <x:c r="B15" s="9" t="str">
        <x:v>最近采购方向及后续购买可能性</x:v>
      </x:c>
      <x:c r="C15" s="9" t="str">
        <x:v>最近采购方向及后续购买可能性</x:v>
      </x:c>
      <x:c r="D15" s="9" t="str">
        <x:v>最近采购方向及后续购买可能性</x:v>
      </x:c>
      <x:c r="E15" s="9" t="str">
        <x:v>最近采购方向及后续购买可能性</x:v>
      </x:c>
      <x:c r="F15" s="9" t="str">
        <x:v>最近采购方向及后续购买可能性</x:v>
      </x:c>
    </x:row>
    <x:row r="16" ht="38" customHeight="1">
      <x:c r="A16" s="10" t="str">
        <x:v>采购方向</x:v>
      </x:c>
      <x:c r="B16" s="10" t="str">
        <x:v>样本项目数</x:v>
      </x:c>
      <x:c r="C16" s="10" t="str">
        <x:v>最近证据日期</x:v>
      </x:c>
      <x:c r="D16" s="10" t="str">
        <x:v>可见数量</x:v>
      </x:c>
      <x:c r="E16" s="10" t="str">
        <x:v>采购特征</x:v>
      </x:c>
      <x:c r="F16" s="10" t="str">
        <x:v>未来90天（2026-10-09至2027-01-06）判断</x:v>
      </x:c>
    </x:row>
    <x:row r="17" ht="85" customHeight="1">
      <x:c r="A17" s="13" t="str">
        <x:v>材料制备设备</x:v>
      </x:c>
      <x:c r="B17" s="13" t="n">
        <x:f>COUNTIFS('采购项目明细'!$C$6:$C$16,A17)</x:f>
        <x:v>4</x:v>
      </x:c>
      <x:c r="C17" s="14" t="d">
        <x:v>2026-08-31T00:00:00.000Z</x:v>
      </x:c>
      <x:c r="D17" s="13" t="str">
        <x:v>流化床1台；温等静压机1台；气碎机1台；分级机未披露</x:v>
      </x:c>
      <x:c r="E17" s="13" t="str">
        <x:v>参数包括40–60kg实验加料、50kg/h气碎和≥880MPa压制。惠州项目交货地可为宜昌，法人地址不等于使用地。</x:v>
      </x:c>
      <x:c r="F17" s="13" t="str">
        <x:v>同类新项目具延续需求线索：4个不同项目跨6—8月出现。若新产线/材料工艺项目增加，可能性上升；同型号复购概率及下一单数量无法估算。</x:v>
      </x:c>
    </x:row>
    <x:row r="18" ht="85" customHeight="1">
      <x:c r="A18" s="12" t="str">
        <x:v>材料分析仪器</x:v>
      </x:c>
      <x:c r="B18" s="12" t="n">
        <x:f>COUNTIFS('采购项目明细'!$C$6:$C$16,A18)</x:f>
        <x:v>3</x:v>
      </x:c>
      <x:c r="C18" s="15" t="d">
        <x:v>2026-09-01T00:00:00.000Z</x:v>
      </x:c>
      <x:c r="D18" s="12" t="str">
        <x:v>XPS 1台；SEM 1台；原位TEM未披露</x:v>
      </x:c>
      <x:c r="E18" s="12" t="str">
        <x:v>XPS、SEM、TEM覆盖不同分析手段。SEM二次参数更严（转载）；高端设备交期180—300天。</x:v>
      </x:c>
      <x:c r="F18" s="12" t="str">
        <x:v>同类仪器需求具延续线索：3个独立项目。SEM仍有二次流程证据，其他需核结果；长交期可能优先交付既有项目，无法断言90天内重复购机。</x:v>
      </x:c>
    </x:row>
    <x:row r="19" ht="85" customHeight="1">
      <x:c r="A19" s="13" t="str">
        <x:v>AI服务器平台</x:v>
      </x:c>
      <x:c r="B19" s="13" t="n">
        <x:f>COUNTIFS('采购项目明细'!$C$6:$C$16,A19)</x:f>
        <x:v>1</x:v>
      </x:c>
      <x:c r="C19" s="14" t="d">
        <x:v>2026-08-28T00:00:00.000Z</x:v>
      </x:c>
      <x:c r="D19" s="13" t="str">
        <x:v>新增1台；现网4台仅调优</x:v>
      </x:c>
      <x:c r="E19" s="13" t="str">
        <x:v>国产整机、≥16张GPU、现网集群调优、培训和3年质保；全部6个月商票。</x:v>
      </x:c>
      <x:c r="F19" s="13" t="str">
        <x:v>存在扩容及运维场景，但只有1个项目。新增算力负载/扩容公告是再次购机的条件；可能性未知，BW1000不能当新购型号。</x:v>
      </x:c>
    </x:row>
    <x:row r="20" ht="85" customHeight="1">
      <x:c r="A20" s="12" t="str">
        <x:v>电池检测设备</x:v>
      </x:c>
      <x:c r="B20" s="12" t="n">
        <x:f>COUNTIFS('采购项目明细'!$C$6:$C$16,A20)</x:f>
        <x:v>1</x:v>
      </x:c>
      <x:c r="C20" s="15" t="d">
        <x:v>2026-05-13T00:00:00.000Z</x:v>
      </x:c>
      <x:c r="D20" s="12" t="str">
        <x:v>5台；16CH/台</x:v>
      </x:c>
      <x:c r="E20" s="12" t="str">
        <x:v>5V30A检测柜，总80CH为计算值；不含税单台限价9.3万元（币种未明示）。</x:v>
      </x:c>
      <x:c r="F20" s="12" t="str">
        <x:v>测试通道扩充可能产生后续需求，但缺少利用率或新增测试任务证据。不能据单次5台推断每月/月均采购。</x:v>
      </x:c>
    </x:row>
    <x:row r="21" ht="85" customHeight="1">
      <x:c r="A21" s="13" t="str">
        <x:v>工业废水储罐</x:v>
      </x:c>
      <x:c r="B21" s="13" t="n">
        <x:f>COUNTIFS('采购项目明细'!$C$6:$C$16,A21)</x:f>
        <x:v>1</x:v>
      </x:c>
      <x:c r="C21" s="14" t="d">
        <x:v>2026-09-01T00:00:00.000Z</x:v>
      </x:c>
      <x:c r="D21" s="13" t="str">
        <x:v>7台（全文转载）</x:v>
      </x:c>
      <x:c r="E21" s="13" t="str">
        <x:v>3m³、PPH立式、酸/碱废水暂存。已公示第一候选，规格和数量属转载补充。</x:v>
      </x:c>
      <x:c r="F21" s="13" t="str">
        <x:v>没有新增储罐或补货周期证据。后续可核授标/安装；同项目7台不代表7次购买，新增复购无法判断。</x:v>
      </x:c>
    </x:row>
    <x:row r="22" ht="85" customHeight="1">
      <x:c r="A22" s="12" t="str">
        <x:v>数据采集设备</x:v>
      </x:c>
      <x:c r="B22" s="12" t="n">
        <x:f>COUNTIFS('采购项目明细'!$C$6:$C$16,A22)</x:f>
        <x:v>1</x:v>
      </x:c>
      <x:c r="C22" s="15" t="d">
        <x:v>2026-06-03T00:00:00.000Z</x:v>
      </x:c>
      <x:c r="D22" s="12" t="str">
        <x:v>未披露</x:v>
      </x:c>
      <x:c r="E22" s="12" t="str">
        <x:v>上海同星为第一候选；数量、型号及采样规格未披露。</x:v>
      </x:c>
      <x:c r="F22" s="12" t="str">
        <x:v>已有候选，可能进入授标/交付流程。未发现第二个独立项目，下一次购买产品和数量均无法判断。</x:v>
      </x:c>
    </x:row>
    <x:row r="23" ht="26" customHeight="1">
      <x:c r="A23" s="2"/>
      <x:c r="B23" s="2"/>
      <x:c r="C23" s="2"/>
      <x:c r="D23" s="2"/>
      <x:c r="E23" s="2"/>
      <x:c r="F23" s="2"/>
    </x:row>
    <x:row r="24" ht="30" customHeight="1">
      <x:c r="A24" s="9" t="str">
        <x:v>采购特征（仅适用于本次公开样本）</x:v>
      </x:c>
      <x:c r="B24" s="9" t="str">
        <x:v>采购特征（仅适用于本次公开样本）</x:v>
      </x:c>
      <x:c r="C24" s="9" t="str">
        <x:v>采购特征（仅适用于本次公开样本）</x:v>
      </x:c>
      <x:c r="D24" s="9" t="str">
        <x:v>采购特征（仅适用于本次公开样本）</x:v>
      </x:c>
      <x:c r="E24" s="9" t="str">
        <x:v>采购特征（仅适用于本次公开样本）</x:v>
      </x:c>
      <x:c r="F24" s="9" t="str">
        <x:v>采购特征（仅适用于本次公开样本）</x:v>
      </x:c>
    </x:row>
    <x:row r="25" ht="48" customHeight="1">
      <x:c r="A25" s="37" t="str">
        <x:v>需求集中在研发与设备建设</x:v>
      </x:c>
      <x:c r="B25" s="37"/>
      <x:c r="C25" s="37" t="str">
        <x:v>7/11个项目属于材料制备或分析，所见多为性能约束明确的单台设备。不能据此认定集团整车零部件、PCB、电阻等常规物料采购结构。</x:v>
      </x:c>
      <x:c r="D25" s="37"/>
      <x:c r="E25" s="37"/>
      <x:c r="F25" s="37"/>
    </x:row>
    <x:row r="26" ht="48" customHeight="1">
      <x:c r="A26" s="11" t="str">
        <x:v>先看性能与交付，再看型号</x:v>
      </x:c>
      <x:c r="B26" s="11"/>
      <x:c r="C26" s="11" t="str">
        <x:v>公开公告要求尺寸、精度、产能、算力、接口和服务。全部未披露最终新购制造商型号；不能把性能反推成唯一品牌。</x:v>
      </x:c>
      <x:c r="D26" s="11"/>
      <x:c r="E26" s="11"/>
      <x:c r="F26" s="11"/>
    </x:row>
    <x:row r="27" ht="48" customHeight="1">
      <x:c r="A27" s="37" t="str">
        <x:v>重招反映方案调整</x:v>
      </x:c>
      <x:c r="B27" s="37"/>
      <x:c r="C27" s="37" t="str">
        <x:v>流化床预算250→200万元，高度上限9→12m；分级机因需求及预算变更中止；SEM二次指标修订来自转载。重招只是同项目流程延续。</x:v>
      </x:c>
      <x:c r="D27" s="37"/>
      <x:c r="E27" s="37"/>
      <x:c r="F27" s="37"/>
    </x:row>
    <x:row r="28" ht="48" customHeight="1">
      <x:c r="A28" s="11" t="str">
        <x:v>付款与验收随项目变化</x:v>
      </x:c>
      <x:c r="B28" s="11"/>
      <x:c r="C28" s="11" t="str">
        <x:v>实验仪器常见到货60%/验收40%；流化床和气碎机30%/30%/30%/10%并留一年质保；AI平台使用6个月商票、稳定运行3个月验收。不能统一视为月结。</x:v>
      </x:c>
      <x:c r="D28" s="11"/>
      <x:c r="E28" s="11"/>
      <x:c r="F28" s="11"/>
    </x:row>
    <x:row r="29" ht="48" customHeight="1">
      <x:c r="A29" s="37" t="str">
        <x:v>候选报价不能当订单金额</x:v>
      </x:c>
      <x:c r="B29" s="37"/>
      <x:c r="C29" s="37" t="str">
        <x:v>4个项目有候选供应商及报价，最终授标均未取得。预算与候选价分列，含税与未税分列；币种未明示，不累计为已确认人民币成交规模。</x:v>
      </x:c>
      <x:c r="D29" s="37"/>
      <x:c r="E29" s="37"/>
      <x:c r="F29" s="37"/>
    </x:row>
    <x:row r="30" ht="26" customHeight="1">
      <x:c r="A30" s="2"/>
      <x:c r="B30" s="2"/>
      <x:c r="C30" s="2"/>
      <x:c r="D30" s="2"/>
      <x:c r="E30" s="2"/>
      <x:c r="F30" s="2"/>
    </x:row>
    <x:row r="31" ht="28" customHeight="1">
      <x:c r="A31" s="6" t="str">
        <x:v>未来购买判断方法：比较不同独立项目的品类和时间分布，结合重招、参数变化及扩容场景作条件推断。完整交易历史、产能/库存、成交结果和复购事件不足，因此不给虚构百分比、下次购买日期或数量。</x:v>
      </x:c>
      <x:c r="B31" s="6" t="str">
        <x:v>未来购买判断方法：比较不同独立项目的品类和时间分布，结合重招、参数变化及扩容场景作条件推断。完整交易历史、产能/库存、成交结果和复购事件不足，因此不给虚构百分比、下次购买日期或数量。</x:v>
      </x:c>
      <x:c r="C31" s="6" t="str">
        <x:v>未来购买判断方法：比较不同独立项目的品类和时间分布，结合重招、参数变化及扩容场景作条件推断。完整交易历史、产能/库存、成交结果和复购事件不足，因此不给虚构百分比、下次购买日期或数量。</x:v>
      </x:c>
      <x:c r="D31" s="6" t="str">
        <x:v>未来购买判断方法：比较不同独立项目的品类和时间分布，结合重招、参数变化及扩容场景作条件推断。完整交易历史、产能/库存、成交结果和复购事件不足，因此不给虚构百分比、下次购买日期或数量。</x:v>
      </x:c>
      <x:c r="E31" s="6" t="str">
        <x:v>未来购买判断方法：比较不同独立项目的品类和时间分布，结合重招、参数变化及扩容场景作条件推断。完整交易历史、产能/库存、成交结果和复购事件不足，因此不给虚构百分比、下次购买日期或数量。</x:v>
      </x:c>
      <x:c r="F31" s="6" t="str">
        <x:v>未来购买判断方法：比较不同独立项目的品类和时间分布，结合重招、参数变化及扩容场景作条件推断。完整交易历史、产能/库存、成交结果和复购事件不足，因此不给虚构百分比、下次购买日期或数量。</x:v>
      </x:c>
    </x:row>
    <x:row r="32" ht="28" customHeight="1">
      <x:c r="A32" s="6" t="str">
        <x:v>未来购买判断方法：比较不同独立项目的品类和时间分布，结合重招、参数变化及扩容场景作条件推断。完整交易历史、产能/库存、成交结果和复购事件不足，因此不给虚构百分比、下次购买日期或数量。</x:v>
      </x:c>
      <x:c r="B32" s="6" t="str">
        <x:v>未来购买判断方法：比较不同独立项目的品类和时间分布，结合重招、参数变化及扩容场景作条件推断。完整交易历史、产能/库存、成交结果和复购事件不足，因此不给虚构百分比、下次购买日期或数量。</x:v>
      </x:c>
      <x:c r="C32" s="6" t="str">
        <x:v>未来购买判断方法：比较不同独立项目的品类和时间分布，结合重招、参数变化及扩容场景作条件推断。完整交易历史、产能/库存、成交结果和复购事件不足，因此不给虚构百分比、下次购买日期或数量。</x:v>
      </x:c>
      <x:c r="D32" s="6" t="str">
        <x:v>未来购买判断方法：比较不同独立项目的品类和时间分布，结合重招、参数变化及扩容场景作条件推断。完整交易历史、产能/库存、成交结果和复购事件不足，因此不给虚构百分比、下次购买日期或数量。</x:v>
      </x:c>
      <x:c r="E32" s="6" t="str">
        <x:v>未来购买判断方法：比较不同独立项目的品类和时间分布，结合重招、参数变化及扩容场景作条件推断。完整交易历史、产能/库存、成交结果和复购事件不足，因此不给虚构百分比、下次购买日期或数量。</x:v>
      </x:c>
      <x:c r="F32" s="6" t="str">
        <x:v>未来购买判断方法：比较不同独立项目的品类和时间分布，结合重招、参数变化及扩容场景作条件推断。完整交易历史、产能/库存、成交结果和复购事件不足，因此不给虚构百分比、下次购买日期或数量。</x:v>
      </x:c>
    </x:row>
    <x:row r="33" ht="26" customHeight="1">
      <x:c r="A33" s="2"/>
      <x:c r="B33" s="2"/>
      <x:c r="C33" s="2"/>
      <x:c r="D33" s="2"/>
      <x:c r="E33" s="2"/>
      <x:c r="F33" s="2"/>
    </x:row>
    <x:row r="34" ht="30" customHeight="1">
      <x:c r="A34" s="9" t="str">
        <x:v>项目与公告频次（已取得样本）</x:v>
      </x:c>
      <x:c r="B34" s="9" t="str">
        <x:v>项目与公告频次（已取得样本）</x:v>
      </x:c>
      <x:c r="C34" s="9" t="str">
        <x:v>项目与公告频次（已取得样本）</x:v>
      </x:c>
      <x:c r="D34" s="9" t="str">
        <x:v>项目与公告频次（已取得样本）</x:v>
      </x:c>
      <x:c r="E34" s="9" t="str">
        <x:v>项目与公告频次（已取得样本）</x:v>
      </x:c>
      <x:c r="F34" s="9" t="str">
        <x:v>项目与公告频次（已取得样本）</x:v>
      </x:c>
    </x:row>
    <x:row r="35" ht="38" customHeight="1">
      <x:c r="A35" s="10" t="str">
        <x:v>月份</x:v>
      </x:c>
      <x:c r="B35" s="10" t="str">
        <x:v>首次可见项目</x:v>
      </x:c>
      <x:c r="C35" s="10" t="str">
        <x:v>独立公告</x:v>
      </x:c>
      <x:c r="D35" s="2"/>
      <x:c r="E35" s="2"/>
      <x:c r="F35" s="2"/>
    </x:row>
    <x:row r="36" ht="28" customHeight="1">
      <x:c r="A36" s="45" t="str">
        <x:v>2026-05</x:v>
      </x:c>
      <x:c r="B36" s="16" t="n">
        <x:f>COUNTIFS('采购项目明细'!$I$6:$I$16,"&gt;="&amp;DATE(2026,5,1),'采购项目明细'!$I$6:$I$16,"&lt;"&amp;DATE(2026,6,1))</x:f>
        <x:v>1</x:v>
      </x:c>
      <x:c r="C36" s="16" t="n">
        <x:f>COUNTIFS('公告与规格证据'!$F$6:$F$20,"&gt;="&amp;DATE(2026,5,1),'公告与规格证据'!$F$6:$F$20,"&lt;"&amp;DATE(2026,6,1))</x:f>
        <x:v>1</x:v>
      </x:c>
      <x:c r="D36" s="2"/>
      <x:c r="E36" s="2"/>
      <x:c r="F36" s="2"/>
    </x:row>
    <x:row r="37" ht="28" customHeight="1">
      <x:c r="A37" s="44" t="str">
        <x:v>2026-06</x:v>
      </x:c>
      <x:c r="B37" s="17" t="n">
        <x:f>COUNTIFS('采购项目明细'!$I$6:$I$16,"&gt;="&amp;DATE(2026,6,1),'采购项目明细'!$I$6:$I$16,"&lt;"&amp;DATE(2026,7,1))</x:f>
        <x:v>4</x:v>
      </x:c>
      <x:c r="C37" s="17" t="n">
        <x:f>COUNTIFS('公告与规格证据'!$F$6:$F$20,"&gt;="&amp;DATE(2026,6,1),'公告与规格证据'!$F$6:$F$20,"&lt;"&amp;DATE(2026,7,1))</x:f>
        <x:v>3</x:v>
      </x:c>
      <x:c r="D37" s="2"/>
      <x:c r="E37" s="2"/>
      <x:c r="F37" s="2"/>
    </x:row>
    <x:row r="38" ht="28" customHeight="1">
      <x:c r="A38" s="45" t="str">
        <x:v>2026-07</x:v>
      </x:c>
      <x:c r="B38" s="16" t="n">
        <x:f>COUNTIFS('采购项目明细'!$I$6:$I$16,"&gt;="&amp;DATE(2026,7,1),'采购项目明细'!$I$6:$I$16,"&lt;"&amp;DATE(2026,8,1))</x:f>
        <x:v>3</x:v>
      </x:c>
      <x:c r="C38" s="16" t="n">
        <x:f>COUNTIFS('公告与规格证据'!$F$6:$F$20,"&gt;="&amp;DATE(2026,7,1),'公告与规格证据'!$F$6:$F$20,"&lt;"&amp;DATE(2026,8,1))</x:f>
        <x:v>5</x:v>
      </x:c>
      <x:c r="D38" s="2"/>
      <x:c r="E38" s="2"/>
      <x:c r="F38" s="2"/>
    </x:row>
    <x:row r="39" ht="28" customHeight="1">
      <x:c r="A39" s="44" t="str">
        <x:v>2026-08</x:v>
      </x:c>
      <x:c r="B39" s="17" t="n">
        <x:f>COUNTIFS('采购项目明细'!$I$6:$I$16,"&gt;="&amp;DATE(2026,8,1),'采购项目明细'!$I$6:$I$16,"&lt;"&amp;DATE(2026,9,1))</x:f>
        <x:v>3</x:v>
      </x:c>
      <x:c r="C39" s="17" t="n">
        <x:f>COUNTIFS('公告与规格证据'!$F$6:$F$20,"&gt;="&amp;DATE(2026,8,1),'公告与规格证据'!$F$6:$F$20,"&lt;"&amp;DATE(2026,9,1))</x:f>
        <x:v>4</x:v>
      </x:c>
      <x:c r="D39" s="2"/>
      <x:c r="E39" s="2"/>
      <x:c r="F39" s="2"/>
    </x:row>
    <x:row r="40" ht="28" customHeight="1">
      <x:c r="A40" s="45" t="str">
        <x:v>2026-09</x:v>
      </x:c>
      <x:c r="B40" s="16" t="n">
        <x:f>COUNTIFS('采购项目明细'!$I$6:$I$16,"&gt;="&amp;DATE(2026,9,1),'采购项目明细'!$I$6:$I$16,"&lt;"&amp;DATE(2026,10,1))</x:f>
        <x:v>0</x:v>
      </x:c>
      <x:c r="C40" s="16" t="n">
        <x:f>COUNTIFS('公告与规格证据'!$F$6:$F$20,"&gt;="&amp;DATE(2026,9,1),'公告与规格证据'!$F$6:$F$20,"&lt;"&amp;DATE(2026,10,1))</x:f>
        <x:v>2</x:v>
      </x:c>
      <x:c r="D40" s="2"/>
      <x:c r="E40" s="2"/>
      <x:c r="F40" s="2"/>
    </x:row>
    <x:row r="41" ht="26" customHeight="1">
      <x:c r="A41" s="40" t="str">
        <x:v>样本合计</x:v>
      </x:c>
      <x:c r="B41" s="41" t="n">
        <x:f>SUM(B36:B40)</x:f>
        <x:v>11</x:v>
      </x:c>
      <x:c r="C41" s="41" t="n">
        <x:f>SUM(C36:C40)</x:f>
        <x:v>15</x:v>
      </x:c>
      <x:c r="D41" s="2"/>
      <x:c r="E41" s="2"/>
      <x:c r="F41" s="2"/>
    </x:row>
    <x:row r="42" ht="26" customHeight="1">
      <x:c r="A42" s="2"/>
      <x:c r="B42" s="2"/>
      <x:c r="C42" s="2"/>
      <x:c r="D42" s="2"/>
      <x:c r="E42" s="2"/>
      <x:c r="F42" s="2"/>
    </x:row>
    <x:row r="43" ht="26" customHeight="1">
      <x:c r="A43" s="2"/>
      <x:c r="B43" s="2"/>
      <x:c r="C43" s="2"/>
      <x:c r="D43" s="2"/>
      <x:c r="E43" s="2"/>
      <x:c r="F43" s="2"/>
    </x:row>
    <x:row r="44" ht="26" customHeight="1">
      <x:c r="A44" s="2"/>
      <x:c r="B44" s="2"/>
      <x:c r="C44" s="2"/>
      <x:c r="D44" s="2"/>
      <x:c r="E44" s="2"/>
      <x:c r="F44" s="2"/>
    </x:row>
    <x:row r="45" ht="29" customHeight="1">
      <x:c r="A45" s="6" t="str">
        <x:v>覆盖边界：原始公告来自诚E招采购代理，转载来自仪器信息网和中国污水处理工程网。深圳市比亚迪锂电池有限公司、惠州比亚迪电池有限公司在比亚迪2026半年报成本法投资中列示，纳入集团买方口径。未计其他企业采购比亚迪车辆/品牌，未计采购主体被遮挡的线索。</x:v>
      </x:c>
      <x:c r="B45" s="6" t="str">
        <x:v>覆盖边界：原始公告来自诚E招采购代理，转载来自仪器信息网和中国污水处理工程网。深圳市比亚迪锂电池有限公司、惠州比亚迪电池有限公司在比亚迪2026半年报成本法投资中列示，纳入集团买方口径。未计其他企业采购比亚迪车辆/品牌，未计采购主体被遮挡的线索。</x:v>
      </x:c>
      <x:c r="C45" s="6" t="str">
        <x:v>覆盖边界：原始公告来自诚E招采购代理，转载来自仪器信息网和中国污水处理工程网。深圳市比亚迪锂电池有限公司、惠州比亚迪电池有限公司在比亚迪2026半年报成本法投资中列示，纳入集团买方口径。未计其他企业采购比亚迪车辆/品牌，未计采购主体被遮挡的线索。</x:v>
      </x:c>
      <x:c r="D45" s="6" t="str">
        <x:v>覆盖边界：原始公告来自诚E招采购代理，转载来自仪器信息网和中国污水处理工程网。深圳市比亚迪锂电池有限公司、惠州比亚迪电池有限公司在比亚迪2026半年报成本法投资中列示，纳入集团买方口径。未计其他企业采购比亚迪车辆/品牌，未计采购主体被遮挡的线索。</x:v>
      </x:c>
      <x:c r="E45" s="6" t="str">
        <x:v>覆盖边界：原始公告来自诚E招采购代理，转载来自仪器信息网和中国污水处理工程网。深圳市比亚迪锂电池有限公司、惠州比亚迪电池有限公司在比亚迪2026半年报成本法投资中列示，纳入集团买方口径。未计其他企业采购比亚迪车辆/品牌，未计采购主体被遮挡的线索。</x:v>
      </x:c>
      <x:c r="F45" s="6" t="str">
        <x:v>覆盖边界：原始公告来自诚E招采购代理，转载来自仪器信息网和中国污水处理工程网。深圳市比亚迪锂电池有限公司、惠州比亚迪电池有限公司在比亚迪2026半年报成本法投资中列示，纳入集团买方口径。未计其他企业采购比亚迪车辆/品牌，未计采购主体被遮挡的线索。</x:v>
      </x:c>
    </x:row>
    <x:row r="46" ht="29" customHeight="1">
      <x:c r="A46" s="6" t="str">
        <x:v>覆盖边界：原始公告来自诚E招采购代理，转载来自仪器信息网和中国污水处理工程网。深圳市比亚迪锂电池有限公司、惠州比亚迪电池有限公司在比亚迪2026半年报成本法投资中列示，纳入集团买方口径。未计其他企业采购比亚迪车辆/品牌，未计采购主体被遮挡的线索。</x:v>
      </x:c>
      <x:c r="B46" s="6" t="str">
        <x:v>覆盖边界：原始公告来自诚E招采购代理，转载来自仪器信息网和中国污水处理工程网。深圳市比亚迪锂电池有限公司、惠州比亚迪电池有限公司在比亚迪2026半年报成本法投资中列示，纳入集团买方口径。未计其他企业采购比亚迪车辆/品牌，未计采购主体被遮挡的线索。</x:v>
      </x:c>
      <x:c r="C46" s="6" t="str">
        <x:v>覆盖边界：原始公告来自诚E招采购代理，转载来自仪器信息网和中国污水处理工程网。深圳市比亚迪锂电池有限公司、惠州比亚迪电池有限公司在比亚迪2026半年报成本法投资中列示，纳入集团买方口径。未计其他企业采购比亚迪车辆/品牌，未计采购主体被遮挡的线索。</x:v>
      </x:c>
      <x:c r="D46" s="6" t="str">
        <x:v>覆盖边界：原始公告来自诚E招采购代理，转载来自仪器信息网和中国污水处理工程网。深圳市比亚迪锂电池有限公司、惠州比亚迪电池有限公司在比亚迪2026半年报成本法投资中列示，纳入集团买方口径。未计其他企业采购比亚迪车辆/品牌，未计采购主体被遮挡的线索。</x:v>
      </x:c>
      <x:c r="E46" s="6" t="str">
        <x:v>覆盖边界：原始公告来自诚E招采购代理，转载来自仪器信息网和中国污水处理工程网。深圳市比亚迪锂电池有限公司、惠州比亚迪电池有限公司在比亚迪2026半年报成本法投资中列示，纳入集团买方口径。未计其他企业采购比亚迪车辆/品牌，未计采购主体被遮挡的线索。</x:v>
      </x:c>
      <x:c r="F46" s="6" t="str">
        <x:v>覆盖边界：原始公告来自诚E招采购代理，转载来自仪器信息网和中国污水处理工程网。深圳市比亚迪锂电池有限公司、惠州比亚迪电池有限公司在比亚迪2026半年报成本法投资中列示，纳入集团买方口径。未计其他企业采购比亚迪车辆/品牌，未计采购主体被遮挡的线索。</x:v>
      </x:c>
    </x:row>
    <x:row r="47" ht="26" customHeight="1">
      <x:c r="A47" s="2"/>
      <x:c r="B47" s="2"/>
      <x:c r="C47" s="2"/>
      <x:c r="D47" s="2"/>
      <x:c r="E47" s="2"/>
      <x:c r="F47" s="2"/>
    </x:row>
  </x:sheetData>
  <x:mergeCells>
    <x:mergeCell ref="A2:F2"/>
    <x:mergeCell ref="A3:F3"/>
    <x:mergeCell ref="A6:B6"/>
    <x:mergeCell ref="A7:B7"/>
    <x:mergeCell ref="C6:D6"/>
    <x:mergeCell ref="C7:D7"/>
    <x:mergeCell ref="E6:F6"/>
    <x:mergeCell ref="E7:F7"/>
    <x:mergeCell ref="A8:B8"/>
    <x:mergeCell ref="C8:D8"/>
    <x:mergeCell ref="E8:F8"/>
    <x:mergeCell ref="A10:B10"/>
    <x:mergeCell ref="C10:D10"/>
    <x:mergeCell ref="E10:F10"/>
    <x:mergeCell ref="A11:F12"/>
    <x:mergeCell ref="A13:F14"/>
    <x:mergeCell ref="A15:F15"/>
    <x:mergeCell ref="A24:F24"/>
    <x:mergeCell ref="A25:B25"/>
    <x:mergeCell ref="C25:F25"/>
    <x:mergeCell ref="A26:B26"/>
    <x:mergeCell ref="C26:F26"/>
    <x:mergeCell ref="A27:B27"/>
    <x:mergeCell ref="C27:F27"/>
    <x:mergeCell ref="A28:B28"/>
    <x:mergeCell ref="C28:F28"/>
    <x:mergeCell ref="A29:B29"/>
    <x:mergeCell ref="C29:F29"/>
    <x:mergeCell ref="A31:F32"/>
    <x:mergeCell ref="A34:F34"/>
    <x:mergeCell ref="A45:F46"/>
  </x:mergeCells>
  <x:pageMargins left="0.7" right="0.7" top="0.75" bottom="0.75" header="0.3" footer="0.3"/>
  <x:drawing xmlns:r="http://schemas.openxmlformats.org/officeDocument/2006/relationships" r:id="Re6a99420749d41fb"/>
</x:worksheet>
</file>

<file path=xl/worksheets/sheet2.xml><?xml version="1.0" encoding="utf-8"?>
<x:worksheet xmlns:x="http://schemas.openxmlformats.org/spreadsheetml/2006/main">
  <x:sheetPr>
    <x:tabColor rgb="FF336D60"/>
  </x:sheetPr>
  <x:sheetViews>
    <x:sheetView showGridLines="0" workbookViewId="0">
      <x:pane xSplit="2" ySplit="5" topLeftCell="C6" activePane="bottomRight" state="frozen"/>
    </x:sheetView>
  </x:sheetViews>
  <x:sheetFormatPr defaultRowHeight="15"/>
  <x:cols>
    <x:col min="1" max="1" width="44" hidden="0" customWidth="1"/>
    <x:col min="2" max="2" width="34" hidden="0" customWidth="1"/>
    <x:col min="3" max="3" width="21" hidden="0" customWidth="1"/>
    <x:col min="4" max="4" width="31" hidden="0" customWidth="1"/>
    <x:col min="5" max="5" width="20" hidden="0" customWidth="1"/>
    <x:col min="6" max="6" width="13" hidden="0" customWidth="1"/>
    <x:col min="7" max="7" width="10" hidden="0" customWidth="1"/>
    <x:col min="8" max="8" width="77" hidden="0" customWidth="1"/>
    <x:col min="9" max="9" width="18" hidden="0" customWidth="1"/>
    <x:col min="10" max="10" width="18" hidden="0" customWidth="1"/>
    <x:col min="11" max="11" width="18" hidden="0" customWidth="1"/>
    <x:col min="12" max="12" width="15" hidden="0" customWidth="1"/>
    <x:col min="13" max="13" width="22" hidden="0" customWidth="1"/>
    <x:col min="14" max="14" width="25" hidden="0" customWidth="1"/>
    <x:col min="15" max="15" width="23" hidden="0" customWidth="1"/>
    <x:col min="16" max="16" width="23" hidden="0" customWidth="1"/>
    <x:col min="17" max="17" width="35" hidden="0" customWidth="1"/>
    <x:col min="18" max="18" width="43" hidden="0" customWidth="1"/>
    <x:col min="19" max="19" width="45" hidden="0" customWidth="1"/>
    <x:col min="20" max="20" width="57" hidden="0" customWidth="1"/>
    <x:col min="21" max="21" width="62" hidden="0" customWidth="1"/>
    <x:col min="22" max="22" width="38" hidden="0" customWidth="1"/>
    <x:col min="23" max="23" width="24" hidden="0" customWidth="1"/>
  </x:cols>
  <x:sheetData>
    <x:row r="1" ht="26" customHeight="1">
      <x:c r="A1" s="2"/>
      <x:c r="B1" s="2"/>
      <x:c r="C1" s="2"/>
      <x:c r="D1" s="2"/>
      <x:c r="E1" s="2"/>
      <x:c r="F1" s="2"/>
      <x:c r="G1" s="2"/>
      <x:c r="H1" s="2"/>
      <x:c r="I1" s="2"/>
      <x:c r="J1" s="2"/>
      <x:c r="K1" s="2"/>
      <x:c r="L1" s="2"/>
      <x:c r="M1" s="2"/>
      <x:c r="N1" s="2"/>
      <x:c r="O1" s="2"/>
      <x:c r="P1" s="2"/>
      <x:c r="Q1" s="2"/>
      <x:c r="R1" s="2"/>
      <x:c r="S1" s="2"/>
      <x:c r="T1" s="2"/>
      <x:c r="U1" s="2"/>
      <x:c r="V1" s="2"/>
      <x:c r="W1" s="2"/>
    </x:row>
    <x:row r="2" ht="30" customHeight="1">
      <x:c r="A2" s="4" t="str">
        <x:v>比亚迪直接采购项目明细</x:v>
      </x:c>
      <x:c r="B2" s="4" t="str">
        <x:v>比亚迪直接采购项目明细</x:v>
      </x:c>
      <x:c r="C2" s="4" t="str">
        <x:v>比亚迪直接采购项目明细</x:v>
      </x:c>
      <x:c r="D2" s="4" t="str">
        <x:v>比亚迪直接采购项目明细</x:v>
      </x:c>
      <x:c r="E2" s="4" t="str">
        <x:v>比亚迪直接采购项目明细</x:v>
      </x:c>
      <x:c r="F2" s="4" t="str">
        <x:v>比亚迪直接采购项目明细</x:v>
      </x:c>
      <x:c r="G2" s="4" t="str">
        <x:v>比亚迪直接采购项目明细</x:v>
      </x:c>
      <x:c r="H2" s="4" t="str">
        <x:v>比亚迪直接采购项目明细</x:v>
      </x:c>
      <x:c r="I2" s="2"/>
      <x:c r="J2" s="2"/>
      <x:c r="K2" s="2"/>
      <x:c r="L2" s="2"/>
      <x:c r="M2" s="2"/>
      <x:c r="N2" s="2"/>
      <x:c r="O2" s="2"/>
      <x:c r="P2" s="2"/>
      <x:c r="Q2" s="2"/>
      <x:c r="R2" s="2"/>
      <x:c r="S2" s="2"/>
      <x:c r="T2" s="2"/>
      <x:c r="U2" s="2"/>
      <x:c r="V2" s="2"/>
      <x:c r="W2" s="2"/>
    </x:row>
    <x:row r="3" ht="30" customHeight="1">
      <x:c r="A3" s="6" t="str">
        <x:v>窗口2025-10-08至2026-10-08。集团两家子公司作为买方；需求、预算、候选均不等于成交。</x:v>
      </x:c>
      <x:c r="B3" s="6" t="str">
        <x:v>窗口2025-10-08至2026-10-08。集团两家子公司作为买方；需求、预算、候选均不等于成交。</x:v>
      </x:c>
      <x:c r="C3" s="6" t="str">
        <x:v>窗口2025-10-08至2026-10-08。集团两家子公司作为买方；需求、预算、候选均不等于成交。</x:v>
      </x:c>
      <x:c r="D3" s="6" t="str">
        <x:v>窗口2025-10-08至2026-10-08。集团两家子公司作为买方；需求、预算、候选均不等于成交。</x:v>
      </x:c>
      <x:c r="E3" s="6" t="str">
        <x:v>窗口2025-10-08至2026-10-08。集团两家子公司作为买方；需求、预算、候选均不等于成交。</x:v>
      </x:c>
      <x:c r="F3" s="6" t="str">
        <x:v>窗口2025-10-08至2026-10-08。集团两家子公司作为买方；需求、预算、候选均不等于成交。</x:v>
      </x:c>
      <x:c r="G3" s="6" t="str">
        <x:v>窗口2025-10-08至2026-10-08。集团两家子公司作为买方；需求、预算、候选均不等于成交。</x:v>
      </x:c>
      <x:c r="H3" s="6" t="str">
        <x:v>窗口2025-10-08至2026-10-08。集团两家子公司作为买方；需求、预算、候选均不等于成交。</x:v>
      </x:c>
      <x:c r="I3" s="2"/>
      <x:c r="J3" s="2"/>
      <x:c r="K3" s="2"/>
      <x:c r="L3" s="2"/>
      <x:c r="M3" s="2"/>
      <x:c r="N3" s="2"/>
      <x:c r="O3" s="2"/>
      <x:c r="P3" s="2"/>
      <x:c r="Q3" s="2"/>
      <x:c r="R3" s="2"/>
      <x:c r="S3" s="2"/>
      <x:c r="T3" s="2"/>
      <x:c r="U3" s="2"/>
      <x:c r="V3" s="2"/>
      <x:c r="W3" s="2"/>
    </x:row>
    <x:row r="4" ht="26" customHeight="1">
      <x:c r="A4" s="2"/>
      <x:c r="B4" s="2"/>
      <x:c r="C4" s="2"/>
      <x:c r="D4" s="2"/>
      <x:c r="E4" s="2"/>
      <x:c r="F4" s="2"/>
      <x:c r="G4" s="2"/>
      <x:c r="H4" s="2"/>
      <x:c r="I4" s="2"/>
      <x:c r="J4" s="2"/>
      <x:c r="K4" s="2"/>
      <x:c r="L4" s="2"/>
      <x:c r="M4" s="2"/>
      <x:c r="N4" s="2"/>
      <x:c r="O4" s="2"/>
      <x:c r="P4" s="2"/>
      <x:c r="Q4" s="2"/>
      <x:c r="R4" s="2"/>
      <x:c r="S4" s="2"/>
      <x:c r="T4" s="2"/>
      <x:c r="U4" s="2"/>
      <x:c r="V4" s="2"/>
      <x:c r="W4" s="2"/>
    </x:row>
    <x:row r="5" ht="38" customHeight="1">
      <x:c r="A5" s="10" t="str">
        <x:v>基础项目号/标包</x:v>
      </x:c>
      <x:c r="B5" s="10" t="str">
        <x:v>实际采购法人</x:v>
      </x:c>
      <x:c r="C5" s="10" t="str">
        <x:v>分析品类</x:v>
      </x:c>
      <x:c r="D5" s="10" t="str">
        <x:v>采购产品</x:v>
      </x:c>
      <x:c r="E5" s="10" t="str">
        <x:v>新购品牌/型号</x:v>
      </x:c>
      <x:c r="F5" s="10" t="str">
        <x:v>招标需求数量</x:v>
      </x:c>
      <x:c r="G5" s="10" t="str">
        <x:v>单位</x:v>
      </x:c>
      <x:c r="H5" s="10" t="str">
        <x:v>具体技术规格（版本分列）</x:v>
      </x:c>
      <x:c r="I5" s="10" t="str">
        <x:v>首次可见需求日期</x:v>
      </x:c>
      <x:c r="J5" s="10" t="str">
        <x:v>最近原始公告日期</x:v>
      </x:c>
      <x:c r="K5" s="10" t="str">
        <x:v>最近转载阶段日期</x:v>
      </x:c>
      <x:c r="L5" s="10" t="str">
        <x:v>样本独立项目次数</x:v>
      </x:c>
      <x:c r="M5" s="10" t="str">
        <x:v>最新已知预算（不含税，元）</x:v>
      </x:c>
      <x:c r="N5" s="10" t="str">
        <x:v>币种口径</x:v>
      </x:c>
      <x:c r="O5" s="10" t="str">
        <x:v>候选报价（不含税，元）</x:v>
      </x:c>
      <x:c r="P5" s="10" t="str">
        <x:v>候选报价（含税，元）</x:v>
      </x:c>
      <x:c r="Q5" s="10" t="str">
        <x:v>公示候选供应商</x:v>
      </x:c>
      <x:c r="R5" s="10" t="str">
        <x:v>截至2026-10-08的证据阶段</x:v>
      </x:c>
      <x:c r="S5" s="10" t="str">
        <x:v>交期/交货地/验收</x:v>
      </x:c>
      <x:c r="T5" s="10" t="str">
        <x:v>采购与付款特征</x:v>
      </x:c>
      <x:c r="U5" s="10" t="str">
        <x:v>未来90天购买可能性分析</x:v>
      </x:c>
      <x:c r="V5" s="10" t="str">
        <x:v>数量证据来源</x:v>
      </x:c>
      <x:c r="W5" s="10" t="str">
        <x:v>公告证据编号</x:v>
      </x:c>
    </x:row>
    <x:row r="6" ht="95" customHeight="1">
      <x:c r="A6" s="20" t="str">
        <x:v>SZ-05-04A-2026-D-F-E16729</x:v>
      </x:c>
      <x:c r="B6" s="13" t="str">
        <x:v>深圳市比亚迪锂电池有限公司</x:v>
      </x:c>
      <x:c r="C6" s="13" t="str">
        <x:v>材料分析仪器</x:v>
      </x:c>
      <x:c r="D6" s="13" t="str">
        <x:v>场发射扫描电子显微镜</x:v>
      </x:c>
      <x:c r="E6" s="13" t="str">
        <x:v>未披露</x:v>
      </x:c>
      <x:c r="F6" s="16" t="n">
        <x:v>1</x:v>
      </x:c>
      <x:c r="G6" s="13" t="str">
        <x:v>台</x:v>
      </x:c>
      <x:c r="H6" s="13" t="str">
        <x:v>初次：≤1.0nm@15kV、≤1.2nm@1kV、减速模式≤1.0nm@1kV、≤1.2nm@500V。二次转载：不启用DCV时≤0.6nm@15kV（非减速）、≤0.8nm@1kV、≤0.9nm@300V；原始二次待核。</x:v>
      </x:c>
      <x:c r="I6" s="14" t="d">
        <x:v>2026-06-25T00:00:00.000Z</x:v>
      </x:c>
      <x:c r="J6" s="14" t="d">
        <x:v>2026-06-25T00:00:00.000Z</x:v>
      </x:c>
      <x:c r="K6" s="14" t="d">
        <x:v>2026-09-01T00:00:00.000Z</x:v>
      </x:c>
      <x:c r="L6" s="16" t="n">
        <x:v>1</x:v>
      </x:c>
      <x:c r="M6" s="18" t="n">
        <x:v>3900000</x:v>
      </x:c>
      <x:c r="N6" s="13" t="str">
        <x:v>元（原文未明确币种）</x:v>
      </x:c>
      <x:c r="O6" s="18" t="str">
        <x:v>未披露</x:v>
      </x:c>
      <x:c r="P6" s="18" t="str">
        <x:v>未披露</x:v>
      </x:c>
      <x:c r="Q6" s="13" t="str">
        <x:v>未披露</x:v>
      </x:c>
      <x:c r="R6" s="13" t="str">
        <x:v>初次原始公告已核；二次全文转载，原始二次待核</x:v>
      </x:c>
      <x:c r="S6" s="13" t="str">
        <x:v>签订合同后180天内交货
深圳市</x:v>
      </x:c>
      <x:c r="T6" s="13" t="str">
        <x:v>制造商或唯一授权合法代理商；不接受联合体
货到60%、验收40%，电汇
二次同名转载显示技术指标更严，需核原始二次公告</x:v>
      </x:c>
      <x:c r="U6" s="13" t="str">
        <x:v>二次转载显示采购流程延续及参数修订。可监测授标或再次招标；同项目延续不能计为第二次购买。</x:v>
      </x:c>
      <x:c r="V6" s="13" t="str">
        <x:v>原始公告（未披露项保持未知）</x:v>
      </x:c>
      <x:c r="W6" s="13" t="str">
        <x:v>S002、O006</x:v>
      </x:c>
    </x:row>
    <x:row r="7" ht="95" customHeight="1">
      <x:c r="A7" s="21" t="str">
        <x:v>SZ-05-04A-2026-D-F-E17412</x:v>
      </x:c>
      <x:c r="B7" s="12" t="str">
        <x:v>惠州比亚迪电池有限公司</x:v>
      </x:c>
      <x:c r="C7" s="12" t="str">
        <x:v>工业废水储罐</x:v>
      </x:c>
      <x:c r="D7" s="12" t="str">
        <x:v>3立方储罐</x:v>
      </x:c>
      <x:c r="E7" s="12" t="str">
        <x:v>未披露</x:v>
      </x:c>
      <x:c r="F7" s="17" t="n">
        <x:v>7</x:v>
      </x:c>
      <x:c r="G7" s="12" t="str">
        <x:v>台</x:v>
      </x:c>
      <x:c r="H7" s="12" t="str">
        <x:v>同编号转载披露：3m³立式PPH（均聚聚丙烯）储罐7台；工业酸/碱废水暂存及初步中和；工作温度−10至80℃、设计90℃；常压工作、设计0.1MPa。数量及规格未取得原始招标核验。</x:v>
      </x:c>
      <x:c r="I7" s="15" t="d">
        <x:v>2026-08-11T00:00:00.000Z</x:v>
      </x:c>
      <x:c r="J7" s="15" t="d">
        <x:v>2026-09-01T00:00:00.000Z</x:v>
      </x:c>
      <x:c r="K7" s="15" t="d">
        <x:v>2026-08-11T00:00:00.000Z</x:v>
      </x:c>
      <x:c r="L7" s="17" t="n">
        <x:v>1</x:v>
      </x:c>
      <x:c r="M7" s="19" t="n">
        <x:v>140000</x:v>
      </x:c>
      <x:c r="N7" s="12" t="str">
        <x:v>元（原文未明确币种）</x:v>
      </x:c>
      <x:c r="O7" s="19" t="n">
        <x:v>101772.57</x:v>
      </x:c>
      <x:c r="P7" s="19" t="n">
        <x:v>115003</x:v>
      </x:c>
      <x:c r="Q7" s="12" t="str">
        <x:v>湖北省德海化工设备有限公司</x:v>
      </x:c>
      <x:c r="R7" s="12" t="str">
        <x:v>中标候选人公示（未见最终结果）</x:v>
      </x:c>
      <x:c r="S7" s="12" t="str">
        <x:v>签订合同后90天内交货（转载）
签订合同后59天内交货
湖北省宜昌市（转载）</x:v>
      </x:c>
      <x:c r="T7" s="12" t="str">
        <x:v>安装完成付款60%、验收合格40%，电汇（转载）
聚丙烯立式储罐；不是储能电池设备
规格、数量及预算目前仅在转载公告可读，需原始招标附件确认</x:v>
      </x:c>
      <x:c r="U7" s="12" t="str">
        <x:v>已有第一候选。7台属于同次项目需求；没有新增储罐需求或固定补货周期证据。</x:v>
      </x:c>
      <x:c r="V7" s="12" t="str">
        <x:v>同编号全文转载</x:v>
      </x:c>
      <x:c r="W7" s="12" t="str">
        <x:v>O011、O017</x:v>
      </x:c>
    </x:row>
    <x:row r="8" ht="95" customHeight="1">
      <x:c r="A8" s="20" t="str">
        <x:v>SZ-05-04A-2026-D-F-E23492</x:v>
      </x:c>
      <x:c r="B8" s="13" t="str">
        <x:v>惠州比亚迪电池有限公司</x:v>
      </x:c>
      <x:c r="C8" s="13" t="str">
        <x:v>材料制备设备</x:v>
      </x:c>
      <x:c r="D8" s="13" t="str">
        <x:v>气碎机</x:v>
      </x:c>
      <x:c r="E8" s="13" t="str">
        <x:v>未披露</x:v>
      </x:c>
      <x:c r="F8" s="16" t="n">
        <x:v>1</x:v>
      </x:c>
      <x:c r="G8" s="13" t="str">
        <x:v>台</x:v>
      </x:c>
      <x:c r="H8" s="13" t="str">
        <x:v>气碎机；负极材料（树脂碳）；处理量50kg/h；0.8MPa、60目进料；6≤D50≤9μm、D90≤14μm、D100≤24μm；氮气内循环；原文防爆标记Extb Ⅲ CT 135℃ Db。</x:v>
      </x:c>
      <x:c r="I8" s="14" t="d">
        <x:v>2026-08-31T00:00:00.000Z</x:v>
      </x:c>
      <x:c r="J8" s="14" t="d">
        <x:v>2026-08-31T00:00:00.000Z</x:v>
      </x:c>
      <x:c r="K8" s="14"/>
      <x:c r="L8" s="16" t="n">
        <x:v>1</x:v>
      </x:c>
      <x:c r="M8" s="18" t="n">
        <x:v>1600000</x:v>
      </x:c>
      <x:c r="N8" s="13" t="str">
        <x:v>元（原文未明确币种）</x:v>
      </x:c>
      <x:c r="O8" s="18" t="str">
        <x:v>未披露</x:v>
      </x:c>
      <x:c r="P8" s="18" t="str">
        <x:v>未披露</x:v>
      </x:c>
      <x:c r="Q8" s="13" t="str">
        <x:v>未披露</x:v>
      </x:c>
      <x:c r="R8" s="13" t="str">
        <x:v>招标公告（截止已过，结果未知）</x:v>
      </x:c>
      <x:c r="S8" s="13" t="str">
        <x:v>签订合同后90天内交货，湖北省宜昌市
湖北省宜昌市</x:v>
      </x:c>
      <x:c r="T8" s="13" t="str">
        <x:v>预付30%、发货30%、验收30%、一年质保10%，电汇</x:v>
      </x:c>
      <x:c r="U8" s="13" t="str">
        <x:v>是本次取得的最近原始新设备招标。材料制备品类需求具延续线索；本项目截止已过、结果未知，不能当当前开放订单或推算复购。</x:v>
      </x:c>
      <x:c r="V8" s="13" t="str">
        <x:v>原始公告（未披露项保持未知）</x:v>
      </x:c>
      <x:c r="W8" s="13" t="str">
        <x:v>S001</x:v>
      </x:c>
    </x:row>
    <x:row r="9" ht="95" customHeight="1">
      <x:c r="A9" s="21" t="str">
        <x:v>SZ-05-04A-2026-D-F-E23512</x:v>
      </x:c>
      <x:c r="B9" s="12" t="str">
        <x:v>深圳市比亚迪锂电池有限公司</x:v>
      </x:c>
      <x:c r="C9" s="12" t="str">
        <x:v>AI服务器平台</x:v>
      </x:c>
      <x:c r="D9" s="12" t="str">
        <x:v>智能体平台（服务器硬件及集群调优服务）</x:v>
      </x:c>
      <x:c r="E9" s="12" t="str">
        <x:v>未披露</x:v>
      </x:c>
      <x:c r="F9" s="17" t="n">
        <x:v>1</x:v>
      </x:c>
      <x:c r="G9" s="12" t="str">
        <x:v>台</x:v>
      </x:c>
      <x:c r="H9" s="12" t="str">
        <x:v>新购国产服务器1台；≤10U；≥2颗x86 CPU、每颗≥96核；≥16张GPU、每张≥32GB；≥24×64GB DDR5；≥4×3.84TB NVMe；25G与400G网络；3年原厂质保。现网4台海光BW1000仅为调优对象。</x:v>
      </x:c>
      <x:c r="I9" s="15" t="d">
        <x:v>2026-08-28T00:00:00.000Z</x:v>
      </x:c>
      <x:c r="J9" s="15" t="d">
        <x:v>2026-08-28T00:00:00.000Z</x:v>
      </x:c>
      <x:c r="K9" s="15"/>
      <x:c r="L9" s="17" t="n">
        <x:v>1</x:v>
      </x:c>
      <x:c r="M9" s="19" t="n">
        <x:v>1370000</x:v>
      </x:c>
      <x:c r="N9" s="12" t="str">
        <x:v>元（原文未明确币种）</x:v>
      </x:c>
      <x:c r="O9" s="19" t="str">
        <x:v>未披露</x:v>
      </x:c>
      <x:c r="P9" s="19" t="str">
        <x:v>未披露</x:v>
      </x:c>
      <x:c r="Q9" s="12" t="str">
        <x:v>未披露</x:v>
      </x:c>
      <x:c r="R9" s="12" t="str">
        <x:v>招标公告（截止已过，结果未知）</x:v>
      </x:c>
      <x:c r="S9" s="12" t="str">
        <x:v>签订合同后60天内交货
深圳市
稳定运行3个月无故障通过验收；故障供应商无法解决可退货</x:v>
      </x:c>
      <x:c r="T9" s="12" t="str">
        <x:v>国产服务器品牌；≥16张GPU；提供原厂项目授权函及服务承诺函
含现网4台海光BW1000集群调优与培训
全部6个月商票，30%/30%/30%/10%付款节点
稳定运行3个月的验收条件</x:v>
      </x:c>
      <x:c r="U9" s="12" t="str">
        <x:v>存在扩容与运维场景：本次新增1台、同时调优现网4台。只有新增算力需求或扩容公告才能支持再次购机，不能据现网数量推算复购。</x:v>
      </x:c>
      <x:c r="V9" s="12" t="str">
        <x:v>原始公告（未披露项保持未知）</x:v>
      </x:c>
      <x:c r="W9" s="12" t="str">
        <x:v>O004</x:v>
      </x:c>
    </x:row>
    <x:row r="10" ht="95" customHeight="1">
      <x:c r="A10" s="20" t="str">
        <x:v>SZ-05-04A-2026-D-F-E17466</x:v>
      </x:c>
      <x:c r="B10" s="13" t="str">
        <x:v>惠州比亚迪电池有限公司</x:v>
      </x:c>
      <x:c r="C10" s="13" t="str">
        <x:v>材料制备设备</x:v>
      </x:c>
      <x:c r="D10" s="13" t="str">
        <x:v>100Kg硅沉积流化床</x:v>
      </x:c>
      <x:c r="E10" s="13" t="str">
        <x:v>未披露</x:v>
      </x:c>
      <x:c r="F10" s="16" t="n">
        <x:v>1</x:v>
      </x:c>
      <x:c r="G10" s="13" t="str">
        <x:v>台</x:v>
      </x:c>
      <x:c r="H10" s="13" t="str">
        <x:v>100Kg硅沉积流化床；单次加料40–60kg；加料罐≥400L；二次尺寸≤7×4×12m；硅烷在线监测；PLC对接DCS/SCADA。初次高度≤9m，不能混用版本。</x:v>
      </x:c>
      <x:c r="I10" s="14" t="d">
        <x:v>2026-07-01T00:00:00.000Z</x:v>
      </x:c>
      <x:c r="J10" s="14" t="d">
        <x:v>2026-08-19T00:00:00.000Z</x:v>
      </x:c>
      <x:c r="K10" s="14"/>
      <x:c r="L10" s="16" t="n">
        <x:v>1</x:v>
      </x:c>
      <x:c r="M10" s="18" t="n">
        <x:v>2000000</x:v>
      </x:c>
      <x:c r="N10" s="13" t="str">
        <x:v>元（原文未明确币种）</x:v>
      </x:c>
      <x:c r="O10" s="18" t="n">
        <x:v>1026548.67</x:v>
      </x:c>
      <x:c r="P10" s="18" t="n">
        <x:v>1160000</x:v>
      </x:c>
      <x:c r="Q10" s="13" t="str">
        <x:v>佛山市赛普飞特科技有限公司</x:v>
      </x:c>
      <x:c r="R10" s="13" t="str">
        <x:v>中标候选人公示（未见最终结果）</x:v>
      </x:c>
      <x:c r="S10" s="13" t="str">
        <x:v>签订合同后90天内交货
签订合同后60天内交货
湖北省宜昌市</x:v>
      </x:c>
      <x:c r="T10" s="13" t="str">
        <x:v>制造商或唯一授权合法代理商；不接受联合体
预付30%/到货30%/验收30%/一年质保10%，电汇
一次项目重招且预算下调；不代表两次购买</x:v>
      </x:c>
      <x:c r="U10" s="13" t="str">
        <x:v>同类材料制备新项目有延续线索。此项目已到候选阶段，新增同型号复购无法判断。若出现新产线/材料路线公告，可能性上升。</x:v>
      </x:c>
      <x:c r="V10" s="13" t="str">
        <x:v>原始公告（未披露项保持未知）</x:v>
      </x:c>
      <x:c r="W10" s="13" t="str">
        <x:v>O008、O007、O001</x:v>
      </x:c>
    </x:row>
    <x:row r="11" ht="95" customHeight="1">
      <x:c r="A11" s="21" t="str">
        <x:v>SZ-05-04A-2026-D-F-E15235</x:v>
      </x:c>
      <x:c r="B11" s="12" t="str">
        <x:v>深圳市比亚迪锂电池有限公司</x:v>
      </x:c>
      <x:c r="C11" s="12" t="str">
        <x:v>材料制备设备</x:v>
      </x:c>
      <x:c r="D11" s="12" t="str">
        <x:v>实验室温等静压机</x:v>
      </x:c>
      <x:c r="E11" s="12" t="str">
        <x:v>未披露</x:v>
      </x:c>
      <x:c r="F11" s="17" t="n">
        <x:v>1</x:v>
      </x:c>
      <x:c r="G11" s="12" t="str">
        <x:v>台</x:v>
      </x:c>
      <x:c r="H11" s="12" t="str">
        <x:v>实验室温等静压机；工作缸D120mm×L800mm；设计压力≥880MPa；调节精度1MPa；立式钢带缠绕；800MPa、150℃工况下测量精度≤±0.5%F.S.。</x:v>
      </x:c>
      <x:c r="I11" s="15" t="d">
        <x:v>2026-07-14T00:00:00.000Z</x:v>
      </x:c>
      <x:c r="J11" s="15" t="d">
        <x:v>2026-07-14T00:00:00.000Z</x:v>
      </x:c>
      <x:c r="K11" s="15"/>
      <x:c r="L11" s="17" t="n">
        <x:v>1</x:v>
      </x:c>
      <x:c r="M11" s="19" t="n">
        <x:v>5000000</x:v>
      </x:c>
      <x:c r="N11" s="12" t="str">
        <x:v>元（原文未明确币种）</x:v>
      </x:c>
      <x:c r="O11" s="19" t="str">
        <x:v>未披露</x:v>
      </x:c>
      <x:c r="P11" s="19" t="str">
        <x:v>未披露</x:v>
      </x:c>
      <x:c r="Q11" s="12" t="str">
        <x:v>未披露</x:v>
      </x:c>
      <x:c r="R11" s="12" t="str">
        <x:v>二次招标公告（截止已过，结果未知）</x:v>
      </x:c>
      <x:c r="S11" s="12" t="str">
        <x:v>签订合同后180天内交货
深圳市龙岗区</x:v>
      </x:c>
      <x:c r="T11" s="12" t="str">
        <x:v>制造商或唯一授权合法代理商；不接受联合体
货到凭票60%、验收合格40%，全部电汇
本地仅二次公告，不能推定另买一台或年复购次数</x:v>
      </x:c>
      <x:c r="U11" s="12" t="str">
        <x:v>同类研发制备需求有线索。单台长交期设备通常按项目配置；没有同型号再次购买或固定周期证据。</x:v>
      </x:c>
      <x:c r="V11" s="12" t="str">
        <x:v>原始公告（未披露项保持未知）</x:v>
      </x:c>
      <x:c r="W11" s="12" t="str">
        <x:v>O002</x:v>
      </x:c>
    </x:row>
    <x:row r="12" ht="95" customHeight="1">
      <x:c r="A12" s="20" t="str">
        <x:v>SZ-05-04A-2026-D-F-E17264</x:v>
      </x:c>
      <x:c r="B12" s="13" t="str">
        <x:v>惠州比亚迪电池有限公司</x:v>
      </x:c>
      <x:c r="C12" s="13" t="str">
        <x:v>材料制备设备</x:v>
      </x:c>
      <x:c r="D12" s="13" t="str">
        <x:v>分级机</x:v>
      </x:c>
      <x:c r="E12" s="13" t="str">
        <x:v>未披露</x:v>
      </x:c>
      <x:c r="F12" s="16" t="str">
        <x:v>未披露</x:v>
      </x:c>
      <x:c r="G12" s="13" t="str">
        <x:v>未披露</x:v>
      </x:c>
      <x:c r="H12" s="13" t="str">
        <x:v>中止公告未披露数量和参数。原文明确因项目需求和预算变更中止。</x:v>
      </x:c>
      <x:c r="I12" s="14" t="d">
        <x:v>2026-06-30T00:00:00.000Z</x:v>
      </x:c>
      <x:c r="J12" s="14" t="d">
        <x:v>2026-07-10T00:00:00.000Z</x:v>
      </x:c>
      <x:c r="K12" s="14"/>
      <x:c r="L12" s="16" t="n">
        <x:v>1</x:v>
      </x:c>
      <x:c r="M12" s="18" t="str">
        <x:v>未披露</x:v>
      </x:c>
      <x:c r="N12" s="13" t="str">
        <x:v>元（原文未明确币种）</x:v>
      </x:c>
      <x:c r="O12" s="18" t="str">
        <x:v>未披露</x:v>
      </x:c>
      <x:c r="P12" s="18" t="str">
        <x:v>未披露</x:v>
      </x:c>
      <x:c r="Q12" s="13" t="str">
        <x:v>未披露</x:v>
      </x:c>
      <x:c r="R12" s="13" t="str">
        <x:v>采购中止（原始平台最近已确认状态；可能重招待核）</x:v>
      </x:c>
      <x:c r="S12" s="13" t="str">
        <x:v>未披露</x:v>
      </x:c>
      <x:c r="T12" s="13" t="str">
        <x:v>项目需求与预算变更导致中止；规格、数量和预算尚不可读
2026-07-28二次公告及2026-08-18候选转载构成重招线索，尚缺可核项目号</x:v>
      </x:c>
      <x:c r="U12" s="13" t="str">
        <x:v>需求变更后原项目可能重新采购。已取得同名重招线索但编号不完整，重启时间/数量待核；重招不等于新增复购。</x:v>
      </x:c>
      <x:c r="V12" s="13" t="str">
        <x:v>原始公告（未披露项保持未知）</x:v>
      </x:c>
      <x:c r="W12" s="13" t="str">
        <x:v>O005</x:v>
      </x:c>
    </x:row>
    <x:row r="13" ht="95" customHeight="1">
      <x:c r="A13" s="21" t="str">
        <x:v>SZ-05-04A-2026-D-F-E15136/标包01</x:v>
      </x:c>
      <x:c r="B13" s="12" t="str">
        <x:v>深圳市比亚迪锂电池有限公司</x:v>
      </x:c>
      <x:c r="C13" s="12" t="str">
        <x:v>材料分析仪器</x:v>
      </x:c>
      <x:c r="D13" s="12" t="str">
        <x:v>原位透射电子显微镜系统</x:v>
      </x:c>
      <x:c r="E13" s="12" t="str">
        <x:v>未披露</x:v>
      </x:c>
      <x:c r="F13" s="17" t="str">
        <x:v>未披露</x:v>
      </x:c>
      <x:c r="G13" s="12" t="str">
        <x:v>未披露</x:v>
      </x:c>
      <x:c r="H13" s="12" t="str">
        <x:v>原位透射电子显微镜系统，标包一/01；候选公示未披露品牌、型号、技术参数或需求数量。</x:v>
      </x:c>
      <x:c r="I13" s="15" t="d">
        <x:v>2026-07-07T00:00:00.000Z</x:v>
      </x:c>
      <x:c r="J13" s="15" t="d">
        <x:v>2026-07-07T00:00:00.000Z</x:v>
      </x:c>
      <x:c r="K13" s="15"/>
      <x:c r="L13" s="17" t="n">
        <x:v>1</x:v>
      </x:c>
      <x:c r="M13" s="19" t="str">
        <x:v>未披露</x:v>
      </x:c>
      <x:c r="N13" s="12" t="str">
        <x:v>元（原文未明确币种）</x:v>
      </x:c>
      <x:c r="O13" s="19" t="n">
        <x:v>18870000</x:v>
      </x:c>
      <x:c r="P13" s="19" t="n">
        <x:v>21323100</x:v>
      </x:c>
      <x:c r="Q13" s="12" t="str">
        <x:v>广东省中科进出口有限公司</x:v>
      </x:c>
      <x:c r="R13" s="12" t="str">
        <x:v>中标候选人公示（未见最终结果）</x:v>
      </x:c>
      <x:c r="S13" s="12" t="str">
        <x:v>签订合同后300天内交货
未披露</x:v>
      </x:c>
      <x:c r="T13" s="12" t="str">
        <x:v>保留标包一/01；其他标包数量、规格与金额不补造
候选阶段采用综合评分法；不等于最终签约
原位透射系统技术参数及品牌型号未披露</x:v>
      </x:c>
      <x:c r="U13" s="12" t="str">
        <x:v>已公示第一候选，交期承诺300天；后续更可能进入授标/交付环节，新增同类采购尚无证据。</x:v>
      </x:c>
      <x:c r="V13" s="12" t="str">
        <x:v>原始公告（未披露项保持未知）</x:v>
      </x:c>
      <x:c r="W13" s="12" t="str">
        <x:v>O010</x:v>
      </x:c>
    </x:row>
    <x:row r="14" ht="95" customHeight="1">
      <x:c r="A14" s="20" t="str">
        <x:v>SZ-05-04A-2026-D-F-E15499</x:v>
      </x:c>
      <x:c r="B14" s="13" t="str">
        <x:v>深圳市比亚迪锂电池有限公司</x:v>
      </x:c>
      <x:c r="C14" s="13" t="str">
        <x:v>材料分析仪器</x:v>
      </x:c>
      <x:c r="D14" s="13" t="str">
        <x:v>硬X射线XPS设备</x:v>
      </x:c>
      <x:c r="E14" s="13" t="str">
        <x:v>未披露</x:v>
      </x:c>
      <x:c r="F14" s="16" t="n">
        <x:v>1</x:v>
      </x:c>
      <x:c r="G14" s="13" t="str">
        <x:v>台</x:v>
      </x:c>
      <x:c r="H14" s="13" t="str">
        <x:v>硬X射线XPS；Al Kα微区≤10μm，Ag3d5/2分辨≤0.6eV时≥50Kcps、功率≤1.3W；Cr Kα分辨≤1.0eV时≥6000cps；最小束斑Al≤5μm、Cr≤14μm。</x:v>
      </x:c>
      <x:c r="I14" s="14" t="d">
        <x:v>2026-06-17T00:00:00.000Z</x:v>
      </x:c>
      <x:c r="J14" s="14" t="d">
        <x:v>2026-06-17T00:00:00.000Z</x:v>
      </x:c>
      <x:c r="K14" s="14"/>
      <x:c r="L14" s="16" t="n">
        <x:v>1</x:v>
      </x:c>
      <x:c r="M14" s="18" t="n">
        <x:v>7000000</x:v>
      </x:c>
      <x:c r="N14" s="13" t="str">
        <x:v>元（原文未明确币种）</x:v>
      </x:c>
      <x:c r="O14" s="18" t="str">
        <x:v>未披露</x:v>
      </x:c>
      <x:c r="P14" s="18" t="str">
        <x:v>未披露</x:v>
      </x:c>
      <x:c r="Q14" s="13" t="str">
        <x:v>未披露</x:v>
      </x:c>
      <x:c r="R14" s="13" t="str">
        <x:v>招标公告（截止已过，结果未知）</x:v>
      </x:c>
      <x:c r="S14" s="13" t="str">
        <x:v>签订合同后240天内交货
深圳市龙岗区宝龙比亚迪</x:v>
      </x:c>
      <x:c r="T14" s="13" t="str">
        <x:v>制造商或唯一授权合法代理商；不接受联合体
货到凭票60%、验收合格40%，全部电汇
按技术性能招标，未明示产品品牌或型号</x:v>
      </x:c>
      <x:c r="U14" s="13" t="str">
        <x:v>与SEM、TEM共同显示材料分析设备需求。未来同类仪器新项目值得监测；本型号复购概率无法估算。</x:v>
      </x:c>
      <x:c r="V14" s="13" t="str">
        <x:v>原始公告（未披露项保持未知）</x:v>
      </x:c>
      <x:c r="W14" s="13" t="str">
        <x:v>O003</x:v>
      </x:c>
    </x:row>
    <x:row r="15" ht="95" customHeight="1">
      <x:c r="A15" s="21" t="str">
        <x:v>SZ-05-04A-2026-D-F-E10663</x:v>
      </x:c>
      <x:c r="B15" s="12" t="str">
        <x:v>深圳市比亚迪锂电池有限公司</x:v>
      </x:c>
      <x:c r="C15" s="12" t="str">
        <x:v>数据采集设备</x:v>
      </x:c>
      <x:c r="D15" s="12" t="str">
        <x:v>数据采集仪</x:v>
      </x:c>
      <x:c r="E15" s="12" t="str">
        <x:v>未披露</x:v>
      </x:c>
      <x:c r="F15" s="17" t="str">
        <x:v>未披露</x:v>
      </x:c>
      <x:c r="G15" s="12" t="str">
        <x:v>未披露</x:v>
      </x:c>
      <x:c r="H15" s="12" t="str">
        <x:v>数据采集仪；仅候选公示，型号、通道、采样参数和需求数量未披露。</x:v>
      </x:c>
      <x:c r="I15" s="15" t="d">
        <x:v>2026-06-03T00:00:00.000Z</x:v>
      </x:c>
      <x:c r="J15" s="15" t="d">
        <x:v>2026-06-03T00:00:00.000Z</x:v>
      </x:c>
      <x:c r="K15" s="15"/>
      <x:c r="L15" s="17" t="n">
        <x:v>1</x:v>
      </x:c>
      <x:c r="M15" s="19" t="str">
        <x:v>未披露</x:v>
      </x:c>
      <x:c r="N15" s="12" t="str">
        <x:v>元（原文未明确币种）</x:v>
      </x:c>
      <x:c r="O15" s="19" t="n">
        <x:v>260177</x:v>
      </x:c>
      <x:c r="P15" s="19" t="n">
        <x:v>294000</x:v>
      </x:c>
      <x:c r="Q15" s="12" t="str">
        <x:v>上海同星智能科技有限公司</x:v>
      </x:c>
      <x:c r="R15" s="12" t="str">
        <x:v>中标候选人公示（未见最终结果）</x:v>
      </x:c>
      <x:c r="S15" s="12" t="str">
        <x:v>30天；起算点未明示
未披露</x:v>
      </x:c>
      <x:c r="T15" s="12" t="str">
        <x:v>数量、产品型号和通道/采样规格均未披露
综合评分法；上海同星为第一候选，最终中标未公开</x:v>
      </x:c>
      <x:c r="U15" s="12" t="str">
        <x:v>已有第一候选，后续可核授标/交付。没有第二个独立数据采集项目，再次购机可能性无法判断。</x:v>
      </x:c>
      <x:c r="V15" s="12" t="str">
        <x:v>原始公告（未披露项保持未知）</x:v>
      </x:c>
      <x:c r="W15" s="12" t="str">
        <x:v>O013</x:v>
      </x:c>
    </x:row>
    <x:row r="16" ht="95" customHeight="1">
      <x:c r="A16" s="20" t="str">
        <x:v>SZ-05-04A-2026-D-F-E10658</x:v>
      </x:c>
      <x:c r="B16" s="13" t="str">
        <x:v>深圳市比亚迪锂电池有限公司</x:v>
      </x:c>
      <x:c r="C16" s="13" t="str">
        <x:v>电池检测设备</x:v>
      </x:c>
      <x:c r="D16" s="13" t="str">
        <x:v>软包三电极电池检测柜</x:v>
      </x:c>
      <x:c r="E16" s="13" t="str">
        <x:v>未披露</x:v>
      </x:c>
      <x:c r="F16" s="16" t="n">
        <x:v>5</x:v>
      </x:c>
      <x:c r="G16" s="13" t="str">
        <x:v>台</x:v>
      </x:c>
      <x:c r="H16" s="13" t="str">
        <x:v>软包三电极检测柜5V30A、16CH/台；0–5V；−30至30A；主电压/电流精度±0.02%F.S.@25±5℃；电压分辨率0.1mV、电流1mA。5台合计80CH为计算值。</x:v>
      </x:c>
      <x:c r="I16" s="14" t="d">
        <x:v>2026-05-13T00:00:00.000Z</x:v>
      </x:c>
      <x:c r="J16" s="14" t="d">
        <x:v>2026-05-13T00:00:00.000Z</x:v>
      </x:c>
      <x:c r="K16" s="14"/>
      <x:c r="L16" s="16" t="n">
        <x:v>1</x:v>
      </x:c>
      <x:c r="M16" s="18" t="n">
        <x:v>465000</x:v>
      </x:c>
      <x:c r="N16" s="13" t="str">
        <x:v>元（原文未明确币种）</x:v>
      </x:c>
      <x:c r="O16" s="18" t="str">
        <x:v>未披露</x:v>
      </x:c>
      <x:c r="P16" s="18" t="str">
        <x:v>未披露</x:v>
      </x:c>
      <x:c r="Q16" s="13" t="str">
        <x:v>未披露</x:v>
      </x:c>
      <x:c r="R16" s="13" t="str">
        <x:v>招标公告（截止已过，结果未知）</x:v>
      </x:c>
      <x:c r="S16" s="13" t="str">
        <x:v>签订合同后60天内交货
深圳市龙岗区</x:v>
      </x:c>
      <x:c r="T16" s="13" t="str">
        <x:v>5V30A、16CH/台；总80CH是按5台计算，并非独立公告原文
制造商或唯一授权合法代理商；不接受联合体
货到60%、验收30%、一年质保10%，电汇
500元人民币只修饰招标文件费用，不能用于推定46.5万元采购预算币种</x:v>
      </x:c>
      <x:c r="U16" s="13" t="str">
        <x:v>存在电池测试通道扩充场景，但样本只出现一次5台需求。若新增测试任务或通道不足，可能性上升；缺少产能/利用率数据。</x:v>
      </x:c>
      <x:c r="V16" s="13" t="str">
        <x:v>原始公告（未披露项保持未知）</x:v>
      </x:c>
      <x:c r="W16" s="13" t="str">
        <x:v>O014</x:v>
      </x:c>
    </x:row>
  </x:sheetData>
  <x:mergeCells>
    <x:mergeCell ref="A2:H2"/>
    <x:mergeCell ref="A3:H3"/>
  </x:mergeCells>
  <x:pageMargins left="0.7" right="0.7" top="0.75" bottom="0.75" header="0.3" footer="0.3"/>
  <x:tableParts count="1">
    <x:tablePart xmlns:r="http://schemas.openxmlformats.org/officeDocument/2006/relationships" r:id="R2e0d67bd2cd44fa6"/>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44" hidden="0" customWidth="1"/>
    <x:col min="3" max="3" width="34" hidden="0" customWidth="1"/>
    <x:col min="4" max="4" width="32" hidden="0" customWidth="1"/>
    <x:col min="5" max="5" width="28" hidden="0" customWidth="1"/>
    <x:col min="6" max="6" width="18" hidden="0" customWidth="1"/>
    <x:col min="7" max="7" width="18" hidden="0" customWidth="1"/>
    <x:col min="8" max="8" width="37" hidden="0" customWidth="1"/>
    <x:col min="9" max="9" width="14" hidden="0" customWidth="1"/>
    <x:col min="10" max="10" width="10" hidden="0" customWidth="1"/>
    <x:col min="11" max="11" width="24" hidden="0" customWidth="1"/>
    <x:col min="12" max="12" width="24" hidden="0" customWidth="1"/>
    <x:col min="13" max="13" width="24" hidden="0" customWidth="1"/>
    <x:col min="14" max="14" width="34" hidden="0" customWidth="1"/>
    <x:col min="15" max="15" width="98" hidden="0" customWidth="1"/>
    <x:col min="16" max="16" width="25" hidden="0" customWidth="1"/>
    <x:col min="17" max="17" width="64" hidden="0" customWidth="1"/>
    <x:col min="18" max="18" width="3" hidden="0" customWidth="1"/>
    <x:col min="19" max="19" width="85" hidden="0" customWidth="1"/>
    <x:col min="20" max="20" width="140" hidden="0" customWidth="1"/>
  </x:cols>
  <x:sheetData>
    <x:row r="1" ht="26" customHeight="1">
      <x:c r="A1" s="2"/>
      <x:c r="B1" s="2"/>
      <x:c r="C1" s="2"/>
      <x:c r="D1" s="2"/>
      <x:c r="E1" s="2"/>
      <x:c r="F1" s="2"/>
      <x:c r="G1" s="2"/>
      <x:c r="H1" s="2"/>
      <x:c r="I1" s="2"/>
      <x:c r="J1" s="2"/>
      <x:c r="K1" s="2"/>
      <x:c r="L1" s="2"/>
      <x:c r="M1" s="2"/>
      <x:c r="N1" s="2"/>
      <x:c r="O1" s="2"/>
      <x:c r="P1" s="2"/>
      <x:c r="Q1" s="2"/>
      <x:c r="R1" s="2"/>
      <x:c r="S1" s="2"/>
      <x:c r="T1" s="2"/>
    </x:row>
    <x:row r="2" ht="30" customHeight="1">
      <x:c r="A2" s="4" t="str">
        <x:v>采购公告与技术规格证据</x:v>
      </x:c>
      <x:c r="B2" s="4" t="str">
        <x:v>采购公告与技术规格证据</x:v>
      </x:c>
      <x:c r="C2" s="4" t="str">
        <x:v>采购公告与技术规格证据</x:v>
      </x:c>
      <x:c r="D2" s="4" t="str">
        <x:v>采购公告与技术规格证据</x:v>
      </x:c>
      <x:c r="E2" s="4" t="str">
        <x:v>采购公告与技术规格证据</x:v>
      </x:c>
      <x:c r="F2" s="4" t="str">
        <x:v>采购公告与技术规格证据</x:v>
      </x:c>
      <x:c r="G2" s="4" t="str">
        <x:v>采购公告与技术规格证据</x:v>
      </x:c>
      <x:c r="H2" s="2"/>
      <x:c r="I2" s="2"/>
      <x:c r="J2" s="2"/>
      <x:c r="K2" s="2"/>
      <x:c r="L2" s="2"/>
      <x:c r="M2" s="2"/>
      <x:c r="N2" s="2"/>
      <x:c r="O2" s="2"/>
      <x:c r="P2" s="2"/>
      <x:c r="Q2" s="2"/>
      <x:c r="R2" s="2"/>
      <x:c r="S2" s="2"/>
      <x:c r="T2" s="2"/>
    </x:row>
    <x:row r="3" ht="32" customHeight="1">
      <x:c r="A3" s="6" t="str">
        <x:v>15条独立公告：13条采购代理原始公告、2条同编号全文转载。金额原文为元/万元且未明确币种。所有新购品牌/制造商型号均未披露。</x:v>
      </x:c>
      <x:c r="B3" s="6" t="str">
        <x:v>15条独立公告：13条采购代理原始公告、2条同编号全文转载。金额原文为元/万元且未明确币种。所有新购品牌/制造商型号均未披露。</x:v>
      </x:c>
      <x:c r="C3" s="6" t="str">
        <x:v>15条独立公告：13条采购代理原始公告、2条同编号全文转载。金额原文为元/万元且未明确币种。所有新购品牌/制造商型号均未披露。</x:v>
      </x:c>
      <x:c r="D3" s="6" t="str">
        <x:v>15条独立公告：13条采购代理原始公告、2条同编号全文转载。金额原文为元/万元且未明确币种。所有新购品牌/制造商型号均未披露。</x:v>
      </x:c>
      <x:c r="E3" s="6" t="str">
        <x:v>15条独立公告：13条采购代理原始公告、2条同编号全文转载。金额原文为元/万元且未明确币种。所有新购品牌/制造商型号均未披露。</x:v>
      </x:c>
      <x:c r="F3" s="6" t="str">
        <x:v>15条独立公告：13条采购代理原始公告、2条同编号全文转载。金额原文为元/万元且未明确币种。所有新购品牌/制造商型号均未披露。</x:v>
      </x:c>
      <x:c r="G3" s="6" t="str">
        <x:v>15条独立公告：13条采购代理原始公告、2条同编号全文转载。金额原文为元/万元且未明确币种。所有新购品牌/制造商型号均未披露。</x:v>
      </x:c>
      <x:c r="H3" s="6" t="str">
        <x:v>15条独立公告：13条采购代理原始公告、2条同编号全文转载。金额原文为元/万元且未明确币种。所有新购品牌/制造商型号均未披露。</x:v>
      </x:c>
      <x:c r="I3" s="6" t="str">
        <x:v>15条独立公告：13条采购代理原始公告、2条同编号全文转载。金额原文为元/万元且未明确币种。所有新购品牌/制造商型号均未披露。</x:v>
      </x:c>
      <x:c r="J3" s="6" t="str">
        <x:v>15条独立公告：13条采购代理原始公告、2条同编号全文转载。金额原文为元/万元且未明确币种。所有新购品牌/制造商型号均未披露。</x:v>
      </x:c>
      <x:c r="K3" s="6" t="str">
        <x:v>15条独立公告：13条采购代理原始公告、2条同编号全文转载。金额原文为元/万元且未明确币种。所有新购品牌/制造商型号均未披露。</x:v>
      </x:c>
      <x:c r="L3" s="6" t="str">
        <x:v>15条独立公告：13条采购代理原始公告、2条同编号全文转载。金额原文为元/万元且未明确币种。所有新购品牌/制造商型号均未披露。</x:v>
      </x:c>
      <x:c r="M3" s="6" t="str">
        <x:v>15条独立公告：13条采购代理原始公告、2条同编号全文转载。金额原文为元/万元且未明确币种。所有新购品牌/制造商型号均未披露。</x:v>
      </x:c>
      <x:c r="N3" s="6" t="str">
        <x:v>15条独立公告：13条采购代理原始公告、2条同编号全文转载。金额原文为元/万元且未明确币种。所有新购品牌/制造商型号均未披露。</x:v>
      </x:c>
      <x:c r="O3" s="6" t="str">
        <x:v>15条独立公告：13条采购代理原始公告、2条同编号全文转载。金额原文为元/万元且未明确币种。所有新购品牌/制造商型号均未披露。</x:v>
      </x:c>
      <x:c r="P3" s="2"/>
      <x:c r="Q3" s="2"/>
      <x:c r="R3" s="2"/>
      <x:c r="S3" s="2"/>
      <x:c r="T3" s="2"/>
    </x:row>
    <x:row r="4" ht="28" customHeight="1">
      <x:c r="A4" s="6" t="str">
        <x:v>集团主体归属来源：比亚迪2026半年报，母公司成本法股权投资。https://static.cninfo.com.cn/finalpage/2026-08-29/1225531835.PDF</x:v>
      </x:c>
      <x:c r="B4" s="6" t="str">
        <x:v>集团主体归属来源：比亚迪2026半年报，母公司成本法股权投资。https://static.cninfo.com.cn/finalpage/2026-08-29/1225531835.PDF</x:v>
      </x:c>
      <x:c r="C4" s="6" t="str">
        <x:v>集团主体归属来源：比亚迪2026半年报，母公司成本法股权投资。https://static.cninfo.com.cn/finalpage/2026-08-29/1225531835.PDF</x:v>
      </x:c>
      <x:c r="D4" s="6" t="str">
        <x:v>集团主体归属来源：比亚迪2026半年报，母公司成本法股权投资。https://static.cninfo.com.cn/finalpage/2026-08-29/1225531835.PDF</x:v>
      </x:c>
      <x:c r="E4" s="6" t="str">
        <x:v>集团主体归属来源：比亚迪2026半年报，母公司成本法股权投资。https://static.cninfo.com.cn/finalpage/2026-08-29/1225531835.PDF</x:v>
      </x:c>
      <x:c r="F4" s="6" t="str">
        <x:v>集团主体归属来源：比亚迪2026半年报，母公司成本法股权投资。https://static.cninfo.com.cn/finalpage/2026-08-29/1225531835.PDF</x:v>
      </x:c>
      <x:c r="G4" s="6" t="str">
        <x:v>集团主体归属来源：比亚迪2026半年报，母公司成本法股权投资。https://static.cninfo.com.cn/finalpage/2026-08-29/1225531835.PDF</x:v>
      </x:c>
      <x:c r="H4" s="6" t="str">
        <x:v>集团主体归属来源：比亚迪2026半年报，母公司成本法股权投资。https://static.cninfo.com.cn/finalpage/2026-08-29/1225531835.PDF</x:v>
      </x:c>
      <x:c r="I4" s="6" t="str">
        <x:v>集团主体归属来源：比亚迪2026半年报，母公司成本法股权投资。https://static.cninfo.com.cn/finalpage/2026-08-29/1225531835.PDF</x:v>
      </x:c>
      <x:c r="J4" s="6" t="str">
        <x:v>集团主体归属来源：比亚迪2026半年报，母公司成本法股权投资。https://static.cninfo.com.cn/finalpage/2026-08-29/1225531835.PDF</x:v>
      </x:c>
      <x:c r="K4" s="6" t="str">
        <x:v>集团主体归属来源：比亚迪2026半年报，母公司成本法股权投资。https://static.cninfo.com.cn/finalpage/2026-08-29/1225531835.PDF</x:v>
      </x:c>
      <x:c r="L4" s="6" t="str">
        <x:v>集团主体归属来源：比亚迪2026半年报，母公司成本法股权投资。https://static.cninfo.com.cn/finalpage/2026-08-29/1225531835.PDF</x:v>
      </x:c>
      <x:c r="M4" s="6" t="str">
        <x:v>集团主体归属来源：比亚迪2026半年报，母公司成本法股权投资。https://static.cninfo.com.cn/finalpage/2026-08-29/1225531835.PDF</x:v>
      </x:c>
      <x:c r="N4" s="6" t="str">
        <x:v>集团主体归属来源：比亚迪2026半年报，母公司成本法股权投资。https://static.cninfo.com.cn/finalpage/2026-08-29/1225531835.PDF</x:v>
      </x:c>
      <x:c r="O4" s="6" t="str">
        <x:v>集团主体归属来源：比亚迪2026半年报，母公司成本法股权投资。https://static.cninfo.com.cn/finalpage/2026-08-29/1225531835.PDF</x:v>
      </x:c>
      <x:c r="P4" s="6" t="str">
        <x:v>集团主体归属来源：比亚迪2026半年报，母公司成本法股权投资。https://static.cninfo.com.cn/finalpage/2026-08-29/1225531835.PDF</x:v>
      </x:c>
      <x:c r="Q4" s="6" t="str">
        <x:v>集团主体归属来源：比亚迪2026半年报，母公司成本法股权投资。https://static.cninfo.com.cn/finalpage/2026-08-29/1225531835.PDF</x:v>
      </x:c>
      <x:c r="R4" s="2"/>
      <x:c r="S4" s="2"/>
      <x:c r="T4" s="2"/>
    </x:row>
    <x:row r="5" ht="38" customHeight="1">
      <x:c r="A5" s="10" t="str">
        <x:v>证据编号</x:v>
      </x:c>
      <x:c r="B5" s="10" t="str">
        <x:v>基础项目号/标包</x:v>
      </x:c>
      <x:c r="C5" s="10" t="str">
        <x:v>实际采购法人</x:v>
      </x:c>
      <x:c r="D5" s="10" t="str">
        <x:v>采购产品</x:v>
      </x:c>
      <x:c r="E5" s="10" t="str">
        <x:v>公告阶段</x:v>
      </x:c>
      <x:c r="F5" s="10" t="str">
        <x:v>公告原文/事件日期</x:v>
      </x:c>
      <x:c r="G5" s="10" t="str">
        <x:v>网页发布日期</x:v>
      </x:c>
      <x:c r="H5" s="10" t="str">
        <x:v>证据层级</x:v>
      </x:c>
      <x:c r="I5" s="10" t="str">
        <x:v>本阶段需求数量</x:v>
      </x:c>
      <x:c r="J5" s="10" t="str">
        <x:v>单位</x:v>
      </x:c>
      <x:c r="K5" s="10" t="str">
        <x:v>本阶段未税预算（元）</x:v>
      </x:c>
      <x:c r="L5" s="10" t="str">
        <x:v>候选未税报价（元）</x:v>
      </x:c>
      <x:c r="M5" s="10" t="str">
        <x:v>候选含税报价（元）</x:v>
      </x:c>
      <x:c r="N5" s="10" t="str">
        <x:v>候选供应商</x:v>
      </x:c>
      <x:c r="O5" s="10" t="str">
        <x:v>本阶段规格参数原文</x:v>
      </x:c>
      <x:c r="P5" s="10" t="str">
        <x:v>投标截止时间（北京时间）</x:v>
      </x:c>
      <x:c r="Q5" s="10" t="str">
        <x:v>阶段关联与口径说明</x:v>
      </x:c>
      <x:c r="R5" s="22" t="str"/>
      <x:c r="S5" s="10" t="str">
        <x:v>公告原文链接</x:v>
      </x:c>
      <x:c r="T5" s="10" t="str">
        <x:v>关键事实引句及原文行号</x:v>
      </x:c>
    </x:row>
    <x:row r="6" ht="118" customHeight="1">
      <x:c r="A6" s="13" t="str">
        <x:v>O011</x:v>
      </x:c>
      <x:c r="B6" s="13" t="str">
        <x:v>SZ-05-04A-2026-D-F-E17412</x:v>
      </x:c>
      <x:c r="C6" s="13" t="str">
        <x:v>惠州比亚迪电池有限公司</x:v>
      </x:c>
      <x:c r="D6" s="13" t="str">
        <x:v>3立方储罐</x:v>
      </x:c>
      <x:c r="E6" s="13" t="str">
        <x:v>中标候选人公示</x:v>
      </x:c>
      <x:c r="F6" s="14" t="d">
        <x:v>2026-09-01T00:00:00.000Z</x:v>
      </x:c>
      <x:c r="G6" s="14" t="d">
        <x:v>2026-09-02T00:00:00.000Z</x:v>
      </x:c>
      <x:c r="H6" s="13" t="str">
        <x:v>采购代理原始公告</x:v>
      </x:c>
      <x:c r="I6" s="13" t="str">
        <x:v>未披露</x:v>
      </x:c>
      <x:c r="J6" s="13" t="str">
        <x:v>未披露</x:v>
      </x:c>
      <x:c r="K6" s="18" t="str">
        <x:v>未披露</x:v>
      </x:c>
      <x:c r="L6" s="18" t="n">
        <x:v>101772.57</x:v>
      </x:c>
      <x:c r="M6" s="18" t="n">
        <x:v>115003</x:v>
      </x:c>
      <x:c r="N6" s="13" t="str">
        <x:v>湖北省德海化工设备有限公司</x:v>
      </x:c>
      <x:c r="O6" s="13" t="str">
        <x:v>该阶段未披露详细技术参数</x:v>
      </x:c>
      <x:c r="P6" s="24"/>
      <x:c r="Q6" s="13" t="str">
        <x:v>公示原文日期2026-09-01，网页2026-09-02；PDF与网页合计1条。</x:v>
      </x:c>
      <x:c r="R6" s="23"/>
      <x:c r="S6" s="26" t="str">
        <x:v>https://www.chengezhao.com/cms/post/c/6/c6b904973fded0e4741256f2fcd14bc6/</x:v>
      </x:c>
      <x:c r="T6" s="13" t="str">
        <x:v>原始候选公告项目号/报价/交货/排名/公示：比亚迪公司储罐采购项目(二次）（采购代理编号为： SZ-05-04A-2026-D-F-E17412C01）评标委员会按照招标文件载明的评标方法和标准已完成对各投标人递交的投标文件的评审，根据评审结果，中标候选人推荐如下： （1）单位名称：湖北省德海化工设备有限公司 （2）不含税投标总价：101772.57元，含税投标总价：115003.00元 （3）交货期：签订合同后59天内交货。 （4）评标情况：本项目2026年9月1日开始评标，评标委员会成员5名。评标委员会按照招标文件要求采用综合评分法对所有递交的投标文件进行了评审。经评审，湖北省德海化工设备有限公司综合排名第一。 （5）响应招标文件要求的资格能力条件：符合招标文件规定的资格能力条件。 公示期： 2026年 9月 1日至202 6年 9月 4日 17时 30分。（原文行17–29）
原始候选采购主体/落款：招标人：惠州比亚迪电池有限公司 招标代理机构：公诚管理咨询有限公司 2026年 9月 1日（原文行37–41）</x:v>
      </x:c>
    </x:row>
    <x:row r="7" ht="85" customHeight="1">
      <x:c r="A7" s="12" t="str">
        <x:v>S002</x:v>
      </x:c>
      <x:c r="B7" s="12" t="str">
        <x:v>SZ-05-04A-2026-D-F-E16729</x:v>
      </x:c>
      <x:c r="C7" s="12" t="str">
        <x:v>深圳市比亚迪锂电池有限公司</x:v>
      </x:c>
      <x:c r="D7" s="12" t="str">
        <x:v>场发射扫描电子显微镜</x:v>
      </x:c>
      <x:c r="E7" s="12" t="str">
        <x:v>二次招标（全文转载）</x:v>
      </x:c>
      <x:c r="F7" s="15" t="d">
        <x:v>2026-09-01T00:00:00.000Z</x:v>
      </x:c>
      <x:c r="G7" s="15" t="d">
        <x:v>2026-09-01T00:00:00.000Z</x:v>
      </x:c>
      <x:c r="H7" s="12" t="str">
        <x:v>全文转载（原始该阶段待核）</x:v>
      </x:c>
      <x:c r="I7" s="12" t="n">
        <x:v>1</x:v>
      </x:c>
      <x:c r="J7" s="12" t="str">
        <x:v>台</x:v>
      </x:c>
      <x:c r="K7" s="19" t="n">
        <x:v>3900000</x:v>
      </x:c>
      <x:c r="L7" s="19" t="str">
        <x:v>未披露</x:v>
      </x:c>
      <x:c r="M7" s="19" t="str">
        <x:v>未披露</x:v>
      </x:c>
      <x:c r="N7" s="12" t="str">
        <x:v>未披露</x:v>
      </x:c>
      <x:c r="O7" s="12" t="str">
        <x:v>扫描电子显微镜采用电子光学系统
不启用DCV反卷积功能下：分辨率≤0.6nm@15kV（非样品台减速）；≤0.8nm@1kV；≤0.9nm@300V</x:v>
      </x:c>
      <x:c r="P7" s="25" t="d">
        <x:v>2026-09-22T14:30:00.000Z</x:v>
      </x:c>
      <x:c r="Q7" s="12" t="str">
        <x:v>与E16729初次合并为1个项目；二次分辨率版本不能拼接初次指标。</x:v>
      </x:c>
      <x:c r="R7" s="23"/>
      <x:c r="S7" s="27" t="str">
        <x:v>https://www.instrument.com.cn/event/bid/t159557.html</x:v>
      </x:c>
      <x:c r="T7" s="12" t="str">
        <x:v>二次转载：深圳市比亚迪锂电池有限公司（以下简称“招标人”）（原文行34）
二次转载：提供场发射扫描电子显微镜1台；≤0.6nm@15kV（非样品台减速）;≤0.8nm@1kV；≤0.9nm@300V；项目不含税预算金额390万元（原文行40–42）</x:v>
      </x:c>
    </x:row>
    <x:row r="8" ht="104" customHeight="1">
      <x:c r="A8" s="13" t="str">
        <x:v>S001</x:v>
      </x:c>
      <x:c r="B8" s="13" t="str">
        <x:v>SZ-05-04A-2026-D-F-E23492</x:v>
      </x:c>
      <x:c r="C8" s="13" t="str">
        <x:v>惠州比亚迪电池有限公司</x:v>
      </x:c>
      <x:c r="D8" s="13" t="str">
        <x:v>气碎机</x:v>
      </x:c>
      <x:c r="E8" s="13" t="str">
        <x:v>初次招标</x:v>
      </x:c>
      <x:c r="F8" s="14" t="d">
        <x:v>2026-08-31T00:00:00.000Z</x:v>
      </x:c>
      <x:c r="G8" s="14" t="d">
        <x:v>2026-08-31T00:00:00.000Z</x:v>
      </x:c>
      <x:c r="H8" s="13" t="str">
        <x:v>采购代理原始公告</x:v>
      </x:c>
      <x:c r="I8" s="13" t="n">
        <x:v>1</x:v>
      </x:c>
      <x:c r="J8" s="13" t="str">
        <x:v>台</x:v>
      </x:c>
      <x:c r="K8" s="18" t="n">
        <x:v>1600000</x:v>
      </x:c>
      <x:c r="L8" s="18" t="str">
        <x:v>未披露</x:v>
      </x:c>
      <x:c r="M8" s="18" t="str">
        <x:v>未披露</x:v>
      </x:c>
      <x:c r="N8" s="13" t="str">
        <x:v>未披露</x:v>
      </x:c>
      <x:c r="O8" s="13" t="str">
        <x:v>招标技术要求：负极材料（树脂碳）
招标技术要求：处理量50 kg/h
招标技术要求：0.8MPa气压、进料60目
招标技术要求：6≤D50≤9μm；D90≤14μm；D100≤24μm
招标技术要求：氮气内循环
招标技术要求：防爆要求原文：Extb Ⅲ CT 135℃ Db</x:v>
      </x:c>
      <x:c r="P8" s="24" t="d">
        <x:v>2026-09-21T09:30:00.000Z</x:v>
      </x:c>
      <x:c r="Q8" s="13" t="str">
        <x:v>招标需求或候选报价不能作为实际成交。</x:v>
      </x:c>
      <x:c r="R8" s="23"/>
      <x:c r="S8" s="26" t="str">
        <x:v>https://www.chengezhao.com/cms/post/9/c/9ccb8a6cabe63a4deda974dfb1a08e01/</x:v>
      </x:c>
      <x:c r="T8" s="13" t="str">
        <x:v>公告事实：惠州比亚迪电池有限公司（以下简称“招标人”）委托公诚管理咨询有限公司（原文行13）
公告事实：拟选定一家供应商为招标人提供气碎机1台；处理量：50 k g/h；模式：氮气内循环（原文行19–29）
公告事实：项目不含税预算金额160万元（原文行31）</x:v>
      </x:c>
    </x:row>
    <x:row r="9" ht="384" customHeight="1">
      <x:c r="A9" s="12" t="str">
        <x:v>O004</x:v>
      </x:c>
      <x:c r="B9" s="12" t="str">
        <x:v>SZ-05-04A-2026-D-F-E23512</x:v>
      </x:c>
      <x:c r="C9" s="12" t="str">
        <x:v>深圳市比亚迪锂电池有限公司</x:v>
      </x:c>
      <x:c r="D9" s="12" t="str">
        <x:v>智能体平台（服务器硬件及集群调优服务）</x:v>
      </x:c>
      <x:c r="E9" s="12" t="str">
        <x:v>初次招标</x:v>
      </x:c>
      <x:c r="F9" s="15" t="d">
        <x:v>2026-08-28T00:00:00.000Z</x:v>
      </x:c>
      <x:c r="G9" s="15" t="d">
        <x:v>2026-08-28T00:00:00.000Z</x:v>
      </x:c>
      <x:c r="H9" s="12" t="str">
        <x:v>采购代理原始公告</x:v>
      </x:c>
      <x:c r="I9" s="12" t="n">
        <x:v>1</x:v>
      </x:c>
      <x:c r="J9" s="12" t="str">
        <x:v>台</x:v>
      </x:c>
      <x:c r="K9" s="19" t="n">
        <x:v>1370000</x:v>
      </x:c>
      <x:c r="L9" s="19" t="str">
        <x:v>未披露</x:v>
      </x:c>
      <x:c r="M9" s="19" t="str">
        <x:v>未披露</x:v>
      </x:c>
      <x:c r="N9" s="12" t="str">
        <x:v>未披露</x:v>
      </x:c>
      <x:c r="O9" s="12" t="str">
        <x:v>品牌要求：国产服务器品牌
机箱尺寸：≤10U机架式服务器
处理器：配置≥2颗X86架构处理器，单处理器核心数≥96C，基准时钟频率≥3.2GHz，最高加速时钟频率≥4.1GHz，支持内存规格≥6400MT/s
GPU卡：配置≥16张GPU卡，每张显卡显存≥32GB，单卡FP32理论算力≥104TFLOPS，单卡FP16理论算力≥419TFLOPS，显存带宽≥1790 GB/s，CUDA核心数≥21760
内存：配置≥24根64G DDR5 5600MHz ECC RDIMM内存，支持≥24个DDR5 内存插槽，支持内存镜像、内存热备、内存故障隔离等多种保护模式;
硬盘：配置≥8个热插拔硬盘槽位，≥4块3.84TB NVMe U.2 SSD
PCIE扩展：最大可配置≥26个PCIe 5.0扩展插槽，可支持≥16个双宽GPU和≥8张高速网卡
网络：配置1张双口25G 光纤网卡带模块，≥1张单口400G NDR HCA卡（配400G NDR OSFP多模IB光模块），配套2x400G NDR OSFP多模双口IB光模块，20M MPO-MPO多模光纤线缆
电源：配置≥10个热插拔铂金冗余电源，单个电源功率≥3200W，支持电源N+N冗余
风扇：配置≥20个8080热插拔风扇，支持N+1冗余
管理：集成BMC芯片，对外提供1个1Gbps RJ45管理口，支持Redfish、SNMP、IPMI2.0等标准接口，基于iKVM/HTML5的远程管理界面，提供全面的故障诊断、自动化运维、远程管理的功能，支持BMC双flash冗余备份，BIOS支持中文界面。
服务/质保：3年原厂整机质保带硬盘保留，3年原厂免费上门服务（提供原厂项目授权函以及原厂服务承诺函）
现网集群调优服务：现网4台海光BW1000相关HPC集群系统调试调优服务和培训服务
验收要求：稳定运行3个月无故障通过验收。有故障供应商无法解决，招标人有权要求退货。</x:v>
      </x:c>
      <x:c r="P9" s="25" t="d">
        <x:v>2026-09-18T09:30:00.000Z</x:v>
      </x:c>
      <x:c r="Q9" s="12" t="str">
        <x:v>BW1000为现网调优对象，非新购型号；4台现网设备不计入新购数量。</x:v>
      </x:c>
      <x:c r="R9" s="23"/>
      <x:c r="S9" s="27" t="str">
        <x:v>https://www.chengezhao.com/cms/post/6/2/62cd62556275df16c65f82ed23a730a5/</x:v>
      </x:c>
      <x:c r="T9" s="12" t="str">
        <x:v>采购主体/项目号：深圳市比亚迪锂电池有限公司（以下简称“招标人”）委托公诚管理咨询有限公司（以下简称“招标代理机构”）就比亚迪公司智能体平台采购项目（招标代理项目编号： SZ-05-04A-2026-D-F-E23512）进行公开招标采购，项目资金为国家拨款，资金已落实。项目已具备招标条件，欢迎符合资格条件的潜在投标人（以下简称投标人）前来投标。（原文行14）
采购数量：2.2招标内容：拟选定一家供应商为招标人提供智能体平台 1台。设备具体参数如下：（原文行20）
硬件技术参数：品牌要求 国产服务器品牌 ★ 机箱尺寸 ≤10U机架式服务器 ★ 处理器 配置≥2颗X86架构处理器，单处理器核心数≥96C，基准时钟频率≥3.2GHz，最高加速时钟频率≥4.1GHz，支持内存规格≥6400MT/s ★ GPU卡 配置≥16张GPU卡，每张显卡显存≥32GB，单卡FP32理论算力≥104TFLOPS，单卡FP16理论算力≥419TFLOPS，显存带宽≥1790 GB/s，CUDA核心数≥21760 ★ 内存 配置≥24根64G DDR5 5600MHz ECC RDIMM内存，支持≥24个DDR5 内存插槽，支持内存镜像、内存热备、内存故障隔离等多种保护模式; ★ 硬盘 配置≥8个热插拔硬盘槽位，≥4块3.84TB NVMe U.2 SSD ★ PCIE扩展 最大可配置≥26个PCIe 5.0扩展插槽，可支持≥16个双宽GPU和≥8张高速网卡 ★ 网络 配置1张双口25G 光纤网卡带模块，≥1张单口400G NDR HCA卡（配400G NDR OSFP多模IB光模块），配套2x400G NDR OSFP多模双口IB光模块，20M MPO-MPO多模光纤线缆 ★ 电源 配置≥10个热插拔铂金冗余电源，单个电源功率≥3200W，支持电源N+N冗余 ★ 风扇 配置≥20个8080热插拔风扇，支持N+1冗余 ★ 管理 集成BMC芯片，对外提供1个1Gbps RJ45管理口，支持Redfish、SNMP、IPMI2.0等标准接口，基于iKVM/HTML5的远程管理界面，提供全面的故障诊断、自动化运维、远程管理的功能，支持BMC双flash冗余备份，BIOS支持中文界面。（原文行36–98）
服务范围/现网型号/验收：服务 3年原厂整机质保带硬盘保留，3年原厂免费上门服务（提供原厂项目授权函以及原厂服务承诺函） ★ 集群调优服务 现网4台海光BW1000相关HPC集群系统调试调优服务和培训服务 ★ 验收要求 稳定运行3个月无故障通过验收。有故障供应商无法解决，招标人有权要求退货。（原文行100–114）
预算/付款/交货：2.3项目预算及付款条件：项目不含税预算金额137万元。付款方式：预付30%,到货凭票付30%,验收合格后凭票付30%,质保一年付10%;全部6个月商票。 2.4标包划分：不划分标包。 2.5交货期限：签订合同后 60天内交货。 2.6交货地点：深圳市（原文行116–122）
供应商要求：3.2投标人必须是服务器的制造商或合法代理商。投标人是制造商的，须出具制造商声明函；投标人为代理商的，须提供代理商资格声明函及制造商(分公司、办事处授权无效)对本次投标项目出具的唯一、合法且有效的授权书。若同一制造商在本项目中授权两家或以上代理商参与投标，代理商均按无效标处理；制造商与其合法代理商同时参加本次投标，代理商按无效标处理。（按要求提供有效证明材料）。 3. 3单位负责人为同一人或者存在控股、管理关系的不同单位，不得同时参加本项目投标。（须提供《投标人控股及管理关系情况申报表》） 3. 4本次招标不接受联合体投标。（原文行128–132）
投标截止：6.1纸质版投标文件（含U盘）递交：递交纸质投标文件的截止时间（即投标截止时间）为202 6年 9月 18日 9时 30分，地点为深圳市福田区新闻路2号英龙商务中心33楼33E- 2号会议室。（如通过快递方式递交纸质文件，需提前寄送纸质投标文件并及时与收件人联系。邮寄地址即文件递交地址，收件人：郑小姐，联系电话：18617187621） （原文行164）</x:v>
      </x:c>
    </x:row>
    <x:row r="10" ht="104" customHeight="1">
      <x:c r="A10" s="13" t="str">
        <x:v>O008</x:v>
      </x:c>
      <x:c r="B10" s="13" t="str">
        <x:v>SZ-05-04A-2026-D-F-E17466</x:v>
      </x:c>
      <x:c r="C10" s="13" t="str">
        <x:v>惠州比亚迪电池有限公司</x:v>
      </x:c>
      <x:c r="D10" s="13" t="str">
        <x:v>100Kg硅沉积流化床</x:v>
      </x:c>
      <x:c r="E10" s="13" t="str">
        <x:v>中标候选人公示</x:v>
      </x:c>
      <x:c r="F10" s="14" t="d">
        <x:v>2026-08-19T00:00:00.000Z</x:v>
      </x:c>
      <x:c r="G10" s="14" t="d">
        <x:v>2026-08-19T00:00:00.000Z</x:v>
      </x:c>
      <x:c r="H10" s="13" t="str">
        <x:v>采购代理原始公告</x:v>
      </x:c>
      <x:c r="I10" s="13" t="str">
        <x:v>未披露</x:v>
      </x:c>
      <x:c r="J10" s="13" t="str">
        <x:v>未披露</x:v>
      </x:c>
      <x:c r="K10" s="18" t="str">
        <x:v>未披露</x:v>
      </x:c>
      <x:c r="L10" s="18" t="n">
        <x:v>1026548.67</x:v>
      </x:c>
      <x:c r="M10" s="18" t="n">
        <x:v>1160000</x:v>
      </x:c>
      <x:c r="N10" s="13" t="str">
        <x:v>佛山市赛普飞特科技有限公司</x:v>
      </x:c>
      <x:c r="O10" s="13" t="str">
        <x:v>该阶段未披露详细技术参数</x:v>
      </x:c>
      <x:c r="P10" s="24"/>
      <x:c r="Q10" s="13" t="str">
        <x:v>招标需求或候选报价不能作为实际成交。</x:v>
      </x:c>
      <x:c r="R10" s="23"/>
      <x:c r="S10" s="26" t="str">
        <x:v>https://www.chengezhao.com/cms/post/0/f/0fad691f9d7b79566d5bca7dc72d2b68/</x:v>
      </x:c>
      <x:c r="T10" s="13" t="str">
        <x:v>候选项目号/报价/交期：比亚迪公司流化床采购项目（二次）（采购代理编号为： SZ-05-04A-2026-D-F-E17466C01）评标委员会按照招标文件载明的评标方法和标准已完成对各投标人递交的投标文件的评审，根据评审结果，中标候选人推荐如下： （1）单位名称：佛山市赛普飞特科技有限公司 （2）不含税投标总价： 1026548.67元，含税投标总价： 1160000.00元 （3）交货期：签订合同后60天内交货。 （4）评标情况：本项目2026年8月19日开始评标，评标委员会成员5名。评标委员会按照招标文件要求对所有递交的投标文件进行了评审。 （5）响应招标文件要求的资格能力条件：符合招标文件规定的资格能力条件。 公示期： 2026年 8月 19日至202 6年 8月 24日 12时 00分。（原文行17–29）
候选公告采购主体：招标人：惠州比亚迪电池有限公司 招标代理机构：公诚管理咨询有限公司 2026年 8月 19日（原文行37–41）</x:v>
      </x:c>
    </x:row>
    <x:row r="11" ht="230" customHeight="1">
      <x:c r="A11" s="12" t="str">
        <x:v>O017</x:v>
      </x:c>
      <x:c r="B11" s="12" t="str">
        <x:v>SZ-05-04A-2026-D-F-E17412</x:v>
      </x:c>
      <x:c r="C11" s="12" t="str">
        <x:v>惠州比亚迪电池有限公司</x:v>
      </x:c>
      <x:c r="D11" s="12" t="str">
        <x:v>3立方储罐</x:v>
      </x:c>
      <x:c r="E11" s="12" t="str">
        <x:v>二次招标转载</x:v>
      </x:c>
      <x:c r="F11" s="15" t="d">
        <x:v>2026-08-11T00:00:00.000Z</x:v>
      </x:c>
      <x:c r="G11" s="15" t="d">
        <x:v>2026-08-11T00:00:00.000Z</x:v>
      </x:c>
      <x:c r="H11" s="12" t="str">
        <x:v>全文转载（原始该阶段待核）</x:v>
      </x:c>
      <x:c r="I11" s="12" t="n">
        <x:v>7</x:v>
      </x:c>
      <x:c r="J11" s="12" t="str">
        <x:v>台</x:v>
      </x:c>
      <x:c r="K11" s="19" t="n">
        <x:v>140000</x:v>
      </x:c>
      <x:c r="L11" s="19" t="str">
        <x:v>未披露</x:v>
      </x:c>
      <x:c r="M11" s="19" t="str">
        <x:v>未披露</x:v>
      </x:c>
      <x:c r="N11" s="12" t="str">
        <x:v>未披露</x:v>
      </x:c>
      <x:c r="O11" s="12" t="str">
        <x:v>容积/数量：3立方储罐7台
用途：对工业碱性/酸性废水进行暂存、初步中和
结构/材质：罐体为立式，罐体材质为PPH(均聚聚丙烯)
温度：工作温度-10至80℃，设计温度90℃
压力：工作压力常压，设计压力0.1MPa
水压试验：水压试验压力盛水试漏</x:v>
      </x:c>
      <x:c r="P11" s="25"/>
      <x:c r="Q11" s="12" t="str">
        <x:v>需求数量/预算/规格来自同编号转载，候选公示只核验项目及候选价。</x:v>
      </x:c>
      <x:c r="R11" s="23"/>
      <x:c r="S11" s="27" t="str">
        <x:v>https://www.dowater.com/zhaobiao/2026-08-11/12809369.asp</x:v>
      </x:c>
      <x:c r="T11" s="12" t="str">
        <x:v>二次招标采购主体/项目号/数量/规格/预算/交货： 招标公告 一、招标条件惠州比亚迪电池有限公司（以下简称“招标人”）委托公诚管理咨询有限公司（以下简称“招标代理机构”）就比亚迪公司储罐采购项目(二次）（招标代理项目编号：SZ-05-04A-2026-D-F-E17412C01）进行公开招标采购，项目资金为国家拨款，资金已落实。项目已具备招标条件，欢迎符合资格条件的潜在投标人（以下简称投标人）前来投标。 二、项目概况与招标范围2.1项目名称：比亚迪公司储罐采购项目(二次） 2.2招标内容：拟选定一家供应商为招标人提供3立方储罐7台，对工业碱性/酸性废水进行暂存、初步中和，罐体为立式，罐体材质为PPH(均聚聚丙烯)，工作温度-10至80℃，设计温度90℃，工作压力常压，设计压力0.1MPa，水压试验压力盛水试漏。设备具体参数要求详见第五章 技术规范书。 2.3项目预算及付款条件：项目不含税预算金额14万元。付款条件：安装完成付款60%，验收合格付款40%，电汇。 2.4标包划分：不划分标包。 2.5交货期限：签订合同后90天内交货。 2.6交货地点：湖北省宜昌市 三、投标人资格要求3.1投标人须为在中华人民共和国境内依法登记的法人或其他组织，具有独立承担民事责任的能力。（须提供营业执照或事业单位法人证书等证明资料扫描件。分支机构参与投标的，须取得具有法人资格的总公司（或总部机构）出具给分支机构的授权书，并提供总公司（或总部机构）和分支机构的营业执照复印件）。 3.2 单位负责人为同一人或者存在控股、管理关系的不同单位，不得同时参加本项目投标。（须提供《投标人控股及管理关系情况申报表》） 3.3本次招标不接受联合体投标。 四、资格审查方法本项目将进行资格后审，资格审查方法为合格制，资格审查标准和内容见招标文件第三章“评标办法”。未通过资格后审的投标人，投标将被否决。 五、招标文件的获取5.1招标文件获取时间: 自招标公告发出之日起至2026年8月20日17时30分（北京时间，下同）；（原文行12）
二次招标转载日期：Published: 2026-08-11 比亚迪公司储罐采购项目(二次)招标公告 - 污水处理设备材料 | 发布日期: 2026-8-11 | 数据编号: 12809369 | 所属类别: 设备材料 |（原文行3–7）</x:v>
      </x:c>
    </x:row>
    <x:row r="12" ht="314" customHeight="1">
      <x:c r="A12" s="13" t="str">
        <x:v>O007</x:v>
      </x:c>
      <x:c r="B12" s="13" t="str">
        <x:v>SZ-05-04A-2026-D-F-E17466</x:v>
      </x:c>
      <x:c r="C12" s="13" t="str">
        <x:v>惠州比亚迪电池有限公司</x:v>
      </x:c>
      <x:c r="D12" s="13" t="str">
        <x:v>100Kg硅沉积流化床</x:v>
      </x:c>
      <x:c r="E12" s="13" t="str">
        <x:v>二次招标</x:v>
      </x:c>
      <x:c r="F12" s="14" t="d">
        <x:v>2026-07-28T00:00:00.000Z</x:v>
      </x:c>
      <x:c r="G12" s="14" t="d">
        <x:v>2026-07-28T00:00:00.000Z</x:v>
      </x:c>
      <x:c r="H12" s="13" t="str">
        <x:v>采购代理原始公告</x:v>
      </x:c>
      <x:c r="I12" s="13" t="n">
        <x:v>1</x:v>
      </x:c>
      <x:c r="J12" s="13" t="str">
        <x:v>台</x:v>
      </x:c>
      <x:c r="K12" s="18" t="n">
        <x:v>2000000</x:v>
      </x:c>
      <x:c r="L12" s="18" t="str">
        <x:v>未披露</x:v>
      </x:c>
      <x:c r="M12" s="18" t="str">
        <x:v>未披露</x:v>
      </x:c>
      <x:c r="N12" s="13" t="str">
        <x:v>未披露</x:v>
      </x:c>
      <x:c r="O12" s="13" t="str">
        <x:v>设备规格：2.2 招标内容：拟选定一家供应商为招标人提供100Kg 硅沉积流化床1 台，流化床整体应需要包括且不限于进料系统、气体调控系统、反应系统、
系统组成：台，流化床整体应需要包括且不限于进料系统、气体调控系统、反应系统、 收料系统、尾气系统、气体检测系统、尾气处理系统、泄爆装置以及集成远 程中控系统。设备整体尺寸控制在长 7m（长，包含操作面）*4m（宽）*12m(高)
整体尺寸：程中控系统。设备整体尺寸控制在长 7m（长，包含操作面）*4m（宽）*12m(高) 以内。一次实验加料量为 40-60Kg，加料罐容积≥400L，内壁抛光，要求通
单次加料量/加料罐容积/加料方式：以内。一次实验加料量为 40-60Kg，加料罐容积≥400L，内壁抛光，要求通 过真空吸料的形式将原料吸入加料罐。反应系统应包括且不限于底部伺服电
反应系统组成：过真空吸料的形式将原料吸入加料罐。反应系统应包括且不限于底部伺服电 机、气体分布器、反应器、温控系统、测温系统、测压系统等。通过反应器
收料方式：机、气体分布器、反应器、温控系统、测温系统、测压系统等。通过反应器 憋压将物料压入收料罐。设备需配备一键收料功能，通过一个按键，可实现 设备自动多次取料，且保证取料完全。尾气端需配备硅烷浓度在线监测设备，
硅烷浓度在线监测：设备自动多次取料，且保证取料完全。尾气端需配备硅烷浓度在线监测设备， 可以实现实时监控尾气硅烷浓度。所有参数信息、设备控制、状态信息必须
PLC与DCS/SCADA集成：可以实现实时监控尾气硅烷浓度。所有参数信息、设备控制、状态信息必须 集成入主 PLC，触摸屏只能用于参数设定和设备控制操作，中标人完成现场 PLC 的一次集成和主设备之间的主体联动，集成方DCS/SCADA 系统通过与主 PLC 通讯获取所有上述信息。设备具体参数要求详见第五章 技术规范书。</x:v>
      </x:c>
      <x:c r="P12" s="24" t="d">
        <x:v>2026-08-19T09:30:00.000Z</x:v>
      </x:c>
      <x:c r="Q12" s="13" t="str">
        <x:v>招标需求或候选报价不能作为实际成交。</x:v>
      </x:c>
      <x:c r="R12" s="23"/>
      <x:c r="S12" s="26" t="str">
        <x:v>https://www.chengezhao.com/system/download/zbywDownload.htm?bulletinId=aab11e8d19b13b3f8065daf690338277&amp;fileId=5afa7a4d-a491-4880-8284-bf7ff6abf642</x:v>
      </x:c>
      <x:c r="T12" s="13" t="str">
        <x:v>二次采购主体/项目号：惠州比亚迪电池有限公司（以下简称“招标人”）委托公诚管理咨询有 限公司（以下简称“招标代理机构”）就比亚迪公司流化床采购项目（二次） （招标代理项目编号：SZ-05-04A-2026-D-F-E17466C01）进行公开招标采购， 项目资金为国家拨款，资金已落实。项目已具备招标条件，欢迎符合资格条 件的潜在投标人（以下简称投标人）前来投标。（原文行9）
二次规格/预算/交货：2.2 招标内容：拟选定一家供应商为招标人提供100Kg 硅沉积流化床1 台，流化床整体应需要包括且不限于进料系统、气体调控系统、反应系统、 收料系统、尾气系统、气体检测系统、尾气处理系统、泄爆装置以及集成远 程中控系统。设备整体尺寸控制在长 7m（长，包含操作面）*4m（宽）*12m(高) 以内。一次实验加料量为 40-60Kg，加料罐容积≥400L，内壁抛光，要求通 过真空吸料的形式将原料吸入加料罐。反应系统应包括且不限于底部伺服电 机、气体分布器、反应器、温控系统、测温系统、测压系统等。通过反应器 憋压将物料压入收料罐。设备需配备一键收料功能，通过一个按键，可实现 设备自动多次取料，且保证取料完全。尾气端需配备硅烷浓度在线监测设备， 可以实现实时监控尾气硅烷浓度。所有参数信息、设备控制、状态信息必须 集成入主 PLC，触摸屏只能用于参数设定和设备控制操作，中标人完成现场 PLC 的一次集成和主设备之间的主体联动，集成方DCS/SCADA 系统通过与主 PLC 通讯获取所有上述信息。设备具体参数要求详见第五章 技术规范书。 2.3 项目预算及付款条件：项目不含税预算金额200 万元。付款方式： 预付 30%，到货凭票付 30%，验收合格后凭票付 30%，质保一年付10%，电汇。 2.4 标包划分：不划分标包。 2.5 交货期限：签订合同后 90 天内交货。 2.6 交货地点：湖北省宜昌市 （原文行14–31）
二次投标截止：6.1 纸质版投标文件（含 U 盘）递交：递交纸质投标文件的截止时间（即 投标截止时间）为 2026 年 8 月 19 日 9 时 30 分，地点为深圳市福田区新闻 路 2 号英龙商务中心 33 楼 33E-1 号会议室。（如通过快递方式递交纸质文 件，需提前寄送纸质投标文件并及时与收件人联系。邮寄地址即文件递交地 址，收件人：郑小姐，联系电话：18617187621） 6.2 本项目将于上述同一时间、地点进行开标，招标人/招标代理机构 邀请投标人的法定代表人或者其委托的代理人准时参加。 6.3 出现以下情形时，招标代理机构不予接收投标文件： 6.3.1 投标文件逾期送达或者未送达指定地点； 6.3.2 未按招标文件要求密封的纸质文件（含U 盘版非加密电子投标文 件）； 6.3.3 未按本公告要求获得本项目招标文件的。 6.4 投标保证金的金额及缴纳方式：详见“第二章 投标人须知 投标人 须知前附表 3.5.1 和 3.5.2”。（原文行63）</x:v>
      </x:c>
    </x:row>
    <x:row r="13" ht="314" customHeight="1">
      <x:c r="A13" s="12" t="str">
        <x:v>O002</x:v>
      </x:c>
      <x:c r="B13" s="12" t="str">
        <x:v>SZ-05-04A-2026-D-F-E15235</x:v>
      </x:c>
      <x:c r="C13" s="12" t="str">
        <x:v>深圳市比亚迪锂电池有限公司</x:v>
      </x:c>
      <x:c r="D13" s="12" t="str">
        <x:v>实验室温等静压机</x:v>
      </x:c>
      <x:c r="E13" s="12" t="str">
        <x:v>二次招标</x:v>
      </x:c>
      <x:c r="F13" s="15" t="d">
        <x:v>2026-07-14T00:00:00.000Z</x:v>
      </x:c>
      <x:c r="G13" s="15" t="d">
        <x:v>2026-07-14T00:00:00.000Z</x:v>
      </x:c>
      <x:c r="H13" s="12" t="str">
        <x:v>采购代理原始公告</x:v>
      </x:c>
      <x:c r="I13" s="12" t="n">
        <x:v>1</x:v>
      </x:c>
      <x:c r="J13" s="12" t="str">
        <x:v>台</x:v>
      </x:c>
      <x:c r="K13" s="19" t="n">
        <x:v>5000000</x:v>
      </x:c>
      <x:c r="L13" s="19" t="str">
        <x:v>未披露</x:v>
      </x:c>
      <x:c r="M13" s="19" t="str">
        <x:v>未披露</x:v>
      </x:c>
      <x:c r="N13" s="12" t="str">
        <x:v>未披露</x:v>
      </x:c>
      <x:c r="O13" s="12" t="str">
        <x:v>工作缸有效规格尺寸：工作缸有效规格尺寸：D120mm*L800mm
工作压力与调节精度：设备参数要求：工作缸有效规格尺寸：D120mm*L800mm，工作压力：设计压 力≥880MPa,根据工作条件任意设定，调节精度 1MPa。整机结构：立式；成型
整机结构/成型方式：力≥880MPa,根据工作条件任意设定，调节精度 1MPa。整机结构：立式；成型 方式：工作缸、承压框架均采用预应力钢带缠绕；压力测量精度：800MPa，
压力测量精度及工况：方式：工作缸、承压框架均采用预应力钢带缠绕；压力测量精度：800MPa， 150℃，压力测量精度≤±0.5%F.S。具体要求详见第五章 技术规范书。</x:v>
      </x:c>
      <x:c r="P13" s="25" t="d">
        <x:v>2026-08-04T09:30:00.000Z</x:v>
      </x:c>
      <x:c r="Q13" s="12" t="str">
        <x:v>招标需求或候选报价不能作为实际成交。</x:v>
      </x:c>
      <x:c r="R13" s="23"/>
      <x:c r="S13" s="27" t="str">
        <x:v>https://www.chengezhao.com/system/download/zbywDownload.htm?bulletinId=a2760f5aa69ae8ee9d499db9e6ffc046&amp;fileId=e6c6cde2-2b51-45dc-981d-d7307595d84e</x:v>
      </x:c>
      <x:c r="T13" s="12" t="str">
        <x:v>采购主体/项目号：深圳市比亚迪锂电池有限公司（以下简称“招标人”）委托公诚管理咨 询有限公司（以下简称“招标代理机构”）就比亚迪公司实验室温等静压机 采购项目（二次）（招标代理项目编号：SZ-05-04A-2026-D-F-E15235C01） 进行公开招标采购，项目资金为国有资金，资金已落实。项目已具备招标条 件，欢迎符合资格条件的潜在投标人（以下简称投标人）前来投标。（原文行9）
设备数量/技术规格/预算/付款/交货：2.2 招标内容：拟选定一家供应商为招标人提供温等静压机 1 台，主要 设备参数要求：工作缸有效规格尺寸：D120mm*L800mm，工作压力：设计压 力≥880MPa,根据工作条件任意设定，调节精度 1MPa。整机结构：立式；成型 方式：工作缸、承压框架均采用预应力钢带缠绕；压力测量精度：800MPa， 150℃，压力测量精度≤±0.5%F.S。具体要求详见第五章 技术规范书。 2.3 项目预算及付款条件：项目不含税预算金额500 万元。付款条件： 货到凭票付 60%,验收合格凭票付 40%，全部电汇。 2.4 标包划分：不划分标包。 2.5 交货期限：签订合同后 180 天内交货。 2.6 交货地点：深圳市龙岗区 （原文行14–23）
供应商要求：3.2 投标人必须是温等静压机设备的制造商或合法代理商。投标人是制 造商的，须出具制造商声明函；投标人为代理商的，须提供代理商资格声明 函及制造商(分公司、办事处授权无效)对本次投标项目出具的唯一、合法且 有效的授权书。若同一制造商在本项目中授权两家或以上代理商参与投标， 代理商均按无效标处理；制造商与其合法代理商同时参加本次投标，代理商 按无效标处理。（按要求提供有效证明材料）。 3.3 单位负责人为同一人或者存在控股、管理关系的不同单位，不得同 时参加本项目投标。（须提供《投标人控股及管理关系情况申报表》） 3.4 本次招标不接受联合体投标。（原文行32–40）
投标截止：6.1 纸质版投标文件（含 U 盘）递交：递交纸质投标文件的截止时间（即 投标截止时间）为 2026 年 8 月 4 日 9 时 30 分，地点为深圳市福田区新闻路 2 号英龙商务中心 33 楼 33E-1 号会议室。（如通过快递方式递交纸质文件， 需提前寄送纸质投标文件并及时与收件人联系。邮寄地址即文件递交地址， 收件人：郑小姐，联系电话：18617187621） 6.2 本项目将于上述同一时间、地点进行开标，招标人/招标代理机构 邀请投标人的法定代表人或者其委托的代理人准时参加。 6.3 出现以下情形时，招标代理机构不予接收投标文件： 6.3.1 投标文件逾期送达或者未送达指定地点； 6.3.2 未按招标文件要求密封的纸质文件（含U 盘版非加密电子投标文 件）； 6.3.3 未按本公告要求获得本项目招标文件的。 6.4 投标保证金的金额及缴纳方式：详见“第二章 投标人须知 投标人 须知前附表 3.5.1 和 3.5.2”。（原文行73）
公告落款日期：招标人或其招标代理机构主要负责人（项目负责人（签字））： 招标代理机构：公诚管理咨询有限公司（盖章） 2026 年7 月14日（原文行88）</x:v>
      </x:c>
    </x:row>
    <x:row r="14" ht="85" customHeight="1">
      <x:c r="A14" s="13" t="str">
        <x:v>O005</x:v>
      </x:c>
      <x:c r="B14" s="13" t="str">
        <x:v>SZ-05-04A-2026-D-F-E17264</x:v>
      </x:c>
      <x:c r="C14" s="13" t="str">
        <x:v>惠州比亚迪电池有限公司</x:v>
      </x:c>
      <x:c r="D14" s="13" t="str">
        <x:v>分级机</x:v>
      </x:c>
      <x:c r="E14" s="13" t="str">
        <x:v>中止公告</x:v>
      </x:c>
      <x:c r="F14" s="14" t="d">
        <x:v>2026-07-10T00:00:00.000Z</x:v>
      </x:c>
      <x:c r="G14" s="14" t="d">
        <x:v>2026-07-10T00:00:00.000Z</x:v>
      </x:c>
      <x:c r="H14" s="13" t="str">
        <x:v>采购代理原始公告</x:v>
      </x:c>
      <x:c r="I14" s="13" t="str">
        <x:v>未披露</x:v>
      </x:c>
      <x:c r="J14" s="13" t="str">
        <x:v>未披露</x:v>
      </x:c>
      <x:c r="K14" s="18" t="str">
        <x:v>未披露</x:v>
      </x:c>
      <x:c r="L14" s="18" t="str">
        <x:v>未披露</x:v>
      </x:c>
      <x:c r="M14" s="18" t="str">
        <x:v>未披露</x:v>
      </x:c>
      <x:c r="N14" s="13" t="str">
        <x:v>未披露</x:v>
      </x:c>
      <x:c r="O14" s="13" t="str">
        <x:v>该阶段未披露详细技术参数</x:v>
      </x:c>
      <x:c r="P14" s="24"/>
      <x:c r="Q14" s="13" t="str">
        <x:v>公告回溯初次招标为2026-06-30；该日期不是新增取得的独立公告。</x:v>
      </x:c>
      <x:c r="R14" s="23"/>
      <x:c r="S14" s="26" t="str">
        <x:v>https://www.chengezhao.com/cms/post/f/b/fb3054dc12f98040854a004c6ca88295/</x:v>
      </x:c>
      <x:c r="T14" s="13" t="str">
        <x:v>项目号：招标代理项目编号：SZ-05-04A-2026-D-F-E17264（原文行19）
采购主体/历史招标日期/中止原因：公诚管理咨询有限公司受惠州比亚迪电池有限公司委托，就比亚迪公司分级机采购项目进行公开招标，本项目于 2026年 6月 30日发布招标公告，现因招标人项目需求及预算变更，中止本次项目采购，重新采购时间将另行通知。（原文行23）
买方法人：招标人：惠州比亚迪电池有限公司（原文行27）</x:v>
      </x:c>
    </x:row>
    <x:row r="15" ht="118" customHeight="1">
      <x:c r="A15" s="12" t="str">
        <x:v>O010</x:v>
      </x:c>
      <x:c r="B15" s="12" t="str">
        <x:v>SZ-05-04A-2026-D-F-E15136/标包01</x:v>
      </x:c>
      <x:c r="C15" s="12" t="str">
        <x:v>深圳市比亚迪锂电池有限公司</x:v>
      </x:c>
      <x:c r="D15" s="12" t="str">
        <x:v>原位透射电子显微镜系统</x:v>
      </x:c>
      <x:c r="E15" s="12" t="str">
        <x:v>中标候选人公示</x:v>
      </x:c>
      <x:c r="F15" s="15" t="d">
        <x:v>2026-07-07T00:00:00.000Z</x:v>
      </x:c>
      <x:c r="G15" s="15" t="d">
        <x:v>2026-07-07T00:00:00.000Z</x:v>
      </x:c>
      <x:c r="H15" s="12" t="str">
        <x:v>采购代理原始公告</x:v>
      </x:c>
      <x:c r="I15" s="12" t="str">
        <x:v>未披露</x:v>
      </x:c>
      <x:c r="J15" s="12" t="str">
        <x:v>未披露</x:v>
      </x:c>
      <x:c r="K15" s="19" t="str">
        <x:v>未披露</x:v>
      </x:c>
      <x:c r="L15" s="19" t="n">
        <x:v>18870000</x:v>
      </x:c>
      <x:c r="M15" s="19" t="n">
        <x:v>21323100</x:v>
      </x:c>
      <x:c r="N15" s="12" t="str">
        <x:v>广东省中科进出口有限公司</x:v>
      </x:c>
      <x:c r="O15" s="12" t="str">
        <x:v>该阶段未披露详细技术参数</x:v>
      </x:c>
      <x:c r="P15" s="25"/>
      <x:c r="Q15" s="12" t="str">
        <x:v>招标需求或候选报价不能作为实际成交。</x:v>
      </x:c>
      <x:c r="R15" s="23"/>
      <x:c r="S15" s="27" t="str">
        <x:v>https://www.chengezhao.com/cms/post/1/d/1d168c7acffa9fb10dddd3472d55da8e/</x:v>
      </x:c>
      <x:c r="T15" s="12" t="str">
        <x:v>项目号/标包：比亚迪公司原位透射电子显微镜系统采购项目（标包一）（采购代理编号为： SZ-05-04A-2026-D-F-E15136/01）评标委员会按照招标文件载明的评标方法和标准已完成对各投标人递交的投标文件的评审，根据评审结果，中标候选人推荐如下：（原文行15）
候选供应商/报价/交货/排名：（1）单位名称：广东省中科进出口有限公司 （2）不含税投标总价：18870000.00元，含税投标总价： 21323100.00元 （3）交货期：签订合同后300天内交货。 （4）评标情况：本项目2026年7月7日开始评标，评标委员会成员5名。评标委员会按照招标文件要求采用综合评分法对所有递交的投标文件进行了评审。经评审，广东省中科进出口有限公司综合排名第一。 （5）响应招标文件要求的资格能力条件：符合招标文件规定的资格能力条件。 公示期： 2026年 7月 7日至202 6年 7月 10日 16时 00分。（原文行17–27）
买方法人：招标人：深圳市比亚迪锂电池有限公司（原文行35）</x:v>
      </x:c>
    </x:row>
    <x:row r="16" ht="230" customHeight="1">
      <x:c r="A16" s="13" t="str">
        <x:v>O001</x:v>
      </x:c>
      <x:c r="B16" s="13" t="str">
        <x:v>SZ-05-04A-2026-D-F-E17466</x:v>
      </x:c>
      <x:c r="C16" s="13" t="str">
        <x:v>惠州比亚迪电池有限公司</x:v>
      </x:c>
      <x:c r="D16" s="13" t="str">
        <x:v>100Kg硅沉积流化床</x:v>
      </x:c>
      <x:c r="E16" s="13" t="str">
        <x:v>初次招标</x:v>
      </x:c>
      <x:c r="F16" s="14" t="d">
        <x:v>2026-07-01T00:00:00.000Z</x:v>
      </x:c>
      <x:c r="G16" s="14" t="d">
        <x:v>2026-07-01T00:00:00.000Z</x:v>
      </x:c>
      <x:c r="H16" s="13" t="str">
        <x:v>采购代理原始公告</x:v>
      </x:c>
      <x:c r="I16" s="13" t="n">
        <x:v>1</x:v>
      </x:c>
      <x:c r="J16" s="13" t="str">
        <x:v>台</x:v>
      </x:c>
      <x:c r="K16" s="18" t="n">
        <x:v>2500000</x:v>
      </x:c>
      <x:c r="L16" s="18" t="str">
        <x:v>未披露</x:v>
      </x:c>
      <x:c r="M16" s="18" t="str">
        <x:v>未披露</x:v>
      </x:c>
      <x:c r="N16" s="13" t="str">
        <x:v>未披露</x:v>
      </x:c>
      <x:c r="O16" s="13" t="str">
        <x:v>整体尺寸（历史版本）：设备整体尺寸控制在长7m（长，包含操作面）*4m（宽）*9m(高)以内。</x:v>
      </x:c>
      <x:c r="P16" s="24" t="d">
        <x:v>2026-07-22T09:30:00.000Z</x:v>
      </x:c>
      <x:c r="Q16" s="13" t="str">
        <x:v>历史初次预算250万元、高度≤9m；二次预算200万元、高度≤12m。</x:v>
      </x:c>
      <x:c r="R16" s="23"/>
      <x:c r="S16" s="26" t="str">
        <x:v>https://www.chengezhao.com/cms/post/9/6/967248a4a340b456c24f08cb4fd343f4/</x:v>
      </x:c>
      <x:c r="T16" s="13" t="str">
        <x:v>采购主体/初次项目号：惠州比亚迪电池有限公司（以下简称“招标人”）委托公诚管理咨询有限公司（以下简称“招标代理机构”）就比亚迪公司流化床采购项目（招标代理项目编号： SZ-05-04A-2026-D-F-E17466）进行公开招标采购，项目资金为国家拨款，资金已落实。项目已具备招标条件，欢迎符合资格条件的潜在投标人（以下简称投标人）前来投标。（原文行13）
初次规格：2.2招标内容：拟选定一家供应商为招标人提供 100Kg硅沉积流化床1台，流化床整体应需要包括且不限于进料系统、气体调控系统、反应系统、收料系统、尾气系统、气体检测系统、尾气处理系统、泄爆装置以及集成远程中控系统。设备整体尺寸控制在长7m（长，包含操作面）*4m（宽）*9m(高)以内。一次实验加料量为 40-60 Kg，加料罐容积≥400L，内壁抛光，要求通过真空吸料的形式将原料吸入加料罐。反应系统应包括且不限于底部伺服电机、气体分布器、反应器、温控系统、测温系统、测压系统、反吹系统、气锤、滤芯等。通过反应器憋压将物料压入收料罐。设备需配备一键收料功能，通过一个按键，可实现设备自动多次取料，且保证取料完全。尾气端需配备硅烷浓度在线监测设备，可以实现实时监控尾气硅烷浓度。所有参数信息、设备控制、状态信息必须集成入主PLC，触摸屏只能用于参数设定和设备控制操作，中标人完成现场PLC的一次集成和主设备之间的主体联动，集成方DCS/SCADA系统通过与主PLC通讯获取所有上述信息。设备具体参数要求详见第五章 技术规范书。（原文行19）
初次预算/交货：2.3项目预算及付款条件：项目不含税预算金额250万元。付款条件：预付30%，到货凭票付30%，验收合格后凭票付30%，质保一年付10%，电汇。 2.4标包划分：不划分标包。 2.5交货期限：签订合同后 90天内交货。 2.6交货地点：湖北省宜昌市（原文行21–27）
初次投标截止：6.1纸质版投标文件（含U盘）递交：递交纸质投标文件的截止时间（即投标截止时间）为 202 6年 7月 22日 9时 3 0分，地点为深圳市福田区新闻路2号英龙商务中心33楼33E- 1号会议室。（如通过快递方式递交纸质文件，需提前寄送纸质投标文件并及时与收件人联系。邮寄地址即文件递交地址，收件人：郑小姐，联系电话：18617187621） （原文行69）</x:v>
      </x:c>
    </x:row>
    <x:row r="17" ht="272" customHeight="1">
      <x:c r="A17" s="12" t="str">
        <x:v>O006</x:v>
      </x:c>
      <x:c r="B17" s="12" t="str">
        <x:v>SZ-05-04A-2026-D-F-E16729</x:v>
      </x:c>
      <x:c r="C17" s="12" t="str">
        <x:v>深圳市比亚迪锂电池有限公司</x:v>
      </x:c>
      <x:c r="D17" s="12" t="str">
        <x:v>场发射扫描电子显微镜</x:v>
      </x:c>
      <x:c r="E17" s="12" t="str">
        <x:v>初次招标</x:v>
      </x:c>
      <x:c r="F17" s="15" t="d">
        <x:v>2026-06-25T00:00:00.000Z</x:v>
      </x:c>
      <x:c r="G17" s="15" t="d">
        <x:v>2026-06-25T00:00:00.000Z</x:v>
      </x:c>
      <x:c r="H17" s="12" t="str">
        <x:v>采购代理原始公告</x:v>
      </x:c>
      <x:c r="I17" s="12" t="n">
        <x:v>1</x:v>
      </x:c>
      <x:c r="J17" s="12" t="str">
        <x:v>台</x:v>
      </x:c>
      <x:c r="K17" s="19" t="n">
        <x:v>3900000</x:v>
      </x:c>
      <x:c r="L17" s="19" t="str">
        <x:v>未披露</x:v>
      </x:c>
      <x:c r="M17" s="19" t="str">
        <x:v>未披露</x:v>
      </x:c>
      <x:c r="N17" s="12" t="str">
        <x:v>未披露</x:v>
      </x:c>
      <x:c r="O17" s="12" t="str">
        <x:v>低电压分辨率：1 台，扫描电子显微镜采用电子光学系统（低电压分辨率：≤1.0nm@15kV； ≤1.2nm@1kV；≤1.0nm@1kV（电子束样品台减速模式）；≤1.2nm@500V；），</x:v>
      </x:c>
      <x:c r="P17" s="25" t="d">
        <x:v>2026-07-16T09:30:00.000Z</x:v>
      </x:c>
      <x:c r="Q17" s="12" t="str">
        <x:v>招标需求或候选报价不能作为实际成交。</x:v>
      </x:c>
      <x:c r="R17" s="23"/>
      <x:c r="S17" s="27" t="str">
        <x:v>https://www.chengezhao.com/system/download/zbywDownload.htm?bulletinId=a753d423bf25571aaa21a3a471fdbe95&amp;fileId=6f21953b-d7ce-4686-8c0d-869284df7f45</x:v>
      </x:c>
      <x:c r="T17" s="12" t="str">
        <x:v>采购主体/项目号：深圳市比亚迪锂电池有限公司（以下简称“招标人”）委托公诚管理咨 询有限公司（以下简称“招标代理机构”）就比亚迪公司场发射扫描电子显 微镜采购项目（招标代理项目编号：SZ-05-04A-2026-D-F-E16729）进行公 开招标采购，项目资金为国家拨款，资金已落实。项目已具备招标条件，欢 迎符合资格条件的潜在投标人（以下简称投标人）前来投标。（原文行9）
数量/技术规格/预算/付款/交货：2.2 招标内容：拟选定一家供应商为招标人提供场发射扫描电子显微镜 1 台，扫描电子显微镜采用电子光学系统（低电压分辨率：≤1.0nm@15kV； ≤1.2nm@1kV；≤1.0nm@1kV（电子束样品台减速模式）；≤1.2nm@500V；）， 设备具体参数要求详见第五章 技术规范书。 2.3 项目预算及付款条件：项目不含税预算金额390 万元。付款条件： 货到凭票付 60%,验收合格凭票付 40%；全部电汇。 2.4 标包划分：不划分标包。 2.5 交货期限：签订合同后 180 天内交货。 2.6 交货地点：深圳市 （原文行14–22）
供应商要求：3.2 投标人必须是场发射扫描电子显微镜设备的制造商或合法代理商。 投标人是制造商的，须出具制造商声明函；投标人为代理商的，须提供代理 商资格声明函及制造商(分公司、办事处授权无效)对本次投标项目出具的唯 一、合法且有效的授权书。若同一制造商在本项目中授权两家或以上代理商 参与投标，代理商均按无效标处理；制造商与其合法代理商同时参加本次投 标，代理商按无效标处理。（按要求提供有效证明材料）。 3.3 单位负责人为同一人或者存在控股、管理关系的不同单位，不得同 时参加本项目投标。（须提供《投标人控股及管理关系情况申报表》） 3.4 本次招标不接受联合体投标。（原文行31–40）
投标截止：6.1 纸质版投标文件（含 U 盘）递交：递交纸质投标文件的截止时间（即 投标截止时间）为 2026 年 7 月 16 日 9 时 30 分，地点为深圳市福田区新闻 路 2 号英龙商务中心 33 楼 33E-1 号会议室。（如通过快递方式递交纸质文件， 需提前寄送纸质投标文件并及时与收件人联系。邮寄地址即文件递交地址， 收件人：郑小姐，联系电话：18617187621） 6.2 本项目将于上述同一时间、地点进行开标，招标人/招标代理机构 邀请投标人的法定代表人或者其委托的代理人准时参加。 6.3 出现以下情形时，招标代理机构不予接收投标文件： 6.3.1 投标文件逾期送达或者未送达指定地点； 6.3.2 未按招标文件要求密封的纸质文件（含U 盘版非加密电子投标文 件）； 6.3.3 未按本公告要求获得本项目招标文件的。 6.4 投标保证金的金额及缴纳方式：详见“第二章 投标人须知 投标人 须知前附表 3.5.1 和 3.5.2”。（原文行72）</x:v>
      </x:c>
    </x:row>
    <x:row r="18" ht="258" customHeight="1">
      <x:c r="A18" s="13" t="str">
        <x:v>O003</x:v>
      </x:c>
      <x:c r="B18" s="13" t="str">
        <x:v>SZ-05-04A-2026-D-F-E15499</x:v>
      </x:c>
      <x:c r="C18" s="13" t="str">
        <x:v>深圳市比亚迪锂电池有限公司</x:v>
      </x:c>
      <x:c r="D18" s="13" t="str">
        <x:v>硬X射线XPS设备</x:v>
      </x:c>
      <x:c r="E18" s="13" t="str">
        <x:v>初次招标</x:v>
      </x:c>
      <x:c r="F18" s="14" t="d">
        <x:v>2026-06-17T00:00:00.000Z</x:v>
      </x:c>
      <x:c r="G18" s="14" t="d">
        <x:v>2026-06-17T00:00:00.000Z</x:v>
      </x:c>
      <x:c r="H18" s="13" t="str">
        <x:v>采购代理原始公告</x:v>
      </x:c>
      <x:c r="I18" s="13" t="n">
        <x:v>1</x:v>
      </x:c>
      <x:c r="J18" s="13" t="str">
        <x:v>台</x:v>
      </x:c>
      <x:c r="K18" s="18" t="n">
        <x:v>7000000</x:v>
      </x:c>
      <x:c r="L18" s="18" t="str">
        <x:v>未披露</x:v>
      </x:c>
      <x:c r="M18" s="18" t="str">
        <x:v>未披露</x:v>
      </x:c>
      <x:c r="N18" s="13" t="str">
        <x:v>未披露</x:v>
      </x:c>
      <x:c r="O18" s="13" t="str">
        <x:v>Al Kα微区分辨率/灵敏度/功率：Al Kα在微区分析（≤10 µm）能量分辨率和灵敏度：对Ag3d5/2峰,能量分辨≤0.6 eV时，计数率强度≥50 Kcps, 分析功率≤1.3W；
Cr Kα大束斑分辨率/灵敏度：Cr Kα在大束斑能量分辨率和灵敏度：对Ag3d5/2峰,能量分辨≤1.0 eV时，计数率强度≥6,000 cps；能量分辨≤1.3 eV时，计数率强度≥15,000 cps 。
最小获谱束斑/功能：最小获谱束斑：≤5.0 µm @ Al Kα，≤ 14.0 µm @ Cr Kα，无光阑遮挡, X-射线功率小于1.3W，可采谱，成像和深度剖析。</x:v>
      </x:c>
      <x:c r="P18" s="24" t="d">
        <x:v>2026-07-08T09:30:00.000Z</x:v>
      </x:c>
      <x:c r="Q18" s="13" t="str">
        <x:v>招标需求或候选报价不能作为实际成交。</x:v>
      </x:c>
      <x:c r="R18" s="23"/>
      <x:c r="S18" s="26" t="str">
        <x:v>https://www.chengezhao.com/cms/post/0/e/0e2fb59cc72a5413c7b555bd9a0b1dfa/</x:v>
      </x:c>
      <x:c r="T18" s="13" t="str">
        <x:v>采购主体/项目号：深圳市比亚迪锂电池有限公司（以下简称“招标人”）委托公诚管理咨询有限公司（以下简称“招标代理机构”）就比亚迪公司硬X射线XPS采购项目（招标代理项目编号： SZ-05-04A-2026-D-F-E15499）进行公开招标采购，项目资金为国家拨款，资金已落实。项目已具备招标条件，欢迎符合资格条件的潜在投标人（以下简称投标人）前来投标。（原文行14）
设备数量/技术规格：2.2招标内容：拟选定一家供应商为招标人提供硬X射线XPS设备1台，主要设备参数要求：Al Kα在微区分析（≤10 µm）能量分辨率和灵敏度：对Ag3d5/2峰,能量分辨≤0.6 eV时，计数率强度≥50 Kcps, 分析功率≤1.3W；Cr Kα在大束斑能量分辨率和灵敏度：对Ag3d5/2峰,能量分辨≤1.0 eV时，计数率强度≥6,000 cps；能量分辨≤1.3 eV时，计数率强度≥15,000 cps 。最小获谱束斑：≤5.0 µm @ Al Kα，≤ 14.0 µm @ Cr Kα，无光阑遮挡, X-射线功率小于1.3W，可采谱，成像和深度剖析。设备具体参数要求详见第五章 技术规范书。（原文行20）
预算/付款/交货：2. 3项目预算及付款条件：项目不含税预算金额700万元。付款条件：货到凭票付60%，验收合格后凭票付40%，全部电汇。 2.4标包划分：不划分标包。 2.5交货期限：签订合同后 240天内交货。 2.6交货地点：深圳市龙岗区宝龙比亚迪（原文行22–28）
供应商要求：3.2投标人必须是硬X射线XPS设备的制造商或合法代理商。投标人是制造商的，须出具制造商声明函；投标人为代理商的，须提供代理商资格声明函及制造商(分公司、办事处授权无效)对本次投标项目出具的唯一、合法且有效的授权书。若同一制造商在本项目中授权两家或以上代理商参与投标，代理商均按无效标处理；制造商与其合法代理商同时参加本次投标，代理商按无效标处理。（按要求提供有效证明材料）。 3. 3单位负责人为同一人或者存在控股、管理关系的不同单位，不得同时参加本项目投标。（须提供《投标人控股及管理关系情况申报表》） 3. 4本次招标不接受联合体投标。（原文行34–38）
投标截止：6.1纸质版投标文件（含U盘）递交：递交纸质投标文件的截止时间（即投标截止时间）为202 6年 7月 8日 9时 30分，地点为深圳市福田区新闻路2号英龙商务中心33楼33E- 3号会议室。（如通过快递方式递交纸质文件，需提前寄送纸质投标文件并及时与收件人联系。邮寄地址即文件递交地址，收件人：郑小姐，联系电话：18617187621） （原文行70）</x:v>
      </x:c>
    </x:row>
    <x:row r="19" ht="118" customHeight="1">
      <x:c r="A19" s="12" t="str">
        <x:v>O013</x:v>
      </x:c>
      <x:c r="B19" s="12" t="str">
        <x:v>SZ-05-04A-2026-D-F-E10663</x:v>
      </x:c>
      <x:c r="C19" s="12" t="str">
        <x:v>深圳市比亚迪锂电池有限公司</x:v>
      </x:c>
      <x:c r="D19" s="12" t="str">
        <x:v>数据采集仪</x:v>
      </x:c>
      <x:c r="E19" s="12" t="str">
        <x:v>中标候选人公示</x:v>
      </x:c>
      <x:c r="F19" s="15" t="d">
        <x:v>2026-06-03T00:00:00.000Z</x:v>
      </x:c>
      <x:c r="G19" s="15" t="d">
        <x:v>2026-06-03T00:00:00.000Z</x:v>
      </x:c>
      <x:c r="H19" s="12" t="str">
        <x:v>采购代理原始公告</x:v>
      </x:c>
      <x:c r="I19" s="12" t="str">
        <x:v>未披露</x:v>
      </x:c>
      <x:c r="J19" s="12" t="str">
        <x:v>未披露</x:v>
      </x:c>
      <x:c r="K19" s="19" t="str">
        <x:v>未披露</x:v>
      </x:c>
      <x:c r="L19" s="19" t="n">
        <x:v>260177</x:v>
      </x:c>
      <x:c r="M19" s="19" t="n">
        <x:v>294000</x:v>
      </x:c>
      <x:c r="N19" s="12" t="str">
        <x:v>上海同星智能科技有限公司</x:v>
      </x:c>
      <x:c r="O19" s="12" t="str">
        <x:v>该阶段未披露详细技术参数</x:v>
      </x:c>
      <x:c r="P19" s="25"/>
      <x:c r="Q19" s="12" t="str">
        <x:v>招标需求或候选报价不能作为实际成交。</x:v>
      </x:c>
      <x:c r="R19" s="23"/>
      <x:c r="S19" s="27" t="str">
        <x:v>https://www.chengezhao.com/cms/post/0/d/0db17e0284d114c1878411719a63e009/</x:v>
      </x:c>
      <x:c r="T19" s="12" t="str">
        <x:v>项目号：数据采集仪采购项目（采购代理编号为： SZ-05-04A-2026-D-F-E10663）评标委员会按照招标文件载明的评标方法和标准已完成对各投标人递交的投标文件的评审，根据评审结果，中标候选人推荐如下：（原文行17）
候选供应商/报价/交期/排名/公示：（1）单位名称：上海同星智能科技有限公司 （2）不含税投标总价：260177.00元，含税投标总价：294000.00元 （3）交货期：30天。 （4）评标情况：本项目2026年6月3日开始评标，评标委员会成员5名。评标委员会按照招标文件要求采用综合评分法对所有递交的投标文件进行了评审。经评审，上海同星智能科技有限公司综合排名第一 （5）响应招标文件要求的资格能力条件：符合招标文件规定的资格能力条件 公示期： 2026年6月3日至202 6年 6月 8日 10时 00分。（原文行19–29）
买方法人：招标人：深圳市比亚迪锂电池有限公司（原文行37）</x:v>
      </x:c>
    </x:row>
    <x:row r="20" ht="314" customHeight="1">
      <x:c r="A20" s="13" t="str">
        <x:v>O014</x:v>
      </x:c>
      <x:c r="B20" s="13" t="str">
        <x:v>SZ-05-04A-2026-D-F-E10658</x:v>
      </x:c>
      <x:c r="C20" s="13" t="str">
        <x:v>深圳市比亚迪锂电池有限公司</x:v>
      </x:c>
      <x:c r="D20" s="13" t="str">
        <x:v>软包三电极电池检测柜</x:v>
      </x:c>
      <x:c r="E20" s="13" t="str">
        <x:v>初次招标</x:v>
      </x:c>
      <x:c r="F20" s="14" t="d">
        <x:v>2026-05-13T00:00:00.000Z</x:v>
      </x:c>
      <x:c r="G20" s="14" t="d">
        <x:v>2026-05-13T00:00:00.000Z</x:v>
      </x:c>
      <x:c r="H20" s="13" t="str">
        <x:v>采购代理原始公告</x:v>
      </x:c>
      <x:c r="I20" s="13" t="n">
        <x:v>5</x:v>
      </x:c>
      <x:c r="J20" s="13" t="str">
        <x:v>台</x:v>
      </x:c>
      <x:c r="K20" s="18" t="n">
        <x:v>465000</x:v>
      </x:c>
      <x:c r="L20" s="18" t="str">
        <x:v>未披露</x:v>
      </x:c>
      <x:c r="M20" s="18" t="str">
        <x:v>未披露</x:v>
      </x:c>
      <x:c r="N20" s="13" t="str">
        <x:v>未披露</x:v>
      </x:c>
      <x:c r="O20" s="13" t="str">
        <x:v>通道需求：5V30A，共计16CH/台，5台
主电压：充电范围为0V-5V；电压测量控制精度±0.02%F.S.@25±5℃；分辨率0.1mV；
主电流：充放电电流范围为-30A~30A，电流控制精度±0.02%F.S@25±5℃；最小电流≤1mA；分辨率1mA；
辅助电压：主通道及两个辅助通道电压检测量程：0~5V，主通道及两个辅助通道电压检测精度均需满足±0.02%F.S.@25±5℃，分辨率0.1mV；</x:v>
      </x:c>
      <x:c r="P20" s="24" t="d">
        <x:v>2026-06-03T09:30:00.000Z</x:v>
      </x:c>
      <x:c r="Q20" s="13" t="str">
        <x:v>招标需求或候选报价不能作为实际成交。</x:v>
      </x:c>
      <x:c r="R20" s="23"/>
      <x:c r="S20" s="26" t="str">
        <x:v>https://www.chengezhao.com/cms/post/1/6/16b74b4f4e5807f91d7a807bc7b1cca5/</x:v>
      </x:c>
      <x:c r="T20" s="13" t="str">
        <x:v>采购主体/项目号：深圳市比亚迪锂电池有限公司（以下简称“招标人”）委托公诚管理咨询有限公司（以下简称“招标代理机构”）就软包三电极电池检测柜采购项目（招标代理项目编号： SZ-05-04A-2026-D-F-E10658）进行公开招标采购，项目资金为国有资金，资金已落实。项目已具备招标条件，欢迎符合资格条件的潜在投标人（以下简称投标人）前来投标。（原文行13）
数量：2.2招标内容：拟选定一家供应商为招标人提供软包三电极电池检测柜 5台。设备主要技术参数如下表,具体要求详见第五章 技术规范书。（原文行19）
设备技术参数：通道需求 5V30A，共计16CH/台，5台 主电压 充电范围为0V-5V；电压测量控制精度±0.02%F.S.@25±5℃；分辨率0.1mV； 主电流 充放电电流范围为-30A~30A，电流控制精度±0.02%F.S@25±5℃；最小电流≤1mA；分辨率1mA； 辅助电压 主通道及两个辅助通道电压检测量程：0~5V，主通道及两个辅助通道电压检测精度均需满足±0.02%F.S.@25±5℃，分辨率0.1mV；（原文行25–39）
预算/付款/交货：2. 3项目预算及付款条件：项目不含税预算金额46.5万元，设备单价不含税限价9.3万元/台。付款条件：货到凭票付60%，验收合格凭票付30%，质保1年满付10%，全部电汇。 2.4标包划分：不划分标包。 2. 5交货期限：签订合同后60天内交货。 2.6交货地点：深圳市龙岗区（原文行41–47）
供应商要求：3.2 投标人必须是软包三电极电池检测柜设备的制造商或合法代理商。投标人是制造商的，须出具制造商声明函；投标人为代理商的，须提供代理商资格声明函及制造商(分公司、办事处授权无效)对本次投标项目出具的唯一、合法且有效的授权书。若同一制造商在本项目中授权两家或以上代理商参与投标，代理商均按无效标处理；制造商与其合法代理商同时参加本次投标，代理商按无效标处理。（按要求提供有效证明材料）。 3. 3单位负责人为同一人或者存在控股、管理关系的不同单位，不得同时参加本项目投标。（须提供《投标人控股及管理关系情况申报表》） 3. 4本次招标不接受联合体投标。（原文行53–57）
文件费用不是设备采购预算：5.3 招标文件费用：每套售价500.00元人民币，售后不退。如需要获取纸质招标文件，请凭借购买记录前往深圳市福田区新闻路2号英龙商务中心33楼33E现场领取，或电话联系文件售卖人员进行邮寄，邮寄费用由投标人承担。（原文行81）
投标截止：6.1纸质版投标文件（含U盘）递交：递交纸质投标文件的截止时间（即投标截止时间）为202 6年 6月 3日 9时 3 0分，地点为深圳市福田区新闻路2号英龙商务中心33楼33E- 1号会议室。（如通过快递方式递交纸质文件，需提前寄送纸质投标文件并及时与收件人联系。邮寄地址即文件递交地址，收件人：郑小姐，联系电话：18617187621） （原文行85）</x:v>
      </x:c>
    </x:row>
  </x:sheetData>
  <x:mergeCells>
    <x:mergeCell ref="A2:G2"/>
    <x:mergeCell ref="A3:O3"/>
    <x:mergeCell ref="A4:Q4"/>
  </x:mergeCells>
  <x:pageMargins left="0.7" right="0.7" top="0.75" bottom="0.75" header="0.3" footer="0.3"/>
  <x:tableParts count="1">
    <x:tablePart xmlns:r="http://schemas.openxmlformats.org/officeDocument/2006/relationships" r:id="R1b4138a8c86842b2"/>
  </x:tableParts>
</x:worksheet>
</file>