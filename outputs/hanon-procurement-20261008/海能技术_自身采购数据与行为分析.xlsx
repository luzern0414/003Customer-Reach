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a67158c132f44c7" /></Relationships>
</file>

<file path=xl/workbook.xml><?xml version="1.0" encoding="utf-8"?>
<x:workbook xmlns:x="http://schemas.openxmlformats.org/spreadsheetml/2006/main">
  <x:sheets>
    <x:sheet xmlns:r="http://schemas.openxmlformats.org/officeDocument/2006/relationships" name="采购画像" sheetId="1" r:id="R5b95f414aea54f61"/>
    <x:sheet xmlns:r="http://schemas.openxmlformats.org/officeDocument/2006/relationships" name="实际采购披露" sheetId="2" r:id="R50b33fe8505c4cda"/>
    <x:sheet xmlns:r="http://schemas.openxmlformats.org/officeDocument/2006/relationships" name="直接招采公告" sheetId="3" r:id="R95c568820bfd48ea"/>
    <x:sheet xmlns:r="http://schemas.openxmlformats.org/officeDocument/2006/relationships" name="物料品类" sheetId="4" r:id="Rc08e7bd864bb4d51"/>
    <x:sheet xmlns:r="http://schemas.openxmlformats.org/officeDocument/2006/relationships" name="采购规模" sheetId="5" r:id="R8245d397b5264d3f"/>
    <x:sheet xmlns:r="http://schemas.openxmlformats.org/officeDocument/2006/relationships" name="设备购置计划" sheetId="6" r:id="R7da867e48b4a4f41"/>
    <x:sheet xmlns:r="http://schemas.openxmlformats.org/officeDocument/2006/relationships" name="采购特征" sheetId="7" r:id="R97ebc9f51c254da5"/>
    <x:sheet xmlns:r="http://schemas.openxmlformats.org/officeDocument/2006/relationships" name="未来购买分析" sheetId="8" r:id="R3d08f44cafe94102"/>
    <x:sheet xmlns:r="http://schemas.openxmlformats.org/officeDocument/2006/relationships" name="原始证据" sheetId="9" r:id="R1a48818e5dcd4bca"/>
    <x:sheet xmlns:r="http://schemas.openxmlformats.org/officeDocument/2006/relationships" name="检索与排除" sheetId="10" r:id="Reec4a743f3c6490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yyyy-mm-dd"/>
    <x:numFmt numFmtId="203" formatCode="0.00%"/>
  </x:numFmts>
  <x:fonts count="10">
    <x:font>
      <x:sz val="11"/>
      <x:name val="Carlito"/>
    </x:font>
    <x:font>
      <x:b/>
      <x:sz val="15"/>
      <x:color rgb="FF103D36"/>
      <x:name val="Microsoft YaHei"/>
    </x:font>
    <x:font>
      <x:sz val="10"/>
      <x:color rgb="FF59736B"/>
      <x:name val="Microsoft YaHei"/>
    </x:font>
    <x:font>
      <x:sz val="11"/>
      <x:color rgb="FF243B35"/>
      <x:name val="Microsoft YaHei"/>
    </x:font>
    <x:font>
      <x:b/>
      <x:sz val="11"/>
      <x:color rgb="FFFFFFFF"/>
      <x:name val="Microsoft YaHei"/>
    </x:font>
    <x:font>
      <x:sz val="12"/>
      <x:color rgb="FF865B1F"/>
      <x:name val="Microsoft YaHei"/>
    </x:font>
    <x:font>
      <x:b/>
      <x:sz val="19"/>
      <x:color rgb="FF103D36"/>
      <x:name val="Microsoft YaHei"/>
    </x:font>
    <x:font>
      <x:sz val="12"/>
      <x:color rgb="FF795419"/>
      <x:name val="Microsoft YaHei"/>
    </x:font>
    <x:font>
      <x:b/>
      <x:sz val="12"/>
      <x:color rgb="FFFFFFFF"/>
      <x:name val="Microsoft YaHei"/>
    </x:font>
    <x:font>
      <x:sz val="11"/>
      <x:color rgb="FF795419"/>
      <x:name val="Microsoft YaHei"/>
    </x:font>
  </x:fonts>
  <x:fills count="6">
    <x:fill>
      <x:patternFill patternType="none"/>
    </x:fill>
    <x:fill>
      <x:patternFill patternType="gray125"/>
    </x:fill>
    <x:fill>
      <x:patternFill patternType="solid">
        <x:fgColor rgb="FF103D36"/>
      </x:patternFill>
    </x:fill>
    <x:fill>
      <x:patternFill patternType="solid">
        <x:fgColor rgb="FFFFF3D9"/>
      </x:patternFill>
    </x:fill>
    <x:fill>
      <x:patternFill patternType="solid">
        <x:fgColor rgb="FFEFF6F3"/>
      </x:patternFill>
    </x:fill>
    <x:fill>
      <x:patternFill patternType="solid">
        <x:fgColor rgb="FFFFFFFF"/>
      </x:patternFill>
    </x:fill>
  </x:fills>
  <x:borders count="2">
    <x:border>
      <x:left/>
      <x:right/>
      <x:top/>
      <x:bottom/>
      <x:diagonal/>
    </x:border>
    <x:border>
      <x:left/>
      <x:right/>
      <x:top/>
      <x:bottom style="thin">
        <x:color rgb="FFA5BFB9"/>
      </x:bottom>
      <x:diagonal/>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3" fillId="0" borderId="0" xfId="0" applyNumberFormat="1" applyFont="1" applyFill="1" applyBorder="1" applyAlignment="1">
      <x:alignment vertical="center" wrapText="1"/>
    </x:xf>
    <x:xf numFmtId="201" fontId="3" fillId="0" borderId="0" xfId="0" applyNumberFormat="1" applyFont="1" applyFill="1" applyBorder="1" applyAlignment="1">
      <x:alignment vertical="center" wrapText="1"/>
    </x:xf>
    <x:xf numFmtId="202" fontId="3" fillId="0" borderId="0" xfId="0" applyNumberFormat="1" applyFont="1" applyFill="1" applyBorder="1" applyAlignment="1">
      <x:alignment vertical="center"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203" fontId="3" fillId="0" borderId="0"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3"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0" xfId="0" applyNumberFormat="1" applyFont="1" applyFill="1" applyBorder="1" applyAlignment="1">
      <x:alignment vertical="center" wrapText="1"/>
    </x:xf>
    <x:xf numFmtId="0" fontId="3" fillId="5" borderId="0" xfId="0" applyNumberFormat="1" applyFont="1" applyFill="1" applyBorder="1" applyAlignment="1">
      <x:alignment vertical="center"/>
    </x:xf>
    <x:xf numFmtId="0" fontId="3" fillId="5" borderId="0" xfId="0" applyNumberFormat="1" applyFont="1" applyFill="1" applyBorder="1" applyAlignment="1">
      <x:alignment vertical="center" wrapText="1"/>
    </x:xf>
    <x:xf numFmtId="0" fontId="9" fillId="3" borderId="0" xfId="0" applyNumberFormat="1" applyFont="1" applyFill="1" applyBorder="1" applyAlignment="1">
      <x:alignment vertical="center"/>
    </x:xf>
    <x:xf numFmtId="0" fontId="9" fillId="3"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80a9ffaa6249e7" /><Relationship Type="http://schemas.openxmlformats.org/officeDocument/2006/relationships/theme" Target="/xl/theme/theme1.xml" Id="R64f211738b684204" /><Relationship Type="http://schemas.openxmlformats.org/officeDocument/2006/relationships/sharedStrings" Target="/xl/sharedStrings.xml" Id="R530e5909d0b64aeb" /><Relationship Type="http://schemas.openxmlformats.org/officeDocument/2006/relationships/worksheet" Target="/xl/worksheets/sheet1.xml" Id="R5b95f414aea54f61" /><Relationship Type="http://schemas.openxmlformats.org/officeDocument/2006/relationships/worksheet" Target="/xl/worksheets/sheet2.xml" Id="R50b33fe8505c4cda" /><Relationship Type="http://schemas.openxmlformats.org/officeDocument/2006/relationships/worksheet" Target="/xl/worksheets/sheet3.xml" Id="R95c568820bfd48ea" /><Relationship Type="http://schemas.openxmlformats.org/officeDocument/2006/relationships/worksheet" Target="/xl/worksheets/sheet4.xml" Id="Rc08e7bd864bb4d51" /><Relationship Type="http://schemas.openxmlformats.org/officeDocument/2006/relationships/worksheet" Target="/xl/worksheets/sheet5.xml" Id="R8245d397b5264d3f" /><Relationship Type="http://schemas.openxmlformats.org/officeDocument/2006/relationships/worksheet" Target="/xl/worksheets/sheet6.xml" Id="R7da867e48b4a4f41" /><Relationship Type="http://schemas.openxmlformats.org/officeDocument/2006/relationships/worksheet" Target="/xl/worksheets/sheet7.xml" Id="R97ebc9f51c254da5" /><Relationship Type="http://schemas.openxmlformats.org/officeDocument/2006/relationships/worksheet" Target="/xl/worksheets/sheet8.xml" Id="R3d08f44cafe94102" /><Relationship Type="http://schemas.openxmlformats.org/officeDocument/2006/relationships/worksheet" Target="/xl/worksheets/sheet9.xml" Id="R1a48818e5dcd4bca" /><Relationship Type="http://schemas.openxmlformats.org/officeDocument/2006/relationships/worksheet" Target="/xl/worksheets/sheet10.xml" Id="Reec4a743f3c64906" /></Relationships>
</file>

<file path=xl/tables/table1.xml><?xml version="1.0" encoding="utf-8"?>
<x:table xmlns:x="http://schemas.openxmlformats.org/spreadsheetml/2006/main" id="1" name="ActualPurchases" displayName="ActualPurchases" ref="A5:Q11" headerRowCount="1" totalsRowCount="0" totalsRowShown="0">
  <x:autoFilter ref="A5:Q11"/>
  <x:tableColumns count="17">
    <x:tableColumn id="1" name="ID"/>
    <x:tableColumn id="2" name="采购主体"/>
    <x:tableColumn id="3" name="统计期"/>
    <x:tableColumn id="4" name="供应商"/>
    <x:tableColumn id="5" name="采购品类"/>
    <x:tableColumn id="6" name="型号规格"/>
    <x:tableColumn id="7" name="数量"/>
    <x:tableColumn id="8" name="单位"/>
    <x:tableColumn id="9" name="单价（元）"/>
    <x:tableColumn id="10" name="年度采购额（元）"/>
    <x:tableColumn id="11" name="年度采购占比（%）"/>
    <x:tableColumn id="12" name="实际采购频次"/>
    <x:tableColumn id="13" name="资料性质"/>
    <x:tableColumn id="14" name="关联关系"/>
    <x:tableColumn id="15" name="证据"/>
    <x:tableColumn id="16" name="披露日"/>
    <x:tableColumn id="17" name="限定说明"/>
  </x:tableColumns>
  <x:tableStyleInfo name="TableStyleMedium2" showFirstColumn="0" showLastColumn="0" showRowStripes="1" showColumnStripes="0"/>
</x:table>
</file>

<file path=xl/tables/table2.xml><?xml version="1.0" encoding="utf-8"?>
<x:table xmlns:x="http://schemas.openxmlformats.org/spreadsheetml/2006/main" id="2" name="MaterialCategories" displayName="MaterialCategories" ref="A5:J10" headerRowCount="1" totalsRowCount="0" totalsRowShown="0">
  <x:autoFilter ref="A5:J10"/>
  <x:tableColumns count="10">
    <x:tableColumn id="1" name="品类ID"/>
    <x:tableColumn id="2" name="产品或物料"/>
    <x:tableColumn id="3" name="证据性质"/>
    <x:tableColumn id="4" name="具体型号"/>
    <x:tableColumn id="5" name="数量"/>
    <x:tableColumn id="6" name="价格区间"/>
    <x:tableColumn id="7" name="对应供应商"/>
    <x:tableColumn id="8" name="频次与补货方式"/>
    <x:tableColumn id="9" name="证据"/>
    <x:tableColumn id="10" name="限定说明"/>
  </x:tableColumns>
  <x:tableStyleInfo name="TableStyleMedium2" showFirstColumn="0" showLastColumn="0" showRowStripes="1" showColumnStripes="0"/>
</x:table>
</file>

<file path=xl/tables/table3.xml><?xml version="1.0" encoding="utf-8"?>
<x:table xmlns:x="http://schemas.openxmlformats.org/spreadsheetml/2006/main" id="3" name="ProcurementScale" displayName="ProcurementScale" ref="A5:H16" headerRowCount="1" totalsRowCount="0" totalsRowShown="0">
  <x:autoFilter ref="A5:H16"/>
  <x:tableColumns count="8">
    <x:tableColumn id="1" name="ID"/>
    <x:tableColumn id="2" name="指标"/>
    <x:tableColumn id="3" name="口径或报告期"/>
    <x:tableColumn id="4" name="数值"/>
    <x:tableColumn id="5" name="单位"/>
    <x:tableColumn id="6" name="数据性质"/>
    <x:tableColumn id="7" name="证据"/>
    <x:tableColumn id="8" name="限定说明"/>
  </x:tableColumns>
  <x:tableStyleInfo name="TableStyleMedium2" showFirstColumn="0" showLastColumn="0" showRowStripes="1" showColumnStripes="0"/>
</x:table>
</file>

<file path=xl/tables/table4.xml><?xml version="1.0" encoding="utf-8"?>
<x:table xmlns:x="http://schemas.openxmlformats.org/spreadsheetml/2006/main" id="4" name="EquipmentPlans" displayName="EquipmentPlans" ref="A5:K11" headerRowCount="1" totalsRowCount="0" totalsRowShown="0">
  <x:autoFilter ref="A5:K11"/>
  <x:tableColumns count="11">
    <x:tableColumn id="1" name="ID"/>
    <x:tableColumn id="2" name="实施主体"/>
    <x:tableColumn id="3" name="拟购或建设方向"/>
    <x:tableColumn id="4" name="型号规格"/>
    <x:tableColumn id="5" name="数量"/>
    <x:tableColumn id="6" name="投资概算（元）"/>
    <x:tableColumn id="7" name="单位"/>
    <x:tableColumn id="8" name="阶段"/>
    <x:tableColumn id="9" name="计划时点"/>
    <x:tableColumn id="10" name="证据"/>
    <x:tableColumn id="11" name="限制"/>
  </x:tableColumns>
  <x:tableStyleInfo name="TableStyleMedium2" showFirstColumn="0" showLastColumn="0" showRowStripes="1" showColumnStripes="0"/>
</x:table>
</file>

<file path=xl/tables/table5.xml><?xml version="1.0" encoding="utf-8"?>
<x:table xmlns:x="http://schemas.openxmlformats.org/spreadsheetml/2006/main" id="5" name="PurchaseBehavior" displayName="PurchaseBehavior" ref="A5:E17" headerRowCount="1" totalsRowCount="0" totalsRowShown="0">
  <x:autoFilter ref="A5:E17"/>
  <x:tableColumns count="5">
    <x:tableColumn id="1" name="维度"/>
    <x:tableColumn id="2" name="结论"/>
    <x:tableColumn id="3" name="证据性质"/>
    <x:tableColumn id="4" name="证据"/>
    <x:tableColumn id="5" name="依据与边界"/>
  </x:tableColumns>
  <x:tableStyleInfo name="TableStyleMedium2" showFirstColumn="0" showLastColumn="0" showRowStripes="1" showColumnStripes="0"/>
</x:table>
</file>

<file path=xl/tables/table6.xml><?xml version="1.0" encoding="utf-8"?>
<x:table xmlns:x="http://schemas.openxmlformats.org/spreadsheetml/2006/main" id="6" name="FutureBuying" displayName="FutureBuying" ref="A5:H10" headerRowCount="1" totalsRowCount="0" totalsRowShown="0">
  <x:autoFilter ref="A5:H10"/>
  <x:tableColumns count="8">
    <x:tableColumn id="1" name="产品或需求方向"/>
    <x:tableColumn id="2" name="可能性判断"/>
    <x:tableColumn id="3" name="适用时间或情景"/>
    <x:tableColumn id="4" name="证据"/>
    <x:tableColumn id="5" name="支持理由"/>
    <x:tableColumn id="6" name="确认下一次采购所需条件"/>
    <x:tableColumn id="7" name="可能降低需求的因素"/>
    <x:tableColumn id="8" name="预测边界"/>
  </x:tableColumns>
  <x:tableStyleInfo name="TableStyleMedium2" showFirstColumn="0" showLastColumn="0" showRowStripes="1" showColumnStripes="0"/>
</x:table>
</file>

<file path=xl/tables/table7.xml><?xml version="1.0" encoding="utf-8"?>
<x:table xmlns:x="http://schemas.openxmlformats.org/spreadsheetml/2006/main" id="7" name="ProcurementEvidence" displayName="ProcurementEvidence" ref="A5:G40" headerRowCount="1" totalsRowCount="0" totalsRowShown="0">
  <x:autoFilter ref="A5:G40"/>
  <x:tableColumns count="7">
    <x:tableColumn id="1" name="证据ID"/>
    <x:tableColumn id="2" name="来源ID"/>
    <x:tableColumn id="3" name="PDF物理页"/>
    <x:tableColumn id="4" name="分段号"/>
    <x:tableColumn id="5" name="支持内容"/>
    <x:tableColumn id="6" name="原文引句"/>
    <x:tableColumn id="7" name="页码或表格说明"/>
  </x:tableColumns>
  <x:tableStyleInfo name="TableStyleMedium2" showFirstColumn="0" showLastColumn="0" showRowStripes="1" showColumnStripes="0"/>
</x:table>
</file>

<file path=xl/tables/table8.xml><?xml version="1.0" encoding="utf-8"?>
<x:table xmlns:x="http://schemas.openxmlformats.org/spreadsheetml/2006/main" id="8" name="ProcurementSources" displayName="ProcurementSources" ref="A45:G50" headerRowCount="1" totalsRowCount="0" totalsRowShown="0">
  <x:autoFilter ref="A45:G50"/>
  <x:tableColumns count="7">
    <x:tableColumn id="1" name="来源ID"/>
    <x:tableColumn id="2" name="来源平台"/>
    <x:tableColumn id="3" name="PDF页数"/>
    <x:tableColumn id="4" name="披露日"/>
    <x:tableColumn id="5" name="文件名称"/>
    <x:tableColumn id="6" name="原始URL"/>
    <x:tableColumn id="7" name="核验说明"/>
  </x:tableColumns>
  <x:tableStyleInfo name="TableStyleMedium2" showFirstColumn="0" showLastColumn="0" showRowStripes="1" showColumnStripes="0"/>
</x:table>
</file>

<file path=xl/tables/table9.xml><?xml version="1.0" encoding="utf-8"?>
<x:table xmlns:x="http://schemas.openxmlformats.org/spreadsheetml/2006/main" id="9" name="ProcurementCoverage" displayName="ProcurementCoverage" ref="A5:D16" headerRowCount="1" totalsRowCount="0" totalsRowShown="0">
  <x:autoFilter ref="A5:D16"/>
  <x:tableColumns count="4">
    <x:tableColumn id="1" name="平台"/>
    <x:tableColumn id="2" name="核查方式"/>
    <x:tableColumn id="3" name="合格公告数"/>
    <x:tableColumn id="4" name="覆盖限制"/>
  </x:tableColumns>
  <x:tableStyleInfo name="TableStyleMedium2" showFirstColumn="0" showLastColumn="0" showRowStripes="1" showColumnStripes="0"/>
</x:table>
</file>

<file path=xl/tables/table10.xml><?xml version="1.0" encoding="utf-8"?>
<x:table xmlns:x="http://schemas.openxmlformats.org/spreadsheetml/2006/main" id="10" name="ProcurementExclusions" displayName="ProcurementExclusions" ref="A21:D28" headerRowCount="1" totalsRowCount="0" totalsRowShown="0">
  <x:autoFilter ref="A21:D28"/>
  <x:tableColumns count="4">
    <x:tableColumn id="1" name="相关公告"/>
    <x:tableColumn id="2" name="实际采购人或待核角色"/>
    <x:tableColumn id="3" name="排除性质"/>
    <x:tableColumn id="4" name="理由"/>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8f593ef2934717" /></Relationships>
</file>

<file path=xl/worksheets/_rels/sheet4.xml.rels>&#65279;<?xml version="1.0" encoding="utf-8"?><Relationships xmlns="http://schemas.openxmlformats.org/package/2006/relationships"><Relationship Type="http://schemas.openxmlformats.org/officeDocument/2006/relationships/table" Target="/xl/tables/table2.xml" Id="R462ca28cb4794227" /></Relationships>
</file>

<file path=xl/worksheets/_rels/sheet5.xml.rels>&#65279;<?xml version="1.0" encoding="utf-8"?><Relationships xmlns="http://schemas.openxmlformats.org/package/2006/relationships"><Relationship Type="http://schemas.openxmlformats.org/officeDocument/2006/relationships/table" Target="/xl/tables/table3.xml" Id="R44aa8e86861d4a10" /></Relationships>
</file>

<file path=xl/worksheets/_rels/sheet6.xml.rels>&#65279;<?xml version="1.0" encoding="utf-8"?><Relationships xmlns="http://schemas.openxmlformats.org/package/2006/relationships"><Relationship Type="http://schemas.openxmlformats.org/officeDocument/2006/relationships/table" Target="/xl/tables/table4.xml" Id="R88771cdadfc24111" /></Relationships>
</file>

<file path=xl/worksheets/_rels/sheet7.xml.rels>&#65279;<?xml version="1.0" encoding="utf-8"?><Relationships xmlns="http://schemas.openxmlformats.org/package/2006/relationships"><Relationship Type="http://schemas.openxmlformats.org/officeDocument/2006/relationships/table" Target="/xl/tables/table5.xml" Id="R57541b5f24ea4010" /></Relationships>
</file>

<file path=xl/worksheets/_rels/sheet8.xml.rels>&#65279;<?xml version="1.0" encoding="utf-8"?><Relationships xmlns="http://schemas.openxmlformats.org/package/2006/relationships"><Relationship Type="http://schemas.openxmlformats.org/officeDocument/2006/relationships/table" Target="/xl/tables/table6.xml" Id="Rde37cb47d93d425e" /></Relationships>
</file>

<file path=xl/worksheets/_rels/sheet9.xml.rels>&#65279;<?xml version="1.0" encoding="utf-8"?><Relationships xmlns="http://schemas.openxmlformats.org/package/2006/relationships"><Relationship Type="http://schemas.openxmlformats.org/officeDocument/2006/relationships/table" Target="/xl/tables/table7.xml" Id="R255be690521a4302" /><Relationship Type="http://schemas.openxmlformats.org/officeDocument/2006/relationships/table" Target="/xl/tables/table8.xml" Id="R045f305273114abf" /></Relationships>
</file>

<file path=xl/worksheets/_rels/sheet10.xml.rels>&#65279;<?xml version="1.0" encoding="utf-8"?><Relationships xmlns="http://schemas.openxmlformats.org/package/2006/relationships"><Relationship Type="http://schemas.openxmlformats.org/officeDocument/2006/relationships/table" Target="/xl/tables/table9.xml" Id="R6fd3178f731d42ea" /><Relationship Type="http://schemas.openxmlformats.org/officeDocument/2006/relationships/table" Target="/xl/tables/table10.xml" Id="R1912d20f4447450c"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33" hidden="0" customWidth="1"/>
    <x:col min="2" max="2" width="43" hidden="0" customWidth="1"/>
    <x:col min="3" max="3" width="26" hidden="0" customWidth="1"/>
    <x:col min="4" max="4" width="43" hidden="0" customWidth="1"/>
    <x:col min="5" max="5" width="43" hidden="0" customWidth="1"/>
    <x:col min="6" max="6" width="37" hidden="0" customWidth="1"/>
  </x:cols>
  <x:sheetData>
    <x:row r="1">
      <x:c r="A1" s="17"/>
      <x:c r="B1" s="17"/>
      <x:c r="C1" s="17"/>
      <x:c r="D1" s="17"/>
      <x:c r="E1" s="17"/>
      <x:c r="F1" s="17"/>
    </x:row>
    <x:row r="2" ht="34" customHeight="1">
      <x:c r="A2" s="18" t="str">
        <x:v>海能技术｜采购画像与后续需求</x:v>
      </x:c>
      <x:c r="B2" s="18"/>
      <x:c r="C2" s="18"/>
      <x:c r="D2" s="18"/>
      <x:c r="E2" s="18"/>
      <x:c r="F2" s="18"/>
    </x:row>
    <x:row r="3" ht="27" customHeight="1">
      <x:c r="A3" s="19" t="str">
        <x:v>海能未来技术集团股份有限公司 · 公告核查2025-10-08至2026-10-08</x:v>
      </x:c>
      <x:c r="B3" s="19"/>
      <x:c r="C3" s="19"/>
      <x:c r="D3" s="19"/>
      <x:c r="E3" s="19"/>
      <x:c r="F3" s="19"/>
    </x:row>
    <x:row r="4">
      <x:c r="A4" s="17"/>
      <x:c r="B4" s="17"/>
      <x:c r="C4" s="17"/>
      <x:c r="D4" s="17"/>
      <x:c r="E4" s="17"/>
      <x:c r="F4" s="17"/>
    </x:row>
    <x:row r="5" ht="27" customHeight="1">
      <x:c r="A5" s="22" t="str">
        <x:v>数据边界：未核验到企业直接招采公告。可确认年度供应商采购额和采购品类；具体型号、数量、月频次、单价区间仍未公开。</x:v>
      </x:c>
      <x:c r="B5" s="22"/>
      <x:c r="C5" s="22"/>
      <x:c r="D5" s="22"/>
      <x:c r="E5" s="22"/>
      <x:c r="F5" s="22"/>
    </x:row>
    <x:row r="6" ht="27" customHeight="1">
      <x:c r="A6" s="22"/>
      <x:c r="B6" s="22"/>
      <x:c r="C6" s="22"/>
      <x:c r="D6" s="22"/>
      <x:c r="E6" s="22"/>
      <x:c r="F6" s="22"/>
    </x:row>
    <x:row r="7">
      <x:c r="A7" s="17"/>
      <x:c r="B7" s="17"/>
      <x:c r="C7" s="17"/>
      <x:c r="D7" s="17"/>
      <x:c r="E7" s="17"/>
      <x:c r="F7" s="17"/>
    </x:row>
    <x:row r="8" ht="32" customHeight="1">
      <x:c r="A8" s="24" t="str">
        <x:v>历史采购披露</x:v>
      </x:c>
      <x:c r="B8" s="24"/>
      <x:c r="C8" s="24"/>
      <x:c r="D8" s="24" t="str">
        <x:v>未来项目方向</x:v>
      </x:c>
      <x:c r="E8" s="24"/>
      <x:c r="F8" s="24"/>
    </x:row>
    <x:row r="9" ht="33" customHeight="1">
      <x:c r="A9" s="6" t="str">
        <x:v>2025前五供应商采购额</x:v>
      </x:c>
      <x:c r="B9" s="10" t="n">
        <x:f>'采购规模'!D6/10000</x:f>
        <x:v>1532.081362</x:v>
      </x:c>
      <x:c r="C9" s="6" t="str">
        <x:v>万元</x:v>
      </x:c>
      <x:c r="D9" s="6" t="str">
        <x:v>基地设备购置概算</x:v>
      </x:c>
      <x:c r="E9" s="10" t="n">
        <x:f>'设备购置计划'!F6/10000</x:f>
        <x:v>1757.16</x:v>
      </x:c>
      <x:c r="F9" s="6" t="str">
        <x:v>万元（计划）</x:v>
      </x:c>
    </x:row>
    <x:row r="10" ht="33" customHeight="1">
      <x:c r="A10" s="6" t="str">
        <x:v>2025总采购额粗略估计</x:v>
      </x:c>
      <x:c r="B10" s="10" t="n">
        <x:f>'采购规模'!D13/10000</x:f>
        <x:v>8886.782842227378</x:v>
      </x:c>
      <x:c r="C10" s="6" t="str">
        <x:v>万元（推导）</x:v>
      </x:c>
      <x:c r="D10" s="6" t="str">
        <x:v>设备采购计划</x:v>
      </x:c>
      <x:c r="E10" s="6" t="str">
        <x:v>建设第二年Q1至Q4</x:v>
      </x:c>
      <x:c r="F10" s="6"/>
    </x:row>
    <x:row r="11" ht="33" customHeight="1">
      <x:c r="A11" s="6" t="str">
        <x:v>前五采购占比</x:v>
      </x:c>
      <x:c r="B11" s="10" t="n">
        <x:f>'采购规模'!D7</x:f>
        <x:v>17.24</x:v>
      </x:c>
      <x:c r="C11" s="6" t="str">
        <x:v>%</x:v>
      </x:c>
      <x:c r="D11" s="6" t="str">
        <x:v>具体型号/数量</x:v>
      </x:c>
      <x:c r="E11" s="6" t="str">
        <x:v>未披露</x:v>
      </x:c>
      <x:c r="F11" s="6"/>
    </x:row>
    <x:row r="12" ht="33" customHeight="1">
      <x:c r="A12" s="6" t="str">
        <x:v>2026半年商品劳务付现</x:v>
      </x:c>
      <x:c r="B12" s="10" t="n">
        <x:f>'采购规模'!D9/10000</x:f>
        <x:v>5563.3585060000005</x:v>
      </x:c>
      <x:c r="C12" s="6" t="str">
        <x:v>万元（现金）</x:v>
      </x:c>
      <x:c r="D12" s="6" t="str">
        <x:v>合格直接招采公告</x:v>
      </x:c>
      <x:c r="E12" s="6" t="n">
        <x:v>0</x:v>
      </x:c>
      <x:c r="F12" s="6"/>
    </x:row>
    <x:row r="13">
      <x:c r="A13" s="17"/>
      <x:c r="B13" s="17"/>
      <x:c r="C13" s="17"/>
      <x:c r="D13" s="17"/>
      <x:c r="E13" s="17"/>
      <x:c r="F13" s="17"/>
    </x:row>
    <x:row r="14" ht="32" customHeight="1">
      <x:c r="A14" s="24" t="str">
        <x:v>采购行为结论</x:v>
      </x:c>
      <x:c r="B14" s="24"/>
      <x:c r="C14" s="24"/>
      <x:c r="D14" s="24"/>
      <x:c r="E14" s="24"/>
      <x:c r="F14" s="24"/>
    </x:row>
    <x:row r="15" ht="42" customHeight="1">
      <x:c r="A15" s="27" t="str">
        <x:v>买什么</x:v>
      </x:c>
      <x:c r="B15" s="27" t="str">
        <x:v>结构件、电子元器件、功能部件、其他原材料；少量成品可能含集团内部购入。</x:v>
      </x:c>
      <x:c r="C15" s="27"/>
      <x:c r="D15" s="27"/>
      <x:c r="E15" s="27"/>
      <x:c r="F15" s="27"/>
    </x:row>
    <x:row r="16" ht="42" customHeight="1">
      <x:c r="A16" s="29" t="str">
        <x:v>向谁采购</x:v>
      </x:c>
      <x:c r="B16" s="29" t="str">
        <x:v>CTC Analytics AG、江苏沃凯氟、河北磐仪、石家庄莱博瑞、上海侃达为2025年前五供应商。</x:v>
      </x:c>
      <x:c r="C16" s="29"/>
      <x:c r="D16" s="29"/>
      <x:c r="E16" s="29"/>
      <x:c r="F16" s="29"/>
    </x:row>
    <x:row r="17" ht="42" customHeight="1">
      <x:c r="A17" s="27" t="str">
        <x:v>采购节奏</x:v>
      </x:c>
      <x:c r="B17" s="27" t="str">
        <x:v>LRP/ERP基于生产计划、BOM和库存安排；部分关键长周期物料签年度订单。逐笔次数未知。</x:v>
      </x:c>
      <x:c r="C17" s="27"/>
      <x:c r="D17" s="27"/>
      <x:c r="E17" s="27"/>
      <x:c r="F17" s="27"/>
    </x:row>
    <x:row r="18" ht="42" customHeight="1">
      <x:c r="A18" s="29" t="str">
        <x:v>价格与供应商</x:v>
      </x:c>
      <x:c r="B18" s="29" t="str">
        <x:v>定期审价、年度折扣与合格供应商评审。证据支持成本管理和质量门槛；不能断言最低价优先。</x:v>
      </x:c>
      <x:c r="C18" s="29"/>
      <x:c r="D18" s="29"/>
      <x:c r="E18" s="29"/>
      <x:c r="F18" s="29"/>
    </x:row>
    <x:row r="19" ht="42" customHeight="1">
      <x:c r="A19" s="27" t="str">
        <x:v>批量与集中度</x:v>
      </x:c>
      <x:c r="B19" s="27" t="str">
        <x:v>产品生产具有多品种、小批量特点；前五金额占17.24%，最大单家4.83%。实际采购批量未知。</x:v>
      </x:c>
      <x:c r="C19" s="27"/>
      <x:c r="D19" s="27"/>
      <x:c r="E19" s="27"/>
      <x:c r="F19" s="27"/>
    </x:row>
    <x:row r="20" ht="42" customHeight="1">
      <x:c r="A20" s="29" t="str">
        <x:v>再次购买</x:v>
      </x:c>
      <x:c r="B20" s="29" t="str">
        <x:v>生产物料有持续需求依据；基地设备有概算及阶段计划。具体型号复购、下次数量及日期无法预测。</x:v>
      </x:c>
      <x:c r="C20" s="29"/>
      <x:c r="D20" s="29"/>
      <x:c r="E20" s="29"/>
      <x:c r="F20" s="29"/>
    </x:row>
    <x:row r="21" ht="42" customHeight="1">
      <x:c r="A21" s="27" t="str">
        <x:v>项目采购线索</x:v>
      </x:c>
      <x:c r="B21" s="27" t="str">
        <x:v>工业互联网、智能工业大模型、智慧仓储与机器人产线是建设方向；外购范围和供应商待核。</x:v>
      </x:c>
      <x:c r="C21" s="27"/>
      <x:c r="D21" s="27"/>
      <x:c r="E21" s="27"/>
      <x:c r="F21" s="27"/>
    </x:row>
    <x:row r="22" ht="42" customHeight="1">
      <x:c r="A22" s="29" t="str">
        <x:v>重要口径</x:v>
      </x:c>
      <x:c r="B22" s="29" t="str">
        <x:v>2025采购额包含窗口外月份；现金、项目投入和设备概算不相加。项目累计投入与置换范围起算不同。</x:v>
      </x:c>
      <x:c r="C22" s="29"/>
      <x:c r="D22" s="29"/>
      <x:c r="E22" s="29"/>
      <x:c r="F22" s="29"/>
    </x:row>
    <x:row r="23" ht="42" customHeight="1">
      <x:c r="A23" s="27" t="str">
        <x:v>预测使用方式</x:v>
      </x:c>
      <x:c r="B23" s="27" t="str">
        <x:v>未来12个月按经营持续情景定性判断；计划时间用相对建设年度。没有校准概率，不给出百分比。</x:v>
      </x:c>
      <x:c r="C23" s="27"/>
      <x:c r="D23" s="27"/>
      <x:c r="E23" s="27"/>
      <x:c r="F23" s="27"/>
    </x:row>
    <x:row r="24">
      <x:c r="A24" s="17"/>
      <x:c r="B24" s="17"/>
      <x:c r="C24" s="17"/>
      <x:c r="D24" s="17"/>
      <x:c r="E24" s="17"/>
      <x:c r="F24" s="17"/>
    </x:row>
    <x:row r="25">
      <x:c r="A25" s="17"/>
      <x:c r="B25" s="17"/>
      <x:c r="C25" s="17"/>
      <x:c r="D25" s="17"/>
      <x:c r="E25" s="17"/>
      <x:c r="F25" s="17"/>
    </x:row>
    <x:row r="26" ht="32" customHeight="1">
      <x:c r="A26" s="31" t="str">
        <x:v>结论：公开资料足以构建供应商、采购机制与需求方向画像；目前不足以完成“某型号最近买几次、买多少、何时复购”的订单级分析。型号/数量/频次需要企业采购系统、订单合同或可公开读取的直接招采明细。</x:v>
      </x:c>
      <x:c r="B26" s="31"/>
      <x:c r="C26" s="31"/>
      <x:c r="D26" s="31"/>
      <x:c r="E26" s="31"/>
      <x:c r="F26" s="31"/>
    </x:row>
    <x:row r="27" ht="32" customHeight="1">
      <x:c r="A27" s="31"/>
      <x:c r="B27" s="31"/>
      <x:c r="C27" s="31"/>
      <x:c r="D27" s="31"/>
      <x:c r="E27" s="31"/>
      <x:c r="F27" s="31"/>
    </x:row>
    <x:row r="28">
      <x:c r="A28" s="17"/>
      <x:c r="B28" s="17"/>
      <x:c r="C28" s="17"/>
      <x:c r="D28" s="17"/>
      <x:c r="E28" s="17"/>
      <x:c r="F28" s="17"/>
    </x:row>
    <x:row r="29">
      <x:c r="A29" s="17"/>
      <x:c r="B29" s="17"/>
      <x:c r="C29" s="17"/>
      <x:c r="D29" s="17"/>
      <x:c r="E29" s="17"/>
      <x:c r="F29" s="17"/>
    </x:row>
    <x:row r="30">
      <x:c r="A30" s="17"/>
      <x:c r="B30" s="17"/>
      <x:c r="C30" s="17"/>
      <x:c r="D30" s="17"/>
      <x:c r="E30" s="17"/>
      <x:c r="F30" s="17"/>
    </x:row>
    <x:row r="31">
      <x:c r="A31" s="17"/>
      <x:c r="B31" s="17"/>
      <x:c r="C31" s="17"/>
      <x:c r="D31" s="17"/>
      <x:c r="E31" s="17"/>
      <x:c r="F31" s="17"/>
    </x:row>
    <x:row r="32">
      <x:c r="A32" s="17"/>
      <x:c r="B32" s="17"/>
      <x:c r="C32" s="17"/>
      <x:c r="D32" s="17"/>
      <x:c r="E32" s="17"/>
      <x:c r="F32" s="17"/>
    </x:row>
    <x:row r="33">
      <x:c r="A33" s="17"/>
      <x:c r="B33" s="17"/>
      <x:c r="C33" s="17"/>
      <x:c r="D33" s="17"/>
      <x:c r="E33" s="17"/>
      <x:c r="F33" s="17"/>
    </x:row>
    <x:row r="34">
      <x:c r="A34" s="17"/>
      <x:c r="B34" s="17"/>
      <x:c r="C34" s="17"/>
      <x:c r="D34" s="17"/>
      <x:c r="E34" s="17"/>
      <x:c r="F34" s="17"/>
    </x:row>
    <x:row r="35">
      <x:c r="A35" s="17"/>
      <x:c r="B35" s="17"/>
      <x:c r="C35" s="17"/>
      <x:c r="D35" s="17"/>
      <x:c r="E35" s="17"/>
      <x:c r="F35" s="17"/>
    </x:row>
    <x:row r="36">
      <x:c r="A36" s="17"/>
      <x:c r="B36" s="17"/>
      <x:c r="C36" s="17"/>
      <x:c r="D36" s="17"/>
      <x:c r="E36" s="17"/>
      <x:c r="F36" s="17"/>
    </x:row>
    <x:row r="37">
      <x:c r="A37" s="17"/>
      <x:c r="B37" s="17"/>
      <x:c r="C37" s="17"/>
      <x:c r="D37" s="17"/>
      <x:c r="E37" s="17"/>
      <x:c r="F37" s="17"/>
    </x:row>
    <x:row r="38">
      <x:c r="A38" s="17"/>
      <x:c r="B38" s="17"/>
      <x:c r="C38" s="17"/>
      <x:c r="D38" s="17"/>
      <x:c r="E38" s="17"/>
      <x:c r="F38" s="17"/>
    </x:row>
    <x:row r="39">
      <x:c r="A39" s="17"/>
      <x:c r="B39" s="17"/>
      <x:c r="C39" s="17"/>
      <x:c r="D39" s="17"/>
      <x:c r="E39" s="17"/>
      <x:c r="F39" s="17"/>
    </x:row>
    <x:row r="40">
      <x:c r="A40" s="17"/>
      <x:c r="B40" s="17"/>
      <x:c r="C40" s="17"/>
      <x:c r="D40" s="17"/>
      <x:c r="E40" s="17"/>
      <x:c r="F40" s="17"/>
    </x:row>
    <x:row r="41">
      <x:c r="A41" s="17"/>
      <x:c r="B41" s="17"/>
      <x:c r="C41" s="17"/>
      <x:c r="D41" s="17"/>
      <x:c r="E41" s="17"/>
      <x:c r="F41" s="17"/>
    </x:row>
    <x:row r="42">
      <x:c r="A42" s="17"/>
      <x:c r="B42" s="17"/>
      <x:c r="C42" s="17"/>
      <x:c r="D42" s="17"/>
      <x:c r="E42" s="17"/>
      <x:c r="F42" s="17"/>
    </x:row>
    <x:row r="43">
      <x:c r="A43" s="17"/>
      <x:c r="B43" s="17"/>
      <x:c r="C43" s="17"/>
      <x:c r="D43" s="17"/>
      <x:c r="E43" s="17"/>
      <x:c r="F43" s="17"/>
    </x:row>
  </x:sheetData>
  <x:mergeCells>
    <x:mergeCell ref="A2:F2"/>
    <x:mergeCell ref="A3:F3"/>
    <x:mergeCell ref="A5:F6"/>
    <x:mergeCell ref="A8:C8"/>
    <x:mergeCell ref="D8:F8"/>
    <x:mergeCell ref="A14:F14"/>
    <x:mergeCell ref="B15:F15"/>
    <x:mergeCell ref="B16:F16"/>
    <x:mergeCell ref="B17:F17"/>
    <x:mergeCell ref="B18:F18"/>
    <x:mergeCell ref="B19:F19"/>
    <x:mergeCell ref="B20:F20"/>
    <x:mergeCell ref="B21:F21"/>
    <x:mergeCell ref="B22:F22"/>
    <x:mergeCell ref="B23:F23"/>
    <x:mergeCell ref="A26:F27"/>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1" hidden="0" customWidth="1"/>
    <x:col min="2" max="2" width="47" hidden="0" customWidth="1"/>
    <x:col min="3" max="3" width="34" hidden="0" customWidth="1"/>
    <x:col min="4" max="4" width="51" hidden="0" customWidth="1"/>
    <x:col min="5" max="5" width="41" hidden="0" customWidth="1"/>
    <x:col min="6" max="6" width="25" hidden="0" customWidth="1"/>
    <x:col min="7" max="7" width="16" hidden="0" customWidth="1"/>
    <x:col min="8" max="8" width="20" hidden="0" customWidth="1"/>
    <x:col min="9" max="9" width="20" hidden="0" customWidth="1"/>
    <x:col min="10" max="10" width="27" hidden="0" customWidth="1"/>
    <x:col min="11" max="11" width="23" hidden="0" customWidth="1"/>
    <x:col min="12" max="12" width="29" hidden="0" customWidth="1"/>
    <x:col min="13" max="13" width="45" hidden="0" customWidth="1"/>
    <x:col min="14" max="14" width="23" hidden="0" customWidth="1"/>
    <x:col min="15" max="15" width="16" hidden="0" customWidth="1"/>
    <x:col min="16" max="16" width="18" hidden="0" customWidth="1"/>
    <x:col min="17" max="17" width="100" hidden="0" customWidth="1"/>
  </x:cols>
  <x:sheetData>
    <x:row r="2" ht="29" customHeight="1">
      <x:c r="A2" s="2" t="str">
        <x:v>海能自身年度采购披露</x:v>
      </x:c>
      <x:c r="B2" s="2"/>
      <x:c r="C2" s="2"/>
      <x:c r="D2" s="2"/>
      <x:c r="E2" s="2"/>
      <x:c r="F2" s="2"/>
      <x:c r="G2" s="2"/>
      <x:c r="H2" s="2"/>
      <x:c r="I2" s="2"/>
      <x:c r="J2" s="2"/>
      <x:c r="K2" s="2"/>
      <x:c r="L2" s="2"/>
      <x:c r="M2" s="2"/>
      <x:c r="N2" s="2"/>
      <x:c r="O2" s="2"/>
      <x:c r="P2" s="2"/>
      <x:c r="Q2" s="2"/>
    </x:row>
    <x:row r="3" ht="24" customHeight="1">
      <x:c r="A3" s="3" t="str">
        <x:v>5家主要供应商及1条关联服务采购；均非逐笔招标公告，统计期为2025年全年。</x:v>
      </x:c>
      <x:c r="B3" s="3"/>
      <x:c r="C3" s="3"/>
      <x:c r="D3" s="3"/>
      <x:c r="E3" s="3"/>
      <x:c r="F3" s="3"/>
      <x:c r="G3" s="3"/>
      <x:c r="H3" s="3"/>
      <x:c r="I3" s="3"/>
      <x:c r="J3" s="3"/>
      <x:c r="K3" s="3"/>
      <x:c r="L3" s="3"/>
      <x:c r="M3" s="3"/>
      <x:c r="N3" s="3"/>
      <x:c r="O3" s="3"/>
      <x:c r="P3" s="3"/>
      <x:c r="Q3" s="3"/>
    </x:row>
    <x:row r="5" ht="42" customHeight="1">
      <x:c r="A5" s="9" t="str">
        <x:v>ID</x:v>
      </x:c>
      <x:c r="B5" s="9" t="str">
        <x:v>采购主体</x:v>
      </x:c>
      <x:c r="C5" s="9" t="str">
        <x:v>统计期</x:v>
      </x:c>
      <x:c r="D5" s="9" t="str">
        <x:v>供应商</x:v>
      </x:c>
      <x:c r="E5" s="9" t="str">
        <x:v>采购品类</x:v>
      </x:c>
      <x:c r="F5" s="9" t="str">
        <x:v>型号规格</x:v>
      </x:c>
      <x:c r="G5" s="9" t="str">
        <x:v>数量</x:v>
      </x:c>
      <x:c r="H5" s="9" t="str">
        <x:v>单位</x:v>
      </x:c>
      <x:c r="I5" s="9" t="str">
        <x:v>单价（元）</x:v>
      </x:c>
      <x:c r="J5" s="9" t="str">
        <x:v>年度采购额（元）</x:v>
      </x:c>
      <x:c r="K5" s="9" t="str">
        <x:v>年度采购占比（%）</x:v>
      </x:c>
      <x:c r="L5" s="9" t="str">
        <x:v>实际采购频次</x:v>
      </x:c>
      <x:c r="M5" s="9" t="str">
        <x:v>资料性质</x:v>
      </x:c>
      <x:c r="N5" s="9" t="str">
        <x:v>关联关系</x:v>
      </x:c>
      <x:c r="O5" s="9" t="str">
        <x:v>证据</x:v>
      </x:c>
      <x:c r="P5" s="9" t="str">
        <x:v>披露日</x:v>
      </x:c>
      <x:c r="Q5" s="9" t="str">
        <x:v>限定说明</x:v>
      </x:c>
    </x:row>
    <x:row r="6" ht="44" customHeight="1">
      <x:c r="A6" s="6" t="str">
        <x:v>A01</x:v>
      </x:c>
      <x:c r="B6" s="6" t="str">
        <x:v>海能未来技术集团股份有限公司（年报公司采购统计）</x:v>
      </x:c>
      <x:c r="C6" s="6" t="str">
        <x:v>2025-01-01至2025-12-31</x:v>
      </x:c>
      <x:c r="D6" s="6" t="str">
        <x:v>CTC Analytics AG</x:v>
      </x:c>
      <x:c r="E6" s="6" t="str">
        <x:v>具体采购标的未披露</x:v>
      </x:c>
      <x:c r="F6" s="6" t="str">
        <x:v>未披露</x:v>
      </x:c>
      <x:c r="G6" s="6"/>
      <x:c r="H6" s="6" t="str">
        <x:v>未披露</x:v>
      </x:c>
      <x:c r="I6" s="6"/>
      <x:c r="J6" s="10" t="n">
        <x:v>4289389.84</x:v>
      </x:c>
      <x:c r="K6" s="10" t="n">
        <x:v>4.83</x:v>
      </x:c>
      <x:c r="L6" s="6" t="str">
        <x:v>无法统计</x:v>
      </x:c>
      <x:c r="M6" s="6" t="str">
        <x:v>年度供应商采购汇总，非逐笔招采</x:v>
      </x:c>
      <x:c r="N6" s="6" t="str">
        <x:v>无关联关系（原报告）</x:v>
      </x:c>
      <x:c r="O6" s="6" t="str">
        <x:v>E01</x:v>
      </x:c>
      <x:c r="P6" s="12" t="d">
        <x:v>2026-03-16T00:00:00.000Z</x:v>
      </x:c>
      <x:c r="Q6" s="6" t="str">
        <x:v>没有公告项目编号、单价、型号、数量或采购次数；供应商名称不能用来推断所购物料或所在地。</x:v>
      </x:c>
    </x:row>
    <x:row r="7" ht="44" customHeight="1">
      <x:c r="A7" s="6" t="str">
        <x:v>A02</x:v>
      </x:c>
      <x:c r="B7" s="6" t="str">
        <x:v>海能未来技术集团股份有限公司（年报公司采购统计）</x:v>
      </x:c>
      <x:c r="C7" s="6" t="str">
        <x:v>2025-01-01至2025-12-31</x:v>
      </x:c>
      <x:c r="D7" s="6" t="str">
        <x:v>江苏沃凯氟精密智造有限公司</x:v>
      </x:c>
      <x:c r="E7" s="6" t="str">
        <x:v>具体采购标的未披露</x:v>
      </x:c>
      <x:c r="F7" s="6" t="str">
        <x:v>未披露</x:v>
      </x:c>
      <x:c r="G7" s="6"/>
      <x:c r="H7" s="6" t="str">
        <x:v>未披露</x:v>
      </x:c>
      <x:c r="I7" s="6"/>
      <x:c r="J7" s="10" t="n">
        <x:v>3997682.2</x:v>
      </x:c>
      <x:c r="K7" s="10" t="n">
        <x:v>4.5</x:v>
      </x:c>
      <x:c r="L7" s="6" t="str">
        <x:v>无法统计</x:v>
      </x:c>
      <x:c r="M7" s="6" t="str">
        <x:v>年度供应商采购汇总，非逐笔招采</x:v>
      </x:c>
      <x:c r="N7" s="6" t="str">
        <x:v>无关联关系（原报告）</x:v>
      </x:c>
      <x:c r="O7" s="6" t="str">
        <x:v>E01</x:v>
      </x:c>
      <x:c r="P7" s="12" t="d">
        <x:v>2026-03-16T00:00:00.000Z</x:v>
      </x:c>
      <x:c r="Q7" s="6" t="str">
        <x:v>没有公告项目编号、单价、型号、数量或采购次数；供应商名称不能用来推断所购物料或所在地。</x:v>
      </x:c>
    </x:row>
    <x:row r="8" ht="44" customHeight="1">
      <x:c r="A8" s="6" t="str">
        <x:v>A03</x:v>
      </x:c>
      <x:c r="B8" s="6" t="str">
        <x:v>海能未来技术集团股份有限公司（年报公司采购统计）</x:v>
      </x:c>
      <x:c r="C8" s="6" t="str">
        <x:v>2025-01-01至2025-12-31</x:v>
      </x:c>
      <x:c r="D8" s="6" t="str">
        <x:v>河北磐仪分析仪器有限责任公司</x:v>
      </x:c>
      <x:c r="E8" s="6" t="str">
        <x:v>具体采购标的未披露</x:v>
      </x:c>
      <x:c r="F8" s="6" t="str">
        <x:v>未披露</x:v>
      </x:c>
      <x:c r="G8" s="6"/>
      <x:c r="H8" s="6" t="str">
        <x:v>未披露</x:v>
      </x:c>
      <x:c r="I8" s="6"/>
      <x:c r="J8" s="11" t="n">
        <x:v>2898032</x:v>
      </x:c>
      <x:c r="K8" s="10" t="n">
        <x:v>3.26</x:v>
      </x:c>
      <x:c r="L8" s="6" t="str">
        <x:v>无法统计</x:v>
      </x:c>
      <x:c r="M8" s="6" t="str">
        <x:v>年度供应商采购汇总，非逐笔招采</x:v>
      </x:c>
      <x:c r="N8" s="6" t="str">
        <x:v>无关联关系（原报告）</x:v>
      </x:c>
      <x:c r="O8" s="6" t="str">
        <x:v>E01</x:v>
      </x:c>
      <x:c r="P8" s="12" t="d">
        <x:v>2026-03-16T00:00:00.000Z</x:v>
      </x:c>
      <x:c r="Q8" s="6" t="str">
        <x:v>没有公告项目编号、单价、型号、数量或采购次数；供应商名称不能用来推断所购物料或所在地。</x:v>
      </x:c>
    </x:row>
    <x:row r="9" ht="44" customHeight="1">
      <x:c r="A9" s="6" t="str">
        <x:v>A04</x:v>
      </x:c>
      <x:c r="B9" s="6" t="str">
        <x:v>海能未来技术集团股份有限公司（年报公司采购统计）</x:v>
      </x:c>
      <x:c r="C9" s="6" t="str">
        <x:v>2025-01-01至2025-12-31</x:v>
      </x:c>
      <x:c r="D9" s="6" t="str">
        <x:v>石家庄莱博瑞分析仪器有限公司</x:v>
      </x:c>
      <x:c r="E9" s="6" t="str">
        <x:v>具体采购标的未披露</x:v>
      </x:c>
      <x:c r="F9" s="6" t="str">
        <x:v>未披露</x:v>
      </x:c>
      <x:c r="G9" s="6"/>
      <x:c r="H9" s="6" t="str">
        <x:v>未披露</x:v>
      </x:c>
      <x:c r="I9" s="6"/>
      <x:c r="J9" s="10" t="n">
        <x:v>2205982.31</x:v>
      </x:c>
      <x:c r="K9" s="10" t="n">
        <x:v>2.48</x:v>
      </x:c>
      <x:c r="L9" s="6" t="str">
        <x:v>无法统计</x:v>
      </x:c>
      <x:c r="M9" s="6" t="str">
        <x:v>年度供应商采购汇总，非逐笔招采</x:v>
      </x:c>
      <x:c r="N9" s="6" t="str">
        <x:v>无关联关系（原报告）</x:v>
      </x:c>
      <x:c r="O9" s="6" t="str">
        <x:v>E01</x:v>
      </x:c>
      <x:c r="P9" s="12" t="d">
        <x:v>2026-03-16T00:00:00.000Z</x:v>
      </x:c>
      <x:c r="Q9" s="6" t="str">
        <x:v>没有公告项目编号、单价、型号、数量或采购次数；供应商名称不能用来推断所购物料或所在地。</x:v>
      </x:c>
    </x:row>
    <x:row r="10" ht="44" customHeight="1">
      <x:c r="A10" s="6" t="str">
        <x:v>A05</x:v>
      </x:c>
      <x:c r="B10" s="6" t="str">
        <x:v>海能未来技术集团股份有限公司（年报公司采购统计）</x:v>
      </x:c>
      <x:c r="C10" s="6" t="str">
        <x:v>2025-01-01至2025-12-31</x:v>
      </x:c>
      <x:c r="D10" s="6" t="str">
        <x:v>上海侃达机电设备有限公司</x:v>
      </x:c>
      <x:c r="E10" s="6" t="str">
        <x:v>具体采购标的未披露</x:v>
      </x:c>
      <x:c r="F10" s="6" t="str">
        <x:v>未披露</x:v>
      </x:c>
      <x:c r="G10" s="6"/>
      <x:c r="H10" s="6" t="str">
        <x:v>未披露</x:v>
      </x:c>
      <x:c r="I10" s="6"/>
      <x:c r="J10" s="10" t="n">
        <x:v>1929727.27</x:v>
      </x:c>
      <x:c r="K10" s="10" t="n">
        <x:v>2.17</x:v>
      </x:c>
      <x:c r="L10" s="6" t="str">
        <x:v>无法统计</x:v>
      </x:c>
      <x:c r="M10" s="6" t="str">
        <x:v>年度供应商采购汇总，非逐笔招采</x:v>
      </x:c>
      <x:c r="N10" s="6" t="str">
        <x:v>无关联关系（原报告）</x:v>
      </x:c>
      <x:c r="O10" s="6" t="str">
        <x:v>E01</x:v>
      </x:c>
      <x:c r="P10" s="12" t="d">
        <x:v>2026-03-16T00:00:00.000Z</x:v>
      </x:c>
      <x:c r="Q10" s="6" t="str">
        <x:v>没有公告项目编号、单价、型号、数量或采购次数；供应商名称不能用来推断所购物料或所在地。</x:v>
      </x:c>
    </x:row>
    <x:row r="11" ht="44" customHeight="1">
      <x:c r="A11" s="6" t="str">
        <x:v>A06</x:v>
      </x:c>
      <x:c r="B11" s="6" t="str">
        <x:v>海能未来技术集团股份有限公司（合并关联交易）</x:v>
      </x:c>
      <x:c r="C11" s="6" t="str">
        <x:v>2025-01-01至2025-12-31</x:v>
      </x:c>
      <x:c r="D11" s="6" t="str">
        <x:v>仪学科技（广州）有限公司</x:v>
      </x:c>
      <x:c r="E11" s="6" t="str">
        <x:v>市场推广服务</x:v>
      </x:c>
      <x:c r="F11" s="6" t="str">
        <x:v>不适用（服务）</x:v>
      </x:c>
      <x:c r="G11" s="6"/>
      <x:c r="H11" s="6" t="str">
        <x:v>未披露</x:v>
      </x:c>
      <x:c r="I11" s="6"/>
      <x:c r="J11" s="10" t="n">
        <x:v>43813.2</x:v>
      </x:c>
      <x:c r="K11" s="6"/>
      <x:c r="L11" s="6" t="str">
        <x:v>无法统计</x:v>
      </x:c>
      <x:c r="M11" s="6" t="str">
        <x:v>年度接受劳务披露，非逐笔招采</x:v>
      </x:c>
      <x:c r="N11" s="6" t="str">
        <x:v>关联方</x:v>
      </x:c>
      <x:c r="O11" s="6" t="str">
        <x:v>E10</x:v>
      </x:c>
      <x:c r="P11" s="12" t="d">
        <x:v>2026-03-16T00:00:00.000Z</x:v>
      </x:c>
      <x:c r="Q11" s="6" t="str">
        <x:v>服务项目不适用产品型号；金额为本年发生额，非上年采购仪器材料金额。与前五供应商不是同一统计表，不据此计算企业采购总额。</x:v>
      </x:c>
    </x:row>
  </x:sheetData>
  <x:pageMargins left="0.7" right="0.7" top="0.75" bottom="0.75" header="0.3" footer="0.3"/>
  <x:tableParts count="1">
    <x:tablePart xmlns:r="http://schemas.openxmlformats.org/officeDocument/2006/relationships" r:id="Rd88f593ef2934717"/>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43" hidden="0" customWidth="1"/>
    <x:col min="3" max="3" width="35" hidden="0" customWidth="1"/>
    <x:col min="4" max="4" width="18" hidden="0" customWidth="1"/>
    <x:col min="5" max="5" width="35" hidden="0" customWidth="1"/>
    <x:col min="6" max="6" width="32" hidden="0" customWidth="1"/>
    <x:col min="7" max="7" width="20" hidden="0" customWidth="1"/>
    <x:col min="8" max="8" width="20" hidden="0" customWidth="1"/>
    <x:col min="9" max="9" width="20" hidden="0" customWidth="1"/>
    <x:col min="10" max="10" width="22" hidden="0" customWidth="1"/>
    <x:col min="11" max="11" width="24" hidden="0" customWidth="1"/>
    <x:col min="12" max="12" width="28" hidden="0" customWidth="1"/>
    <x:col min="13" max="13" width="44" hidden="0" customWidth="1"/>
    <x:col min="14" max="14" width="80" hidden="0" customWidth="1"/>
  </x:cols>
  <x:sheetData>
    <x:row r="2" ht="29" customHeight="1">
      <x:c r="A2" s="2" t="str">
        <x:v>企业作为采购方的直接招采公告</x:v>
      </x:c>
      <x:c r="B2" s="2"/>
      <x:c r="C2" s="2"/>
      <x:c r="D2" s="2"/>
      <x:c r="E2" s="2"/>
      <x:c r="F2" s="2"/>
      <x:c r="G2" s="2"/>
      <x:c r="H2" s="2"/>
      <x:c r="I2" s="2"/>
      <x:c r="J2" s="2"/>
      <x:c r="K2" s="2"/>
      <x:c r="L2" s="2"/>
      <x:c r="M2" s="2"/>
      <x:c r="N2" s="2"/>
    </x:row>
    <x:row r="3" ht="24" customHeight="1">
      <x:c r="A3" s="3" t="str">
        <x:v>公告窗口2025-10-08至2026-10-08；本轮未核验到合格公告，实际购买次数和金额未知。</x:v>
      </x:c>
      <x:c r="B3" s="3"/>
      <x:c r="C3" s="3"/>
      <x:c r="D3" s="3"/>
      <x:c r="E3" s="3"/>
      <x:c r="F3" s="3"/>
      <x:c r="G3" s="3"/>
      <x:c r="H3" s="3"/>
      <x:c r="I3" s="3"/>
      <x:c r="J3" s="3"/>
      <x:c r="K3" s="3"/>
      <x:c r="L3" s="3"/>
      <x:c r="M3" s="3"/>
      <x:c r="N3" s="3"/>
    </x:row>
    <x:row r="5" ht="42" customHeight="1">
      <x:c r="A5" s="9" t="str">
        <x:v>记录ID</x:v>
      </x:c>
      <x:c r="B5" s="9" t="str">
        <x:v>采购人</x:v>
      </x:c>
      <x:c r="C5" s="9" t="str">
        <x:v>项目编号</x:v>
      </x:c>
      <x:c r="D5" s="9" t="str">
        <x:v>发布日期</x:v>
      </x:c>
      <x:c r="E5" s="9" t="str">
        <x:v>采购产品</x:v>
      </x:c>
      <x:c r="F5" s="9" t="str">
        <x:v>型号规格</x:v>
      </x:c>
      <x:c r="G5" s="9" t="str">
        <x:v>招标数量</x:v>
      </x:c>
      <x:c r="H5" s="9" t="str">
        <x:v>数量单位</x:v>
      </x:c>
      <x:c r="I5" s="9" t="str">
        <x:v>成交数量</x:v>
      </x:c>
      <x:c r="J5" s="9" t="str">
        <x:v>成交单价</x:v>
      </x:c>
      <x:c r="K5" s="9" t="str">
        <x:v>成交金额</x:v>
      </x:c>
      <x:c r="L5" s="9" t="str">
        <x:v>采购阶段</x:v>
      </x:c>
      <x:c r="M5" s="9" t="str">
        <x:v>供应商</x:v>
      </x:c>
      <x:c r="N5" s="9" t="str">
        <x:v>原始公告URL</x:v>
      </x:c>
    </x:row>
    <x:row r="7" ht="30" customHeight="1">
      <x:c r="A7" s="15" t="str">
        <x:v>没有合格直接采购公告可列；0条仅指已核验公开记录数。近期具体型号、数量、单价和频次仍需订单/合同或采购系统数据。</x:v>
      </x:c>
      <x:c r="B7" s="15"/>
      <x:c r="C7" s="15"/>
      <x:c r="D7" s="15"/>
      <x:c r="E7" s="15"/>
      <x:c r="F7" s="15"/>
      <x:c r="G7" s="15"/>
      <x:c r="H7" s="15"/>
    </x:row>
    <x:row r="8" ht="30" customHeight="1">
      <x:c r="A8" s="15"/>
      <x:c r="B8" s="15"/>
      <x:c r="C8" s="15"/>
      <x:c r="D8" s="15"/>
      <x:c r="E8" s="15"/>
      <x:c r="F8" s="15"/>
      <x:c r="G8" s="15"/>
      <x:c r="H8" s="15"/>
    </x:row>
  </x:sheetData>
  <x:mergeCells>
    <x:mergeCell ref="A7:H8"/>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56" hidden="0" customWidth="1"/>
    <x:col min="3" max="3" width="48" hidden="0" customWidth="1"/>
    <x:col min="4" max="4" width="23" hidden="0" customWidth="1"/>
    <x:col min="5" max="5" width="16" hidden="0" customWidth="1"/>
    <x:col min="6" max="6" width="24" hidden="0" customWidth="1"/>
    <x:col min="7" max="7" width="46" hidden="0" customWidth="1"/>
    <x:col min="8" max="8" width="85" hidden="0" customWidth="1"/>
    <x:col min="9" max="9" width="16" hidden="0" customWidth="1"/>
    <x:col min="10" max="10" width="105" hidden="0" customWidth="1"/>
  </x:cols>
  <x:sheetData>
    <x:row r="2" ht="29" customHeight="1">
      <x:c r="A2" s="2" t="str">
        <x:v>公开披露的采购物料品类</x:v>
      </x:c>
      <x:c r="B2" s="2"/>
      <x:c r="C2" s="2"/>
      <x:c r="D2" s="2"/>
      <x:c r="E2" s="2"/>
      <x:c r="F2" s="2"/>
      <x:c r="G2" s="2"/>
      <x:c r="H2" s="2"/>
      <x:c r="I2" s="2"/>
      <x:c r="J2" s="2"/>
    </x:row>
    <x:row r="3" ht="24" customHeight="1">
      <x:c r="A3" s="3" t="str">
        <x:v>披露采购模式能证明品类；不能还原最近一年实际型号、数量及订单次数。</x:v>
      </x:c>
      <x:c r="B3" s="3"/>
      <x:c r="C3" s="3"/>
      <x:c r="D3" s="3"/>
      <x:c r="E3" s="3"/>
      <x:c r="F3" s="3"/>
      <x:c r="G3" s="3"/>
      <x:c r="H3" s="3"/>
      <x:c r="I3" s="3"/>
      <x:c r="J3" s="3"/>
    </x:row>
    <x:row r="5" ht="42" customHeight="1">
      <x:c r="A5" s="9" t="str">
        <x:v>品类ID</x:v>
      </x:c>
      <x:c r="B5" s="9" t="str">
        <x:v>产品或物料</x:v>
      </x:c>
      <x:c r="C5" s="9" t="str">
        <x:v>证据性质</x:v>
      </x:c>
      <x:c r="D5" s="9" t="str">
        <x:v>具体型号</x:v>
      </x:c>
      <x:c r="E5" s="9" t="str">
        <x:v>数量</x:v>
      </x:c>
      <x:c r="F5" s="9" t="str">
        <x:v>价格区间</x:v>
      </x:c>
      <x:c r="G5" s="9" t="str">
        <x:v>对应供应商</x:v>
      </x:c>
      <x:c r="H5" s="9" t="str">
        <x:v>频次与补货方式</x:v>
      </x:c>
      <x:c r="I5" s="9" t="str">
        <x:v>证据</x:v>
      </x:c>
      <x:c r="J5" s="9" t="str">
        <x:v>限定说明</x:v>
      </x:c>
    </x:row>
    <x:row r="6" ht="42" customHeight="1">
      <x:c r="A6" s="6" t="str">
        <x:v>M01</x:v>
      </x:c>
      <x:c r="B6" s="6" t="str">
        <x:v>结构件</x:v>
      </x:c>
      <x:c r="C6" s="6" t="str">
        <x:v>持续采购品类（经营模式披露）</x:v>
      </x:c>
      <x:c r="D6" s="6" t="str">
        <x:v>未披露</x:v>
      </x:c>
      <x:c r="E6" s="6"/>
      <x:c r="F6" s="6"/>
      <x:c r="G6" s="6" t="str">
        <x:v>未对应到具体品类</x:v>
      </x:c>
      <x:c r="H6" s="6" t="str">
        <x:v>按生产计划、BOM及库存计算订购数量和时间；无实际月序列</x:v>
      </x:c>
      <x:c r="I6" s="6" t="str">
        <x:v>E04</x:v>
      </x:c>
      <x:c r="J6" s="6" t="str">
        <x:v>证实采购品类；不能确认近一年某型号实际买入次数或数量。</x:v>
      </x:c>
    </x:row>
    <x:row r="7" ht="42" customHeight="1">
      <x:c r="A7" s="6" t="str">
        <x:v>M02</x:v>
      </x:c>
      <x:c r="B7" s="6" t="str">
        <x:v>电子元器件</x:v>
      </x:c>
      <x:c r="C7" s="6" t="str">
        <x:v>持续采购品类（经营模式披露）</x:v>
      </x:c>
      <x:c r="D7" s="6" t="str">
        <x:v>未披露</x:v>
      </x:c>
      <x:c r="E7" s="6"/>
      <x:c r="F7" s="6"/>
      <x:c r="G7" s="6" t="str">
        <x:v>未对应到具体品类</x:v>
      </x:c>
      <x:c r="H7" s="6" t="str">
        <x:v>按生产计划、BOM及库存计算订购数量和时间；无实际月序列</x:v>
      </x:c>
      <x:c r="I7" s="6" t="str">
        <x:v>E04</x:v>
      </x:c>
      <x:c r="J7" s="6" t="str">
        <x:v>证实采购品类；不能确认近一年某型号实际买入次数或数量。</x:v>
      </x:c>
    </x:row>
    <x:row r="8" ht="42" customHeight="1">
      <x:c r="A8" s="6" t="str">
        <x:v>M03</x:v>
      </x:c>
      <x:c r="B8" s="6" t="str">
        <x:v>功能部件</x:v>
      </x:c>
      <x:c r="C8" s="6" t="str">
        <x:v>持续采购品类（经营模式披露）</x:v>
      </x:c>
      <x:c r="D8" s="6" t="str">
        <x:v>未披露</x:v>
      </x:c>
      <x:c r="E8" s="6"/>
      <x:c r="F8" s="6"/>
      <x:c r="G8" s="6" t="str">
        <x:v>未对应到具体品类</x:v>
      </x:c>
      <x:c r="H8" s="6" t="str">
        <x:v>按生产计划、BOM及库存计算订购数量和时间；无实际月序列</x:v>
      </x:c>
      <x:c r="I8" s="6" t="str">
        <x:v>E04</x:v>
      </x:c>
      <x:c r="J8" s="6" t="str">
        <x:v>证实采购品类；不能确认近一年某型号实际买入次数或数量。</x:v>
      </x:c>
    </x:row>
    <x:row r="9" ht="42" customHeight="1">
      <x:c r="A9" s="6" t="str">
        <x:v>M04</x:v>
      </x:c>
      <x:c r="B9" s="6" t="str">
        <x:v>其他原材料</x:v>
      </x:c>
      <x:c r="C9" s="6" t="str">
        <x:v>持续采购品类（经营模式披露）</x:v>
      </x:c>
      <x:c r="D9" s="6" t="str">
        <x:v>未披露</x:v>
      </x:c>
      <x:c r="E9" s="6"/>
      <x:c r="F9" s="6"/>
      <x:c r="G9" s="6" t="str">
        <x:v>未对应到具体品类</x:v>
      </x:c>
      <x:c r="H9" s="6" t="str">
        <x:v>按生产计划、BOM及库存计算订购数量和时间；无实际月序列</x:v>
      </x:c>
      <x:c r="I9" s="6" t="str">
        <x:v>E04</x:v>
      </x:c>
      <x:c r="J9" s="6" t="str">
        <x:v>证实采购品类；不能确认近一年某型号实际买入次数或数量。</x:v>
      </x:c>
    </x:row>
    <x:row r="10" ht="42" customHeight="1">
      <x:c r="A10" s="6" t="str">
        <x:v>M05</x:v>
      </x:c>
      <x:c r="B10" s="6" t="str">
        <x:v>少量成品，含气相色谱-离子迁移谱联用仪等</x:v>
      </x:c>
      <x:c r="C10" s="6" t="str">
        <x:v>成品采购品类，可能含集团内部购入</x:v>
      </x:c>
      <x:c r="D10" s="6" t="str">
        <x:v>未披露</x:v>
      </x:c>
      <x:c r="E10" s="6"/>
      <x:c r="F10" s="6"/>
      <x:c r="G10" s="6" t="str">
        <x:v>原文称子公司生产；未给出具体订单</x:v>
      </x:c>
      <x:c r="H10" s="6" t="str">
        <x:v>未披露</x:v>
      </x:c>
      <x:c r="I10" s="6" t="str">
        <x:v>E04</x:v>
      </x:c>
      <x:c r="J10" s="6" t="str">
        <x:v>不能当集团向外部采购的同型号订单，不能与合并外部采购额叠加。</x:v>
      </x:c>
    </x:row>
  </x:sheetData>
  <x:pageMargins left="0.7" right="0.7" top="0.75" bottom="0.75" header="0.3" footer="0.3"/>
  <x:tableParts count="1">
    <x:tablePart xmlns:r="http://schemas.openxmlformats.org/officeDocument/2006/relationships" r:id="R462ca28cb4794227"/>
  </x:tableParts>
</x:worksheet>
</file>

<file path=xl/worksheets/sheet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59" hidden="0" customWidth="1"/>
    <x:col min="3" max="3" width="48" hidden="0" customWidth="1"/>
    <x:col min="4" max="4" width="27" hidden="0" customWidth="1"/>
    <x:col min="5" max="5" width="24" hidden="0" customWidth="1"/>
    <x:col min="6" max="6" width="37" hidden="0" customWidth="1"/>
    <x:col min="7" max="7" width="19" hidden="0" customWidth="1"/>
    <x:col min="8" max="8" width="115" hidden="0" customWidth="1"/>
  </x:cols>
  <x:sheetData>
    <x:row r="2" ht="29" customHeight="1">
      <x:c r="A2" s="2" t="str">
        <x:v>年度采购规模与现金口径</x:v>
      </x:c>
      <x:c r="B2" s="2"/>
      <x:c r="C2" s="2"/>
      <x:c r="D2" s="2"/>
      <x:c r="E2" s="2"/>
      <x:c r="F2" s="2"/>
      <x:c r="G2" s="2"/>
      <x:c r="H2" s="2"/>
    </x:row>
    <x:row r="3" ht="24" customHeight="1">
      <x:c r="A3" s="3" t="str">
        <x:v>各行按报告期间展示；采购发生额、付款现金、项目投入及预算不可相加。</x:v>
      </x:c>
      <x:c r="B3" s="3"/>
      <x:c r="C3" s="3"/>
      <x:c r="D3" s="3"/>
      <x:c r="E3" s="3"/>
      <x:c r="F3" s="3"/>
      <x:c r="G3" s="3"/>
      <x:c r="H3" s="3"/>
    </x:row>
    <x:row r="5" ht="42" customHeight="1">
      <x:c r="A5" s="9" t="str">
        <x:v>ID</x:v>
      </x:c>
      <x:c r="B5" s="9" t="str">
        <x:v>指标</x:v>
      </x:c>
      <x:c r="C5" s="9" t="str">
        <x:v>口径或报告期</x:v>
      </x:c>
      <x:c r="D5" s="9" t="str">
        <x:v>数值</x:v>
      </x:c>
      <x:c r="E5" s="9" t="str">
        <x:v>单位</x:v>
      </x:c>
      <x:c r="F5" s="9" t="str">
        <x:v>数据性质</x:v>
      </x:c>
      <x:c r="G5" s="9" t="str">
        <x:v>证据</x:v>
      </x:c>
      <x:c r="H5" s="9" t="str">
        <x:v>限定说明</x:v>
      </x:c>
    </x:row>
    <x:row r="6" ht="42" customHeight="1">
      <x:c r="A6" s="6" t="str">
        <x:v>B01</x:v>
      </x:c>
      <x:c r="B6" s="6" t="str">
        <x:v>前五供应商采购额</x:v>
      </x:c>
      <x:c r="C6" s="6" t="str">
        <x:v>2025年全年</x:v>
      </x:c>
      <x:c r="D6" s="10" t="n">
        <x:f>SUM('实际采购披露'!J6:J10)</x:f>
        <x:v>15320813.62</x:v>
      </x:c>
      <x:c r="E6" s="6" t="str">
        <x:v>人民币元</x:v>
      </x:c>
      <x:c r="F6" s="6" t="str">
        <x:v>已披露采购额</x:v>
      </x:c>
      <x:c r="G6" s="6" t="str">
        <x:v>E01</x:v>
      </x:c>
      <x:c r="H6" s="6" t="str">
        <x:v>前五合计；不是企业总采购额。</x:v>
      </x:c>
    </x:row>
    <x:row r="7" ht="42" customHeight="1">
      <x:c r="A7" s="6" t="str">
        <x:v>B02</x:v>
      </x:c>
      <x:c r="B7" s="6" t="str">
        <x:v>前五供应商采购占比</x:v>
      </x:c>
      <x:c r="C7" s="6" t="str">
        <x:v>2025年全年</x:v>
      </x:c>
      <x:c r="D7" s="10" t="n">
        <x:v>17.24</x:v>
      </x:c>
      <x:c r="E7" s="6" t="str">
        <x:v>%</x:v>
      </x:c>
      <x:c r="F7" s="6" t="str">
        <x:v>已披露比例</x:v>
      </x:c>
      <x:c r="G7" s="6" t="str">
        <x:v>E01</x:v>
      </x:c>
      <x:c r="H7" s="6" t="str">
        <x:v>保留两位小数；分母为报告年度采购总额。</x:v>
      </x:c>
    </x:row>
    <x:row r="8" ht="42" customHeight="1">
      <x:c r="A8" s="6" t="str">
        <x:v>B03</x:v>
      </x:c>
      <x:c r="B8" s="6" t="str">
        <x:v>购买商品、接受劳务支付的现金</x:v>
      </x:c>
      <x:c r="C8" s="6" t="str">
        <x:v>2025年全年（合并）</x:v>
      </x:c>
      <x:c r="D8" s="10" t="n">
        <x:v>110514548.5</x:v>
      </x:c>
      <x:c r="E8" s="6" t="str">
        <x:v>人民币元</x:v>
      </x:c>
      <x:c r="F8" s="6" t="str">
        <x:v>现金支付口径</x:v>
      </x:c>
      <x:c r="G8" s="6" t="str">
        <x:v>E02</x:v>
      </x:c>
      <x:c r="H8" s="6" t="str">
        <x:v>付款受税、往来及结算期间影响，不等于当年采购发生额。</x:v>
      </x:c>
    </x:row>
    <x:row r="9" ht="42" customHeight="1">
      <x:c r="A9" s="6" t="str">
        <x:v>B04</x:v>
      </x:c>
      <x:c r="B9" s="6" t="str">
        <x:v>购买商品、接受劳务支付的现金</x:v>
      </x:c>
      <x:c r="C9" s="6" t="str">
        <x:v>2026年1至6月（合并）</x:v>
      </x:c>
      <x:c r="D9" s="10" t="n">
        <x:v>55633585.06</x:v>
      </x:c>
      <x:c r="E9" s="6" t="str">
        <x:v>人民币元</x:v>
      </x:c>
      <x:c r="F9" s="6" t="str">
        <x:v>现金支付口径</x:v>
      </x:c>
      <x:c r="G9" s="6" t="str">
        <x:v>E03</x:v>
      </x:c>
      <x:c r="H9" s="6" t="str">
        <x:v>半年值，不年化为实际采购额。</x:v>
      </x:c>
    </x:row>
    <x:row r="10" ht="42" customHeight="1">
      <x:c r="A10" s="6" t="str">
        <x:v>B05</x:v>
      </x:c>
      <x:c r="B10" s="6" t="str">
        <x:v>购买商品、接受劳务支付的现金（同期比较）</x:v>
      </x:c>
      <x:c r="C10" s="6" t="str">
        <x:v>2025年1至6月（合并）</x:v>
      </x:c>
      <x:c r="D10" s="10" t="n">
        <x:v>48811874.54</x:v>
      </x:c>
      <x:c r="E10" s="6" t="str">
        <x:v>人民币元</x:v>
      </x:c>
      <x:c r="F10" s="6" t="str">
        <x:v>同比基数</x:v>
      </x:c>
      <x:c r="G10" s="6" t="str">
        <x:v>E03</x:v>
      </x:c>
      <x:c r="H10" s="6" t="str">
        <x:v>仅用于同口径同比；不在本次公告发生窗口内。</x:v>
      </x:c>
    </x:row>
    <x:row r="11" ht="42" customHeight="1">
      <x:c r="A11" s="6" t="str">
        <x:v>B06</x:v>
      </x:c>
      <x:c r="B11" s="6" t="str">
        <x:v>基地土地使用权、设计等前期已支付费用</x:v>
      </x:c>
      <x:c r="C11" s="6" t="str">
        <x:v>截至2026-06-26</x:v>
      </x:c>
      <x:c r="D11" s="10" t="n">
        <x:v>24653500</x:v>
      </x:c>
      <x:c r="E11" s="6" t="str">
        <x:v>人民币元</x:v>
      </x:c>
      <x:c r="F11" s="6" t="str">
        <x:v>项目累计前期费用</x:v>
      </x:c>
      <x:c r="G11" s="6" t="str">
        <x:v>E09</x:v>
      </x:c>
      <x:c r="H11" s="6" t="str">
        <x:v>原文2465.35万元；不是设备采购支出。与B07起算口径不同，不累计。</x:v>
      </x:c>
    </x:row>
    <x:row r="12" ht="42" customHeight="1">
      <x:c r="A12" s="6" t="str">
        <x:v>B07</x:v>
      </x:c>
      <x:c r="B12" s="6" t="str">
        <x:v>基地以自筹资金实际预投入金额</x:v>
      </x:c>
      <x:c r="C12" s="6" t="str">
        <x:v>2026-04-27至2026-07-29</x:v>
      </x:c>
      <x:c r="D12" s="10" t="n">
        <x:v>5732669.52</x:v>
      </x:c>
      <x:c r="E12" s="6" t="str">
        <x:v>人民币元</x:v>
      </x:c>
      <x:c r="F12" s="6" t="str">
        <x:v>项目特定起算区间投入</x:v>
      </x:c>
      <x:c r="G12" s="6" t="str">
        <x:v>E08</x:v>
      </x:c>
      <x:c r="H12" s="6" t="str">
        <x:v>募资置换范围；不是全部项目累计投入，也不是设备采购额。</x:v>
      </x:c>
    </x:row>
    <x:row r="13" ht="42" customHeight="1">
      <x:c r="A13" s="6" t="str">
        <x:v>B08</x:v>
      </x:c>
      <x:c r="B13" s="6" t="str">
        <x:v>年度总采购額估计</x:v>
      </x:c>
      <x:c r="C13" s="6" t="str">
        <x:v>2025年全年</x:v>
      </x:c>
      <x:c r="D13" s="10" t="n">
        <x:f>D6/(D7/100)</x:f>
        <x:v>88867828.42227378</x:v>
      </x:c>
      <x:c r="E13" s="6" t="str">
        <x:v>人民币元</x:v>
      </x:c>
      <x:c r="F13" s="6" t="str">
        <x:v>由公开比例反推</x:v>
      </x:c>
      <x:c r="G13" s="6" t="str">
        <x:v>E01</x:v>
      </x:c>
      <x:c r="H13" s="6" t="str">
        <x:v>前五合计/17.24%；占比四舍五入，不是直接披露总额。</x:v>
      </x:c>
    </x:row>
    <x:row r="14" ht="42" customHeight="1">
      <x:c r="A14" s="6" t="str">
        <x:v>B09</x:v>
      </x:c>
      <x:c r="B14" s="6" t="str">
        <x:v>年度采购额估计下限</x:v>
      </x:c>
      <x:c r="C14" s="6" t="str">
        <x:v>2025年全年</x:v>
      </x:c>
      <x:c r="D14" s="10" t="n">
        <x:f>D6/((D7+0.005)/100)</x:f>
        <x:v>88842062.16294579</x:v>
      </x:c>
      <x:c r="E14" s="6" t="str">
        <x:v>人民币元</x:v>
      </x:c>
      <x:c r="F14" s="6" t="str">
        <x:v>四舍五入区间</x:v>
      </x:c>
      <x:c r="G14" s="6" t="str">
        <x:v>E01</x:v>
      </x:c>
      <x:c r="H14" s="6" t="str">
        <x:v>分母17.245%；仅考虑披露比例四舍五入误差。</x:v>
      </x:c>
    </x:row>
    <x:row r="15" ht="42" customHeight="1">
      <x:c r="A15" s="6" t="str">
        <x:v>B10</x:v>
      </x:c>
      <x:c r="B15" s="6" t="str">
        <x:v>年度采购额估计上限</x:v>
      </x:c>
      <x:c r="C15" s="6" t="str">
        <x:v>2025年全年</x:v>
      </x:c>
      <x:c r="D15" s="10" t="n">
        <x:f>D6/((D7-0.005)/100)</x:f>
        <x:v>88893609.63156368</x:v>
      </x:c>
      <x:c r="E15" s="6" t="str">
        <x:v>人民币元</x:v>
      </x:c>
      <x:c r="F15" s="6" t="str">
        <x:v>四舍五入区间</x:v>
      </x:c>
      <x:c r="G15" s="6" t="str">
        <x:v>E01</x:v>
      </x:c>
      <x:c r="H15" s="6" t="str">
        <x:v>分母17.235%；不能视为滚动365天精确金额。</x:v>
      </x:c>
    </x:row>
    <x:row r="16" ht="42" customHeight="1">
      <x:c r="A16" s="6" t="str">
        <x:v>B11</x:v>
      </x:c>
      <x:c r="B16" s="6" t="str">
        <x:v>半年购买商品劳务现金同比</x:v>
      </x:c>
      <x:c r="C16" s="6" t="str">
        <x:v>2026半年对2025半年</x:v>
      </x:c>
      <x:c r="D16" s="16" t="n">
        <x:f>D9/D10-1</x:f>
        <x:v>0.1397551432778883</x:v>
      </x:c>
      <x:c r="E16" s="6" t="str">
        <x:v>比例</x:v>
      </x:c>
      <x:c r="F16" s="6" t="str">
        <x:v>同口径现金比较</x:v>
      </x:c>
      <x:c r="G16" s="6" t="str">
        <x:v>E03</x:v>
      </x:c>
      <x:c r="H16" s="6" t="str">
        <x:v>付款变化不等于采购数量或单价变化。</x:v>
      </x:c>
    </x:row>
  </x:sheetData>
  <x:pageMargins left="0.7" right="0.7" top="0.75" bottom="0.75" header="0.3" footer="0.3"/>
  <x:tableParts count="1">
    <x:tablePart xmlns:r="http://schemas.openxmlformats.org/officeDocument/2006/relationships" r:id="R44aa8e86861d4a10"/>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47" hidden="0" customWidth="1"/>
    <x:col min="3" max="3" width="57" hidden="0" customWidth="1"/>
    <x:col min="4" max="4" width="23" hidden="0" customWidth="1"/>
    <x:col min="5" max="5" width="16" hidden="0" customWidth="1"/>
    <x:col min="6" max="6" width="28" hidden="0" customWidth="1"/>
    <x:col min="7" max="7" width="22" hidden="0" customWidth="1"/>
    <x:col min="8" max="8" width="46" hidden="0" customWidth="1"/>
    <x:col min="9" max="9" width="56" hidden="0" customWidth="1"/>
    <x:col min="10" max="10" width="20" hidden="0" customWidth="1"/>
    <x:col min="11" max="11" width="120" hidden="0" customWidth="1"/>
  </x:cols>
  <x:sheetData>
    <x:row r="2" ht="29" customHeight="1">
      <x:c r="A2" s="2" t="str">
        <x:v>基地设备购置及数字化建设计划</x:v>
      </x:c>
      <x:c r="B2" s="2"/>
      <x:c r="C2" s="2"/>
      <x:c r="D2" s="2"/>
      <x:c r="E2" s="2"/>
      <x:c r="F2" s="2"/>
      <x:c r="G2" s="2"/>
      <x:c r="H2" s="2"/>
      <x:c r="I2" s="2"/>
      <x:c r="J2" s="2"/>
      <x:c r="K2" s="2"/>
    </x:row>
    <x:row r="3" ht="24" customHeight="1">
      <x:c r="A3" s="3" t="str">
        <x:v>概算设备购置总项1757.16万元；子项未分配预算，未披露具体型号、数量及成交。</x:v>
      </x:c>
      <x:c r="B3" s="3"/>
      <x:c r="C3" s="3"/>
      <x:c r="D3" s="3"/>
      <x:c r="E3" s="3"/>
      <x:c r="F3" s="3"/>
      <x:c r="G3" s="3"/>
      <x:c r="H3" s="3"/>
      <x:c r="I3" s="3"/>
      <x:c r="J3" s="3"/>
      <x:c r="K3" s="3"/>
    </x:row>
    <x:row r="5" ht="42" customHeight="1">
      <x:c r="A5" s="9" t="str">
        <x:v>ID</x:v>
      </x:c>
      <x:c r="B5" s="9" t="str">
        <x:v>实施主体</x:v>
      </x:c>
      <x:c r="C5" s="9" t="str">
        <x:v>拟购或建设方向</x:v>
      </x:c>
      <x:c r="D5" s="9" t="str">
        <x:v>型号规格</x:v>
      </x:c>
      <x:c r="E5" s="9" t="str">
        <x:v>数量</x:v>
      </x:c>
      <x:c r="F5" s="9" t="str">
        <x:v>投资概算（元）</x:v>
      </x:c>
      <x:c r="G5" s="9" t="str">
        <x:v>单位</x:v>
      </x:c>
      <x:c r="H5" s="9" t="str">
        <x:v>阶段</x:v>
      </x:c>
      <x:c r="I5" s="9" t="str">
        <x:v>计划时点</x:v>
      </x:c>
      <x:c r="J5" s="9" t="str">
        <x:v>证据</x:v>
      </x:c>
      <x:c r="K5" s="9" t="str">
        <x:v>限制</x:v>
      </x:c>
    </x:row>
    <x:row r="6" ht="42" customHeight="1">
      <x:c r="A6" s="6" t="str">
        <x:v>P01</x:v>
      </x:c>
      <x:c r="B6" s="6" t="str">
        <x:v>海能基石技术有限公司（全资子公司）</x:v>
      </x:c>
      <x:c r="C6" s="6" t="str">
        <x:v>基地设备购置（概算总项）</x:v>
      </x:c>
      <x:c r="D6" s="6" t="str">
        <x:v>未披露</x:v>
      </x:c>
      <x:c r="E6" s="6"/>
      <x:c r="F6" s="11" t="n">
        <x:v>17571600</x:v>
      </x:c>
      <x:c r="G6" s="6" t="str">
        <x:v>人民币元</x:v>
      </x:c>
      <x:c r="H6" s="6" t="str">
        <x:v>投资概算，成交状态未披露</x:v>
      </x:c>
      <x:c r="I6" s="6" t="str">
        <x:v>建设第二年Q1至Q4采购及安装调试</x:v>
      </x:c>
      <x:c r="J6" s="6" t="str">
        <x:v>E05、E06</x:v>
      </x:c>
      <x:c r="K6" s="6" t="str">
        <x:v>1757.16万元是总项概算；具体品牌型号、数量、分项报价与剩余预算未公开。</x:v>
      </x:c>
    </x:row>
    <x:row r="7" ht="42" customHeight="1">
      <x:c r="A7" s="6" t="str">
        <x:v>P02</x:v>
      </x:c>
      <x:c r="B7" s="6" t="str">
        <x:v>海能基石技术有限公司（全资子公司）</x:v>
      </x:c>
      <x:c r="C7" s="6" t="str">
        <x:v>数字化、智能化、绿色化设备及工艺</x:v>
      </x:c>
      <x:c r="D7" s="6" t="str">
        <x:v>未披露</x:v>
      </x:c>
      <x:c r="E7" s="6"/>
      <x:c r="F7" s="6"/>
      <x:c r="G7" s="6" t="str">
        <x:v>未披露</x:v>
      </x:c>
      <x:c r="H7" s="6" t="str">
        <x:v>项目建设方向</x:v>
      </x:c>
      <x:c r="I7" s="6" t="str">
        <x:v>与基地建设进度相关</x:v>
      </x:c>
      <x:c r="J7" s="6" t="str">
        <x:v>E05</x:v>
      </x:c>
      <x:c r="K7" s="6" t="str">
        <x:v>设备类型和型号未列示，不自行补成数控机床、SMT设备等具体品名。</x:v>
      </x:c>
    </x:row>
    <x:row r="8" ht="42" customHeight="1">
      <x:c r="A8" s="6" t="str">
        <x:v>P03</x:v>
      </x:c>
      <x:c r="B8" s="6" t="str">
        <x:v>海能基石技术有限公司（全资子公司）</x:v>
      </x:c>
      <x:c r="C8" s="6" t="str">
        <x:v>工业互联网平台</x:v>
      </x:c>
      <x:c r="D8" s="6" t="str">
        <x:v>未披露</x:v>
      </x:c>
      <x:c r="E8" s="6"/>
      <x:c r="F8" s="6"/>
      <x:c r="G8" s="6" t="str">
        <x:v>未披露</x:v>
      </x:c>
      <x:c r="H8" s="6" t="str">
        <x:v>拟搭建</x:v>
      </x:c>
      <x:c r="I8" s="6" t="str">
        <x:v>未给出单独采购日期</x:v>
      </x:c>
      <x:c r="J8" s="6" t="str">
        <x:v>E05</x:v>
      </x:c>
      <x:c r="K8" s="6" t="str">
        <x:v>可能涉及自研或集成，未确认对外采购。</x:v>
      </x:c>
    </x:row>
    <x:row r="9" ht="42" customHeight="1">
      <x:c r="A9" s="6" t="str">
        <x:v>P04</x:v>
      </x:c>
      <x:c r="B9" s="6" t="str">
        <x:v>海能基石技术有限公司（全资子公司）</x:v>
      </x:c>
      <x:c r="C9" s="6" t="str">
        <x:v>智能工业大模型</x:v>
      </x:c>
      <x:c r="D9" s="6" t="str">
        <x:v>未披露</x:v>
      </x:c>
      <x:c r="E9" s="6"/>
      <x:c r="F9" s="6"/>
      <x:c r="G9" s="6" t="str">
        <x:v>未披露</x:v>
      </x:c>
      <x:c r="H9" s="6" t="str">
        <x:v>拟部署</x:v>
      </x:c>
      <x:c r="I9" s="6" t="str">
        <x:v>未给出单独采购日期</x:v>
      </x:c>
      <x:c r="J9" s="6" t="str">
        <x:v>E05</x:v>
      </x:c>
      <x:c r="K9" s="6" t="str">
        <x:v>软件部署目标不等于已签软件采购订单。</x:v>
      </x:c>
    </x:row>
    <x:row r="10" ht="42" customHeight="1">
      <x:c r="A10" s="6" t="str">
        <x:v>P05</x:v>
      </x:c>
      <x:c r="B10" s="6" t="str">
        <x:v>海能基石技术有限公司（全资子公司）</x:v>
      </x:c>
      <x:c r="C10" s="6" t="str">
        <x:v>智慧仓储系统</x:v>
      </x:c>
      <x:c r="D10" s="6" t="str">
        <x:v>未披露</x:v>
      </x:c>
      <x:c r="E10" s="6"/>
      <x:c r="F10" s="6"/>
      <x:c r="G10" s="6" t="str">
        <x:v>未披露</x:v>
      </x:c>
      <x:c r="H10" s="6" t="str">
        <x:v>拟建设</x:v>
      </x:c>
      <x:c r="I10" s="6" t="str">
        <x:v>未给出单独采购日期</x:v>
      </x:c>
      <x:c r="J10" s="6" t="str">
        <x:v>E05</x:v>
      </x:c>
      <x:c r="K10" s="6" t="str">
        <x:v>未确认WMS品牌、货架/AGV规格、数量或供货商。</x:v>
      </x:c>
    </x:row>
    <x:row r="11" ht="42" customHeight="1">
      <x:c r="A11" s="6" t="str">
        <x:v>P06</x:v>
      </x:c>
      <x:c r="B11" s="6" t="str">
        <x:v>海能基石技术有限公司（全资子公司）</x:v>
      </x:c>
      <x:c r="C11" s="6" t="str">
        <x:v>智能机器人值守无人产线</x:v>
      </x:c>
      <x:c r="D11" s="6" t="str">
        <x:v>未披露</x:v>
      </x:c>
      <x:c r="E11" s="6"/>
      <x:c r="F11" s="6"/>
      <x:c r="G11" s="6" t="str">
        <x:v>未披露</x:v>
      </x:c>
      <x:c r="H11" s="6" t="str">
        <x:v>探索建设</x:v>
      </x:c>
      <x:c r="I11" s="6" t="str">
        <x:v>未给出单独采购日期</x:v>
      </x:c>
      <x:c r="J11" s="6" t="str">
        <x:v>E05</x:v>
      </x:c>
      <x:c r="K11" s="6" t="str">
        <x:v>探索性目标，实施与具体外购范围不确定。</x:v>
      </x:c>
    </x:row>
  </x:sheetData>
  <x:pageMargins left="0.7" right="0.7" top="0.75" bottom="0.75" header="0.3" footer="0.3"/>
  <x:tableParts count="1">
    <x:tablePart xmlns:r="http://schemas.openxmlformats.org/officeDocument/2006/relationships" r:id="R88771cdadfc24111"/>
  </x:tableParts>
</x:worksheet>
</file>

<file path=xl/worksheets/sheet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6" hidden="0" customWidth="1"/>
    <x:col min="2" max="2" width="94" hidden="0" customWidth="1"/>
    <x:col min="3" max="3" width="25" hidden="0" customWidth="1"/>
    <x:col min="4" max="4" width="19" hidden="0" customWidth="1"/>
    <x:col min="5" max="5" width="145" hidden="0" customWidth="1"/>
  </x:cols>
  <x:sheetData>
    <x:row r="2" ht="29" customHeight="1">
      <x:c r="A2" s="2" t="str">
        <x:v>采购行为与特征分析</x:v>
      </x:c>
      <x:c r="B2" s="2"/>
      <x:c r="C2" s="2"/>
      <x:c r="D2" s="2"/>
      <x:c r="E2" s="2"/>
    </x:row>
    <x:row r="3" ht="24" customHeight="1">
      <x:c r="A3" s="3" t="str">
        <x:v>仅将原文事实和有条件的推导写入；价格敏感度、具体批量与实际频次仍有缺口。</x:v>
      </x:c>
      <x:c r="B3" s="3"/>
      <x:c r="C3" s="3"/>
      <x:c r="D3" s="3"/>
      <x:c r="E3" s="3"/>
    </x:row>
    <x:row r="5" ht="42" customHeight="1">
      <x:c r="A5" s="9" t="str">
        <x:v>维度</x:v>
      </x:c>
      <x:c r="B5" s="9" t="str">
        <x:v>结论</x:v>
      </x:c>
      <x:c r="C5" s="9" t="str">
        <x:v>证据性质</x:v>
      </x:c>
      <x:c r="D5" s="9" t="str">
        <x:v>证据</x:v>
      </x:c>
      <x:c r="E5" s="9" t="str">
        <x:v>依据与边界</x:v>
      </x:c>
    </x:row>
    <x:row r="6" ht="42" customHeight="1">
      <x:c r="A6" s="6" t="str">
        <x:v>采购组织</x:v>
      </x:c>
      <x:c r="B6" s="6" t="str">
        <x:v>LRP/ERP按计划和库存安排采购</x:v>
      </x:c>
      <x:c r="C6" s="6" t="str">
        <x:v>事实</x:v>
      </x:c>
      <x:c r="D6" s="6" t="str">
        <x:v>E04</x:v>
      </x:c>
      <x:c r="E6" s="6" t="str">
        <x:v>按生产计划、产品物料明细、库存确定订购量与时间；属于生产驱动补货。</x:v>
      </x:c>
    </x:row>
    <x:row r="7" ht="42" customHeight="1">
      <x:c r="A7" s="6" t="str">
        <x:v>供应商准入</x:v>
      </x:c>
      <x:c r="B7" s="6" t="str">
        <x:v>合格供应商名录、样品与小批验证、定期评审</x:v>
      </x:c>
      <x:c r="C7" s="6" t="str">
        <x:v>事实</x:v>
      </x:c>
      <x:c r="D7" s="6" t="str">
        <x:v>E04</x:v>
      </x:c>
      <x:c r="E7" s="6" t="str">
        <x:v>供应稳定性、质量及技术适配是显著门槛；新供应商进入需要验证。</x:v>
      </x:c>
    </x:row>
    <x:row r="8" ht="42" customHeight="1">
      <x:c r="A8" s="6" t="str">
        <x:v>价格管理</x:v>
      </x:c>
      <x:c r="B8" s="6" t="str">
        <x:v>定期审核价格、年度订单折扣、按销售预测协商供货价格</x:v>
      </x:c>
      <x:c r="C8" s="6" t="str">
        <x:v>事实</x:v>
      </x:c>
      <x:c r="D8" s="6" t="str">
        <x:v>E04</x:v>
      </x:c>
      <x:c r="E8" s="6" t="str">
        <x:v>有成本控制证据；不能据此断言最低价优先或高度价格敏感。</x:v>
      </x:c>
    </x:row>
    <x:row r="9" ht="42" customHeight="1">
      <x:c r="A9" s="6" t="str">
        <x:v>采购批量</x:v>
      </x:c>
      <x:c r="B9" s="6" t="str">
        <x:v>生产呈多品种、小批量特点</x:v>
      </x:c>
      <x:c r="C9" s="6" t="str">
        <x:v>事实+限定</x:v>
      </x:c>
      <x:c r="D9" s="6" t="str">
        <x:v>E04</x:v>
      </x:c>
      <x:c r="E9" s="6" t="str">
        <x:v>适合多规格物料供应；实际采购批量和长期稳定性仍缺订单序列。</x:v>
      </x:c>
    </x:row>
    <x:row r="10" ht="42" customHeight="1">
      <x:c r="A10" s="6" t="str">
        <x:v>采购频次</x:v>
      </x:c>
      <x:c r="B10" s="6" t="str">
        <x:v>关键长周期物料可签年度订单；逐笔次数未知</x:v>
      </x:c>
      <x:c r="C10" s="6" t="str">
        <x:v>事实+缺口</x:v>
      </x:c>
      <x:c r="D10" s="6" t="str">
        <x:v>E04</x:v>
      </x:c>
      <x:c r="E10" s="6" t="str">
        <x:v>年度订单不等于一年只下单/交付一次；月度采购次数和间隔无法统计。</x:v>
      </x:c>
    </x:row>
    <x:row r="11" ht="42" customHeight="1">
      <x:c r="A11" s="6" t="str">
        <x:v>供应商集中度</x:v>
      </x:c>
      <x:c r="B11" s="6" t="str">
        <x:v>前五17.24%；最大单家4.83%</x:v>
      </x:c>
      <x:c r="C11" s="6" t="str">
        <x:v>事实+分析</x:v>
      </x:c>
      <x:c r="D11" s="6" t="str">
        <x:v>E01</x:v>
      </x:c>
      <x:c r="E11" s="6" t="str">
        <x:v>年度金额层面前五集中度不高；关键独家部件依赖不能由总金额比例排除。</x:v>
      </x:c>
    </x:row>
    <x:row r="12" ht="42" customHeight="1">
      <x:c r="A12" s="6" t="str">
        <x:v>采购规模</x:v>
      </x:c>
      <x:c r="B12" s="6" t="str">
        <x:v>2025总额可由前五合计和占比粗略反推约8887万元</x:v>
      </x:c>
      <x:c r="C12" s="6" t="str">
        <x:v>推导</x:v>
      </x:c>
      <x:c r="D12" s="6" t="str">
        <x:v>E01</x:v>
      </x:c>
      <x:c r="E12" s="6" t="str">
        <x:v>比率四舍五入，估计范围8884.21至8889.36万元；不是精确全年采购总额或本窗口滚动金额。</x:v>
      </x:c>
    </x:row>
    <x:row r="13" ht="42" customHeight="1">
      <x:c r="A13" s="6" t="str">
        <x:v>供应商来源</x:v>
      </x:c>
      <x:c r="B13" s="6" t="str">
        <x:v>五家具名供应商；具体物料及所在地未核验</x:v>
      </x:c>
      <x:c r="C13" s="6" t="str">
        <x:v>事实+缺口</x:v>
      </x:c>
      <x:c r="D13" s="6" t="str">
        <x:v>E01</x:v>
      </x:c>
      <x:c r="E13" s="6" t="str">
        <x:v>不把供应商经营范围或名称中的地域当成海能实际采购品类/来源地。</x:v>
      </x:c>
    </x:row>
    <x:row r="14" ht="42" customHeight="1">
      <x:c r="A14" s="6" t="str">
        <x:v>付款特征</x:v>
      </x:c>
      <x:c r="B14" s="6" t="str">
        <x:v>2025年末应付款下降与供应商结算周期变短有关</x:v>
      </x:c>
      <x:c r="C14" s="6" t="str">
        <x:v>事实</x:v>
      </x:c>
      <x:c r="D14" s="6" t="str">
        <x:v>E11</x:v>
      </x:c>
      <x:c r="E14" s="6" t="str">
        <x:v>方向性改善；具体账期、付款条款未披露，不能给出30天/60天等天数。</x:v>
      </x:c>
    </x:row>
    <x:row r="15" ht="42" customHeight="1">
      <x:c r="A15" s="6" t="str">
        <x:v>自产与外采</x:v>
      </x:c>
      <x:c r="B15" s="6" t="str">
        <x:v>机加工、模塑、核心部件、SMT、钣金、表面处理已有自制车间</x:v>
      </x:c>
      <x:c r="C15" s="6" t="str">
        <x:v>事实+分析</x:v>
      </x:c>
      <x:c r="D15" s="6" t="str">
        <x:v>E07</x:v>
      </x:c>
      <x:c r="E15" s="6" t="str">
        <x:v>公司推进自产化率，不能把这些工序全部视为外协采购需求。</x:v>
      </x:c>
    </x:row>
    <x:row r="16" ht="42" customHeight="1">
      <x:c r="A16" s="6" t="str">
        <x:v>近期需求变化</x:v>
      </x:c>
      <x:c r="B16" s="6" t="str">
        <x:v>2026半年商品/劳务付现同比约增14%</x:v>
      </x:c>
      <x:c r="C16" s="6" t="str">
        <x:v>推导</x:v>
      </x:c>
      <x:c r="D16" s="6" t="str">
        <x:v>E03</x:v>
      </x:c>
      <x:c r="E16" s="6" t="str">
        <x:v>仅说明同口径付现增加；不能归因为采购数量或单价上涨。</x:v>
      </x:c>
    </x:row>
    <x:row r="17" ht="42" customHeight="1">
      <x:c r="A17" s="6" t="str">
        <x:v>型号价格与数量</x:v>
      </x:c>
      <x:c r="B17" s="6" t="str">
        <x:v>具体型号、单价区间、月采购量、订单频次无法判断</x:v>
      </x:c>
      <x:c r="C17" s="6" t="str">
        <x:v>数据缺口</x:v>
      </x:c>
      <x:c r="D17" s="6" t="str">
        <x:v>检索审计</x:v>
      </x:c>
      <x:c r="E17" s="6" t="str">
        <x:v>没有合格直接采购公告及产品明细；公开命中0条不等于实际采购为0。</x:v>
      </x:c>
    </x:row>
  </x:sheetData>
  <x:pageMargins left="0.7" right="0.7" top="0.75" bottom="0.75" header="0.3" footer="0.3"/>
  <x:tableParts count="1">
    <x:tablePart xmlns:r="http://schemas.openxmlformats.org/officeDocument/2006/relationships" r:id="R57541b5f24ea4010"/>
  </x:tableParts>
</x:worksheet>
</file>

<file path=xl/worksheets/sheet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8" hidden="0" customWidth="1"/>
    <x:col min="2" max="2" width="68" hidden="0" customWidth="1"/>
    <x:col min="3" max="3" width="62" hidden="0" customWidth="1"/>
    <x:col min="4" max="4" width="22" hidden="0" customWidth="1"/>
    <x:col min="5" max="5" width="90" hidden="0" customWidth="1"/>
    <x:col min="6" max="6" width="84" hidden="0" customWidth="1"/>
    <x:col min="7" max="7" width="92" hidden="0" customWidth="1"/>
    <x:col min="8" max="8" width="95" hidden="0" customWidth="1"/>
  </x:cols>
  <x:sheetData>
    <x:row r="2" ht="29" customHeight="1">
      <x:c r="A2" s="2" t="str">
        <x:v>后续购买可能性分析</x:v>
      </x:c>
      <x:c r="B2" s="2"/>
      <x:c r="C2" s="2"/>
      <x:c r="D2" s="2"/>
      <x:c r="E2" s="2"/>
      <x:c r="F2" s="2"/>
      <x:c r="G2" s="2"/>
      <x:c r="H2" s="2"/>
    </x:row>
    <x:row r="3" ht="24" customHeight="1">
      <x:c r="A3" s="3" t="str">
        <x:v>分析基准2026-10-08；类别级定性判断，未训练模型、未回测，不给出伪精确百分比。</x:v>
      </x:c>
      <x:c r="B3" s="3"/>
      <x:c r="C3" s="3"/>
      <x:c r="D3" s="3"/>
      <x:c r="E3" s="3"/>
      <x:c r="F3" s="3"/>
      <x:c r="G3" s="3"/>
      <x:c r="H3" s="3"/>
    </x:row>
    <x:row r="5" ht="42" customHeight="1">
      <x:c r="A5" s="9" t="str">
        <x:v>产品或需求方向</x:v>
      </x:c>
      <x:c r="B5" s="9" t="str">
        <x:v>可能性判断</x:v>
      </x:c>
      <x:c r="C5" s="9" t="str">
        <x:v>适用时间或情景</x:v>
      </x:c>
      <x:c r="D5" s="9" t="str">
        <x:v>证据</x:v>
      </x:c>
      <x:c r="E5" s="9" t="str">
        <x:v>支持理由</x:v>
      </x:c>
      <x:c r="F5" s="9" t="str">
        <x:v>确认下一次采购所需条件</x:v>
      </x:c>
      <x:c r="G5" s="9" t="str">
        <x:v>可能降低需求的因素</x:v>
      </x:c>
      <x:c r="H5" s="9" t="str">
        <x:v>预测边界</x:v>
      </x:c>
    </x:row>
    <x:row r="6" ht="42" customHeight="1">
      <x:c r="A6" s="6" t="str">
        <x:v>结构件、电子元器件、功能部件等生产物料</x:v>
      </x:c>
      <x:c r="B6" s="6" t="str">
        <x:v>持续需求较有依据；具体SKU复购不可判断</x:v>
      </x:c>
      <x:c r="C6" s="6" t="str">
        <x:v>经营持续情景，未来12个月</x:v>
      </x:c>
      <x:c r="D6" s="6" t="str">
        <x:v>E04</x:v>
      </x:c>
      <x:c r="E6" s="6" t="str">
        <x:v>公司明确披露持续采购品类和基于库存订购机制</x:v>
      </x:c>
      <x:c r="F6" s="6" t="str">
        <x:v>销售/生产工单、库存与合格供应商准入</x:v>
      </x:c>
      <x:c r="G6" s="6" t="str">
        <x:v>若公司自产替代加强、产量下降或设计变更，外采需求会减少</x:v>
      </x:c>
      <x:c r="H6" s="6" t="str">
        <x:v>无法估计具体购买日期、数量、品牌型号或校准概率</x:v>
      </x:c>
    </x:row>
    <x:row r="7" ht="42" customHeight="1">
      <x:c r="A7" s="6" t="str">
        <x:v>基地设备购置总项</x:v>
      </x:c>
      <x:c r="B7" s="6" t="str">
        <x:v>有明确项目概算和进度计划；新购时点尚不确定</x:v>
      </x:c>
      <x:c r="C7" s="6" t="str">
        <x:v>建设第二年Q1至Q4，相对项目时间</x:v>
      </x:c>
      <x:c r="D7" s="6" t="str">
        <x:v>E05、E06、E08</x:v>
      </x:c>
      <x:c r="E7" s="6" t="str">
        <x:v>1757.16万元设备概算；项目已自筹投入，计划第二年安装调试</x:v>
      </x:c>
      <x:c r="F7" s="6" t="str">
        <x:v>实际建设进度、设备招标清单、设备已购/未购状态</x:v>
      </x:c>
      <x:c r="G7" s="6" t="str">
        <x:v>进度调整、方案变更、已提前采购会改变剩余机会</x:v>
      </x:c>
      <x:c r="H7" s="6" t="str">
        <x:v>剩余可采购金额未知，无法把全部概算视为未来新增订单</x:v>
      </x:c>
    </x:row>
    <x:row r="8" ht="42" customHeight="1">
      <x:c r="A8" s="6" t="str">
        <x:v>智慧仓储及工业互联网系统</x:v>
      </x:c>
      <x:c r="B8" s="6" t="str">
        <x:v>存在建设意向；外购范围待核</x:v>
      </x:c>
      <x:c r="C8" s="6" t="str">
        <x:v>基地建设期，未映射确定月份</x:v>
      </x:c>
      <x:c r="D8" s="6" t="str">
        <x:v>E05、E07</x:v>
      </x:c>
      <x:c r="E8" s="6" t="str">
        <x:v>官方披露拟搭建平台与建设仓储系统</x:v>
      </x:c>
      <x:c r="F8" s="6" t="str">
        <x:v>确认自研/外购方案、集成商和系统配置</x:v>
      </x:c>
      <x:c r="G8" s="6" t="str">
        <x:v>自研或总包集成可能不形成企业直接采购公告</x:v>
      </x:c>
      <x:c r="H8" s="6" t="str">
        <x:v>不提供软件型号、AGV数量或预算分拆</x:v>
      </x:c>
    </x:row>
    <x:row r="9" ht="42" customHeight="1">
      <x:c r="A9" s="6" t="str">
        <x:v>智能工业大模型、机器人无人产线</x:v>
      </x:c>
      <x:c r="B9" s="6" t="str">
        <x:v>探索性方向，购买可能性证据较弱</x:v>
      </x:c>
      <x:c r="C9" s="6" t="str">
        <x:v>项目方案深化阶段</x:v>
      </x:c>
      <x:c r="D9" s="6" t="str">
        <x:v>E05</x:v>
      </x:c>
      <x:c r="E9" s="6" t="str">
        <x:v>目标明确，但机器人无人产线为探索建设</x:v>
      </x:c>
      <x:c r="F9" s="6" t="str">
        <x:v>方案落地和商业可行性确认</x:v>
      </x:c>
      <x:c r="G9" s="6" t="str">
        <x:v>可能试点或暂缓，也可能由内部开发/集成实现</x:v>
      </x:c>
      <x:c r="H9" s="6" t="str">
        <x:v>不提供百分比或称确定采购</x:v>
      </x:c>
    </x:row>
    <x:row r="10" ht="42" customHeight="1">
      <x:c r="A10" s="6" t="str">
        <x:v>2025年前五供应商的同型号复购</x:v>
      </x:c>
      <x:c r="B10" s="6" t="str">
        <x:v>不可判断</x:v>
      </x:c>
      <x:c r="C10" s="6" t="str">
        <x:v>未来12个月</x:v>
      </x:c>
      <x:c r="D10" s="6" t="str">
        <x:v>E01</x:v>
      </x:c>
      <x:c r="E10" s="6" t="str">
        <x:v>只有单年度供应商汇总，无同型号多次记录</x:v>
      </x:c>
      <x:c r="F10" s="6" t="str">
        <x:v>取得SKU级订单、库存、合同到期和交付数据</x:v>
      </x:c>
      <x:c r="G10" s="6" t="str">
        <x:v>供应商可更换；一个年汇总不能证明重复购买或品牌忠诚</x:v>
      </x:c>
      <x:c r="H10" s="6" t="str">
        <x:v>五家供应商金额不能映射到具体待购产品</x:v>
      </x:c>
    </x:row>
  </x:sheetData>
  <x:pageMargins left="0.7" right="0.7" top="0.75" bottom="0.75" header="0.3" footer="0.3"/>
  <x:tableParts count="1">
    <x:tablePart xmlns:r="http://schemas.openxmlformats.org/officeDocument/2006/relationships" r:id="Rde37cb47d93d425e"/>
  </x:tableParts>
</x:worksheet>
</file>

<file path=xl/worksheets/sheet9.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5" hidden="0" customWidth="1"/>
    <x:col min="2" max="2" width="14" hidden="0" customWidth="1"/>
    <x:col min="3" max="3" width="19" hidden="0" customWidth="1"/>
    <x:col min="4" max="4" width="16" hidden="0" customWidth="1"/>
    <x:col min="5" max="5" width="68" hidden="0" customWidth="1"/>
    <x:col min="6" max="6" width="115" hidden="0" customWidth="1"/>
    <x:col min="7" max="7" width="100" hidden="0" customWidth="1"/>
  </x:cols>
  <x:sheetData>
    <x:row r="2" ht="29" customHeight="1">
      <x:c r="A2" s="2" t="str">
        <x:v>采购证据原文与PDF页码</x:v>
      </x:c>
      <x:c r="B2" s="2"/>
      <x:c r="C2" s="2"/>
      <x:c r="D2" s="2"/>
      <x:c r="E2" s="2"/>
      <x:c r="F2" s="2"/>
      <x:c r="G2" s="2"/>
    </x:row>
    <x:row r="3" ht="24" customHeight="1">
      <x:c r="A3" s="3" t="str">
        <x:v>11组官方原文；长引句按分段号完整保留。来源编号对应下方索引。</x:v>
      </x:c>
      <x:c r="B3" s="3"/>
      <x:c r="C3" s="3"/>
      <x:c r="D3" s="3"/>
      <x:c r="E3" s="3"/>
      <x:c r="F3" s="3"/>
      <x:c r="G3" s="3"/>
    </x:row>
    <x:row r="5" ht="42" customHeight="1">
      <x:c r="A5" s="9" t="str">
        <x:v>证据ID</x:v>
      </x:c>
      <x:c r="B5" s="9" t="str">
        <x:v>来源ID</x:v>
      </x:c>
      <x:c r="C5" s="9" t="str">
        <x:v>PDF物理页</x:v>
      </x:c>
      <x:c r="D5" s="9" t="str">
        <x:v>分段号</x:v>
      </x:c>
      <x:c r="E5" s="9" t="str">
        <x:v>支持内容</x:v>
      </x:c>
      <x:c r="F5" s="9" t="str">
        <x:v>原文引句</x:v>
      </x:c>
      <x:c r="G5" s="9" t="str">
        <x:v>页码或表格说明</x:v>
      </x:c>
    </x:row>
    <x:row r="6" ht="282" customHeight="1">
      <x:c r="A6" s="6" t="str">
        <x:v>E01</x:v>
      </x:c>
      <x:c r="B6" s="6" t="str">
        <x:v>S01</x:v>
      </x:c>
      <x:c r="C6" s="11" t="n">
        <x:v>23</x:v>
      </x:c>
      <x:c r="D6" s="11" t="n">
        <x:v>1</x:v>
      </x:c>
      <x:c r="E6" s="6" t="str">
        <x:v>前五供应商及年度采购金额</x:v>
      </x:c>
      <x:c r="F6" s="6" t="str">
        <x:v>单位：元
营业收 营业成
毛利 入比上 本比上
分地区 营业收入 营业成本 毛利率比上年同期增减
率% 年同期 年同期
增减% 增减%
国内 284,062,791.35 91,722,335.36 67.71% 18.40% 22.64% 减少1.12个百分点
国外 77,787,374.19 34,764,486.26 55.31% 10.59% -0.90% 增加5.18个百分点
合计 361,850,165.54 126,486,821.62 - - - -
收入构成变动的原因：
（1）其他业务收入本期比上年同期增加45.25%，主要原因系本期仪器出租收入增长所致；
（2）其他业务成本本期比上年同期增加168.31%，主要原因系本期新增出租仪器对应的固定资产
折旧成本增加所致；
（3）原材料及耗材营业成</x:v>
      </x:c>
      <x:c r="G6" s="6" t="str"/>
    </x:row>
    <x:row r="7" ht="265" customHeight="1">
      <x:c r="A7" s="6" t="str">
        <x:v>E01</x:v>
      </x:c>
      <x:c r="B7" s="6" t="str">
        <x:v>S01</x:v>
      </x:c>
      <x:c r="C7" s="11" t="n">
        <x:v>23</x:v>
      </x:c>
      <x:c r="D7" s="11" t="n">
        <x:v>2</x:v>
      </x:c>
      <x:c r="E7" s="6" t="str">
        <x:v>前五供应商及年度采购金额</x:v>
      </x:c>
      <x:c r="F7" s="6" t="str">
        <x:v>本本期比上年同期增加 33.89%，主要原因系随着各系列产品销售额增
加，产品相关的耗材收入同步增加所致。
(3) 主要客户情况
单位：元
年度销售 是否存在
序号 客户 销售金额
占比% 关联关系
1 杭州国迈进出口有限公司 23,866,523.02 6.60% 否
2 浙江省科学器材进出口有限责任公司 8,963,385.91 2.48% 否
3 华测检测认证集团股份有限公司及其关联企业 4,456,627.92 1.23% 否
4 Lab Service Analytica s.r.l. 3,765,881.82 1.04% 否
5 杭州汉一科学仪器有限公司 3,644,320.30 1.01% 否
合计 44,696,738.97 12.36% -
(4) 主要供应商情况
单位：元</x:v>
      </x:c>
      <x:c r="G7" s="6" t="str"/>
    </x:row>
    <x:row r="8" ht="265" customHeight="1">
      <x:c r="A8" s="6" t="str">
        <x:v>E01</x:v>
      </x:c>
      <x:c r="B8" s="6" t="str">
        <x:v>S01</x:v>
      </x:c>
      <x:c r="C8" s="11" t="n">
        <x:v>23</x:v>
      </x:c>
      <x:c r="D8" s="11" t="n">
        <x:v>3</x:v>
      </x:c>
      <x:c r="E8" s="6" t="str">
        <x:v>前五供应商及年度采购金额</x:v>
      </x:c>
      <x:c r="F8" s="6" t="str">
        <x:v>
年度采购 是否存在
序号 供应商 采购金额
占比% 关联关系
1 CTC Analytics AG 4,289,389.84 4.83% 否
2 江苏沃凯氟精密智造有限公司 3,997,682.20 4.50% 否
3 河北磐仪分析仪器有限责任公司 2,898,032.00 3.26% 否
4 石家庄莱博瑞分析仪器有限公司 2,205,982.31 2.48% 否
5 上海侃达机电设备有限公司 1,929,727.27 2.17% 否
合计 15,320,813.62 17.24% -
(5) 报告期内公司贸易业务收入占营业收入比例超过10%情况
□适用 √不适用
3. 现金流量状况
单位：元
项目 2025年 2024年 变动比例%</x:v>
      </x:c>
      <x:c r="G8" s="6" t="str"/>
    </x:row>
    <x:row r="9" ht="44" customHeight="1">
      <x:c r="A9" s="6" t="str">
        <x:v>E01</x:v>
      </x:c>
      <x:c r="B9" s="6" t="str">
        <x:v>S01</x:v>
      </x:c>
      <x:c r="C9" s="11" t="n">
        <x:v>23</x:v>
      </x:c>
      <x:c r="D9" s="11" t="n">
        <x:v>4</x:v>
      </x:c>
      <x:c r="E9" s="6" t="str">
        <x:v>前五供应商及年度采购金额</x:v>
      </x:c>
      <x:c r="F9" s="6" t="str">
        <x:v>
22</x:v>
      </x:c>
      <x:c r="G9" s="6" t="str"/>
    </x:row>
    <x:row r="10" ht="265" customHeight="1">
      <x:c r="A10" s="6" t="str">
        <x:v>E02</x:v>
      </x:c>
      <x:c r="B10" s="6" t="str">
        <x:v>S01</x:v>
      </x:c>
      <x:c r="C10" s="11" t="n">
        <x:v>83</x:v>
      </x:c>
      <x:c r="D10" s="11" t="n">
        <x:v>1</x:v>
      </x:c>
      <x:c r="E10" s="6" t="str">
        <x:v>2025合并购买商品接受劳务现金</x:v>
      </x:c>
      <x:c r="F10" s="6" t="str">
        <x:v>3.金融资产重分类计入其他综合收益的金额
4.其他债权投资信用减值准备
5.现金流量套期储备
6.外币财务报表折算差额
7.其他
六、综合收益总额 25,005,416.84 42,035,108.25
七、每股收益：
（一）基本每股收益（元/股）
（二）稀释每股收益（元/股）
（五） 合并现金流量表
单位：元
项目 附注 2025年 2024年
一、经营活动产生的现金流量：
销售商品、提供劳务收到的现金 391,847,092.59 356,260,346.35
客户存款和同业存放款项净增加额</x:v>
      </x:c>
      <x:c r="G10" s="6" t="str"/>
    </x:row>
    <x:row r="11" ht="265" customHeight="1">
      <x:c r="A11" s="6" t="str">
        <x:v>E02</x:v>
      </x:c>
      <x:c r="B11" s="6" t="str">
        <x:v>S01</x:v>
      </x:c>
      <x:c r="C11" s="11" t="n">
        <x:v>83</x:v>
      </x:c>
      <x:c r="D11" s="11" t="n">
        <x:v>2</x:v>
      </x:c>
      <x:c r="E11" s="6" t="str">
        <x:v>2025合并购买商品接受劳务现金</x:v>
      </x:c>
      <x:c r="F11" s="6" t="str">
        <x:v>
向中央银行借款净增加额
向其他金融机构拆入资金净增加额
收到原保险合同保费取得的现金
收到再保险业务现金净额
保户储金及投资款净增加额
收取利息、手续费及佣金的现金
拆入资金净增加额
回购业务资金净增加额
代理买卖证券收到的现金净额
收到的税费返还 4,035,156.80 5,311,049.37
收到其他与经营活动有关的现金 五、52 8,389,688.82 15,252,599.79
经营活动现金流入小计 404,271,938.21 376,823,995.51
购买商品、接受劳务支付的现金 110,514,548.50 113,571,829.65
客户贷款及垫款净增加额</x:v>
      </x:c>
      <x:c r="G11" s="6" t="str"/>
    </x:row>
    <x:row r="12" ht="248" customHeight="1">
      <x:c r="A12" s="6" t="str">
        <x:v>E02</x:v>
      </x:c>
      <x:c r="B12" s="6" t="str">
        <x:v>S01</x:v>
      </x:c>
      <x:c r="C12" s="11" t="n">
        <x:v>83</x:v>
      </x:c>
      <x:c r="D12" s="11" t="n">
        <x:v>3</x:v>
      </x:c>
      <x:c r="E12" s="6" t="str">
        <x:v>2025合并购买商品接受劳务现金</x:v>
      </x:c>
      <x:c r="F12" s="6" t="str">
        <x:v>
存放中央银行和同业款项净增加额
支付原保险合同赔付款项的现金
为交易目的而持有的金融资产净增加额
拆出资金净增加额
支付利息、手续费及佣金的现金
支付保单红利的现金
支付给职工以及为职工支付的现金 149,212,075.94 147,239,932.04
支付的各项税费 36,361,614.13 33,695,288.21
支付其他与经营活动有关的现金 五、52 57,662,456.90 54,330,914.20
经营活动现金流出小计 353,750,695.47 348,837,964.10
经营活动产生的现金流量净额 50,521,242.74 27,986,031.41
二、投资活动产生的现金流量：
82</x:v>
      </x:c>
      <x:c r="G12" s="6" t="str"/>
    </x:row>
    <x:row r="13" ht="265" customHeight="1">
      <x:c r="A13" s="6" t="str">
        <x:v>E03</x:v>
      </x:c>
      <x:c r="B13" s="6" t="str">
        <x:v>S02</x:v>
      </x:c>
      <x:c r="C13" s="11" t="n">
        <x:v>37</x:v>
      </x:c>
      <x:c r="D13" s="11" t="n">
        <x:v>1</x:v>
      </x:c>
      <x:c r="E13" s="6" t="str">
        <x:v>2026半年合并现金流及同比值</x:v>
      </x:c>
      <x:c r="F13" s="6" t="str">
        <x:v>（二）稀释每股收益（元/股）
法定代表人：张振方 主管会计工作负责人：崔国强 会计机构负责人：李纯
（五） 合并现金流量表
单位：元
项目 附注 2026年1-6月 2025年1-6月
一、经营活动产生的现金流量：
销售商品、提供劳务收到的现金 187,345,707.98 153,463,362.66
客户存款和同业存放款项净增加额
向中央银行借款净增加额
向其他金融机构拆入资金净增加额
收到原保险合同保费取得的现金
收到再保险业务现金净额
保户储金及投资款净增加额
收取利息、手续费及佣金的现金
拆入资金净增加额</x:v>
      </x:c>
      <x:c r="G13" s="6" t="str"/>
    </x:row>
    <x:row r="14" ht="265" customHeight="1">
      <x:c r="A14" s="6" t="str">
        <x:v>E03</x:v>
      </x:c>
      <x:c r="B14" s="6" t="str">
        <x:v>S02</x:v>
      </x:c>
      <x:c r="C14" s="11" t="n">
        <x:v>37</x:v>
      </x:c>
      <x:c r="D14" s="11" t="n">
        <x:v>2</x:v>
      </x:c>
      <x:c r="E14" s="6" t="str">
        <x:v>2026半年合并现金流及同比值</x:v>
      </x:c>
      <x:c r="F14" s="6" t="str">
        <x:v>
回购业务资金净增加额
代理买卖证券收到的现金净额
收到的税费返还 3,848,810.95 2,118,624.58
收到其他与经营活动有关的现金 五、54 6,365,034.72 7,938,987.24
经营活动现金流入小计 197,559,553.65 163,520,974.48
购买商品、接受劳务支付的现金 55,633,585.06 48,811,874.54
客户贷款及垫款净增加额
存放中央银行和同业款项净增加额
支付原保险合同赔付款项的现金
为交易目的而持有的金融资产净增加额
拆出资金净增加额
支付利息、手续费及佣金的现金
支付保单红利的现金
支付给职工以及为职工支付的现金 82,660,533.38 81,568,128.29</x:v>
      </x:c>
      <x:c r="G14" s="6" t="str"/>
    </x:row>
    <x:row r="15" ht="231" customHeight="1">
      <x:c r="A15" s="6" t="str">
        <x:v>E03</x:v>
      </x:c>
      <x:c r="B15" s="6" t="str">
        <x:v>S02</x:v>
      </x:c>
      <x:c r="C15" s="11" t="n">
        <x:v>37</x:v>
      </x:c>
      <x:c r="D15" s="11" t="n">
        <x:v>3</x:v>
      </x:c>
      <x:c r="E15" s="6" t="str">
        <x:v>2026半年合并现金流及同比值</x:v>
      </x:c>
      <x:c r="F15" s="6" t="str">
        <x:v>
支付的各项税费 20,752,167.46 17,669,530.20
支付其他与经营活动有关的现金 五、54 25,603,396.79 29,640,622.60
经营活动现金流出小计 184,649,682.69 177,690,155.63
经营活动产生的现金流量净额 12,909,870.96 -14,169,181.15
二、投资活动产生的现金流量：
收回投资收到的现金 193,000,000.00 390,000,000.00
取得投资收益收到的现金 431,290.84 595,629.32
处置固定资产、无形资产和其他长期资产收 772,493.04
回的现金净额
处置子公司及其他营业单位收到的现金净额
收到其他与投资活动有关的现金 五、54 4,200,000.00
投资活动现金流入小计 </x:v>
      </x:c>
      <x:c r="G15" s="6" t="str"/>
    </x:row>
    <x:row r="16" ht="112" customHeight="1">
      <x:c r="A16" s="6" t="str">
        <x:v>E03</x:v>
      </x:c>
      <x:c r="B16" s="6" t="str">
        <x:v>S02</x:v>
      </x:c>
      <x:c r="C16" s="11" t="n">
        <x:v>37</x:v>
      </x:c>
      <x:c r="D16" s="11" t="n">
        <x:v>4</x:v>
      </x:c>
      <x:c r="E16" s="6" t="str">
        <x:v>2026半年合并现金流及同比值</x:v>
      </x:c>
      <x:c r="F16" s="6" t="str">
        <x:v>198,403,783.88 390,595,629.32
购建固定资产、无形资产和其他长期资产支 9,901,801.92 19,089,429.05
付的现金
投资支付的现金 214,000,000.00 390,000,000.00
质押贷款净增加额
37</x:v>
      </x:c>
      <x:c r="G16" s="6" t="str"/>
    </x:row>
    <x:row r="17" ht="197" customHeight="1">
      <x:c r="A17" s="6" t="str">
        <x:v>E04</x:v>
      </x:c>
      <x:c r="B17" s="6" t="str">
        <x:v>S03</x:v>
      </x:c>
      <x:c r="C17" s="11" t="n">
        <x:v>29</x:v>
      </x:c>
      <x:c r="D17" s="11" t="n">
        <x:v>1</x:v>
      </x:c>
      <x:c r="E17" s="6" t="str">
        <x:v>采购品类、年度订单、价格与供应商管理</x:v>
      </x:c>
      <x:c r="F17" s="6" t="str">
        <x:v>1-1-29 
配生产特性， 执行严格的供应商准入与定期评审， 精细化管控采购价格， 全流程监管物料质
量，保障供应链自主可控。公司始终坚持“全产业链制造”战略，以实现产品品质和供应链
自主可控为核心目标， 根据生产计划、 产品物料明细及产品和零部件的库存量， 计算出产品
的各零部件、 原材料应投产数量、 投产时间和需订购数量、 订购时间， 适配公司科学仪器产
品多品种、 小批量、 工艺复杂、 技术要求高的生产特性。 公司采购内容主要为产品生产所需
的原材料以及少量成品， 原材料可分为结构件、 电子元器件、 功能部件和其他四大类， 成品
主要为子公司生产的气相色谱-离子迁移谱联用仪等，核心采购品类覆盖产品生产全链条所
需关键部件与基础物料，助力供应链体系自主可控落地。 
公司优先选择 《合格供应商名录》 中</x:v>
      </x:c>
      <x:c r="G17" s="6" t="str"/>
    </x:row>
    <x:row r="18" ht="180" customHeight="1">
      <x:c r="A18" s="6" t="str">
        <x:v>E04</x:v>
      </x:c>
      <x:c r="B18" s="6" t="str">
        <x:v>S03</x:v>
      </x:c>
      <x:c r="C18" s="11" t="n">
        <x:v>29</x:v>
      </x:c>
      <x:c r="D18" s="11" t="n">
        <x:v>2</x:v>
      </x:c>
      <x:c r="E18" s="6" t="str">
        <x:v>采购品类、年度订单、价格与供应商管理</x:v>
      </x:c>
      <x:c r="F18" s="6" t="str">
        <x:v>的供应商进行采购， 重点把控关键部件和上游供应
链的生产加工能力与供应稳定性，从源头保障产品品质与可靠性。供应商需经过严格筛选、
样品验证、小批验证、供应商评审等环节方可进入《合格供应商名录》 ，公司对《合格供应
商名录》 进行定期审核， 持续降低上游供应链加工质量稳定性、 一致性等问题对产品可靠性
的不利影响。 
采购价格确认方面， 为保证采购价格的合理性， 采购部门每年定期对采购价格进行审核。
对公司产品质量有重大影响、 价格不受控、 采购周期较长的物料， 签订年度订单， 以取得合
理的价格折扣和稳定的供货周期； 对通用性强、 采购量较大的物料， 采购部门根据未来一年
销售预测量，和供应商制定合理的供货价格，稳定采购成本。 
物料质量控制方面， 物料到厂后， 经过质量部验收， 仓库清点完毕方可入库。 不合格</x:v>
      </x:c>
      <x:c r="G18" s="6" t="str"/>
    </x:row>
    <x:row r="19" ht="197" customHeight="1">
      <x:c r="A19" s="6" t="str">
        <x:v>E04</x:v>
      </x:c>
      <x:c r="B19" s="6" t="str">
        <x:v>S03</x:v>
      </x:c>
      <x:c r="C19" s="11" t="n">
        <x:v>29</x:v>
      </x:c>
      <x:c r="D19" s="11" t="n">
        <x:v>3</x:v>
      </x:c>
      <x:c r="E19" s="6" t="str">
        <x:v>采购品类、年度订单、价格与供应商管理</x:v>
      </x:c>
      <x:c r="F19" s="6" t="str">
        <x:v>物
料，返回供应商退换货后，重新进入验收流程。物料质量在 ERP 系统中进行全程监管，任
何环节出现问题都会被记录并追究原因直至解决， 不良信息合并到供应商年度评审， 全流程
落实公司全产业链品控管理要求。 
（3）生产模式 
公司采用以销售预测为基础的备货制生产模式， 结合订单、 市场及库存动态调整生产计
划， 配套全产业链自产、 全流程质控体系， 通过数字化系统实现精益管理， 保障供货时效与
生产稳定。公司结合自身“多品种、小批量、工艺复杂、技术要求高”的产品特点，以及下
游医药、科研与教育、农林水产、第三方检测、食品、环境、化工、新能源、新材料、半导
体等多领域客户的需求， 采取按销售预测实施备货制生产模式。 公司销售部门基于历史销售
数据分析、 行业发展趋势及市场需求预判开展年度销售预测， 生产部门以此</x:v>
      </x:c>
      <x:c r="G19" s="6" t="str"/>
    </x:row>
    <x:row r="20" ht="61" customHeight="1">
      <x:c r="A20" s="6" t="str">
        <x:v>E04</x:v>
      </x:c>
      <x:c r="B20" s="6" t="str">
        <x:v>S03</x:v>
      </x:c>
      <x:c r="C20" s="11" t="n">
        <x:v>29</x:v>
      </x:c>
      <x:c r="D20" s="11" t="n">
        <x:v>4</x:v>
      </x:c>
      <x:c r="E20" s="6" t="str">
        <x:v>采购品类、年度订单、价格与供应商管理</x:v>
      </x:c>
      <x:c r="F20" s="6" t="str">
        <x:v>为基础制定对应
的年度生产计划； 同时， 公司每月结合实际订单落地情况、 市场需求动态变化及库存周转情
况， 动态调整生产计划， 通过阶段性、 批次性下发生产工单组织生产， 既保障了常规产品的</x:v>
      </x:c>
      <x:c r="G20" s="6" t="str"/>
    </x:row>
    <x:row r="21" ht="214" customHeight="1">
      <x:c r="A21" s="6" t="str">
        <x:v>E05</x:v>
      </x:c>
      <x:c r="B21" s="6" t="str">
        <x:v>S03</x:v>
      </x:c>
      <x:c r="C21" s="11" t="n">
        <x:v>56</x:v>
      </x:c>
      <x:c r="D21" s="11" t="n">
        <x:v>1</x:v>
      </x:c>
      <x:c r="E21" s="6" t="str">
        <x:v>基地投资概算和全资实施主体</x:v>
      </x:c>
      <x:c r="F21" s="6" t="str">
        <x:v>1-1-56 
产业链智能制造基地的建设。 项目主要投资内容包括建筑工程费、 设备购置费等。公司进行
本次募投项目建设，主要依托长三角地区成熟的电子信息和高端装备产业链，引入数字化、
智能化、 绿色化设备及制造工艺， 搭建工业互联网平台、 部署智能工业大模型， 建设智慧仓
储系统， 探索建设智能机器人值守的无人产线， 提升公司全产业链的精益制造能力， 尝试打
造国产科学仪器的智能制造灯塔工厂。 本项目的实施将加速公司研发成果转化， 提高公司竞
争优势，符合公司长远发展规划。 
2、项目建设内容及周期 
本项目建设地点位于上海市松江区新桥镇工业区 XQ-24-003 号（SJC10031 单元 03-14）
地块，由新润路、新蟠路、03-13 地块以及 03-10 地块围合而成，拟新建海能基石科学仪器
智能制</x:v>
      </x:c>
      <x:c r="G21" s="6" t="str"/>
    </x:row>
    <x:row r="22" ht="265" customHeight="1">
      <x:c r="A22" s="6" t="str">
        <x:v>E05</x:v>
      </x:c>
      <x:c r="B22" s="6" t="str">
        <x:v>S03</x:v>
      </x:c>
      <x:c r="C22" s="11" t="n">
        <x:v>56</x:v>
      </x:c>
      <x:c r="D22" s="11" t="n">
        <x:v>2</x:v>
      </x:c>
      <x:c r="E22" s="6" t="str">
        <x:v>基地投资概算和全资实施主体</x:v>
      </x:c>
      <x:c r="F22" s="6" t="str">
        <x:v>造基地。 项目规划宗地总面积 14,694.24 平方米， 总投资19,506.59 万元， 主要建筑物
包括生产厂房、研发中心、管理中心、园区配套等。本项目总建设期为 2 年，在募集资金到
位前，公司将利用自有资金先行投入建设。 
3、项目投资估算 
本项目总投资额为 19,506.59 万元，具体投资估算情况如下： 
单位：万元 
序号 项目构成 项目投资额 拟使用募集资金额 
1 土地购置 1,508.00 - 
2 建筑工程费 15,618.23 8,899.9988 
3 设备购置费 1,757.16 - 
4 人员薪资 146.00 - 
5 铺底流动资金 477.20 - 
合计 19,506.59 8,899.9988 
4、实施主体、实施地点和实施进度安排 
（1）实施主体 </x:v>
      </x:c>
      <x:c r="G22" s="6" t="str"/>
    </x:row>
    <x:row r="23" ht="61" customHeight="1">
      <x:c r="A23" s="6" t="str">
        <x:v>E05</x:v>
      </x:c>
      <x:c r="B23" s="6" t="str">
        <x:v>S03</x:v>
      </x:c>
      <x:c r="C23" s="11" t="n">
        <x:v>56</x:v>
      </x:c>
      <x:c r="D23" s="11" t="n">
        <x:v>3</x:v>
      </x:c>
      <x:c r="E23" s="6" t="str">
        <x:v>基地投资概算和全资实施主体</x:v>
      </x:c>
      <x:c r="F23" s="6" t="str">
        <x:v>
项目实施主体为公司全资子公司海能基石技术有限公司。 
（2）实施地点 </x:v>
      </x:c>
      <x:c r="G23" s="6" t="str"/>
    </x:row>
    <x:row r="24" ht="265" customHeight="1">
      <x:c r="A24" s="6" t="str">
        <x:v>E06</x:v>
      </x:c>
      <x:c r="B24" s="6" t="str">
        <x:v>S03</x:v>
      </x:c>
      <x:c r="C24" s="11" t="n">
        <x:v>57</x:v>
      </x:c>
      <x:c r="D24" s="11" t="n">
        <x:v>1</x:v>
      </x:c>
      <x:c r="E24" s="6" t="str">
        <x:v>建设第二年设备采购安装调试进度</x:v>
      </x:c>
      <x:c r="F24" s="6" t="str">
        <x:v>1-1-57 
实施地点为上海市松江区新桥镇工业区。 
（3）实施进度安排 
本次募集资金投资项目预计建设周期为 2 年。 自董事会审议通过本项目后、 募集资金到
位前， 公司可根据实际经营需要通过自有资金先行投入。 募集资金到位后， 将用于置换先期
投入资金及支付项目剩余款项。 公司将根据法律法规及内部各项管理制度的要求， 及时履行
相应的外部程序。具体进度如下表所示： 
序
号 内容 
T+1 年 T+2 年 
Q1 Q2 Q3 Q4 Q1 Q2 Q3 Q4 
1 建筑建造及装修 △ △ △ △ △ △ △ △ 
2 设备采购及安装调试     △ △ △ △ 
3 人员招聘及培训        △ </x:v>
      </x:c>
      <x:c r="G24" s="6" t="str">
        <x:v>采购安装调试位于T+2年Q1至Q4，已目视核对原表。T没有对应的绝对日历年，不直接指定采购月份。</x:v>
      </x:c>
    </x:row>
    <x:row r="25" ht="248" customHeight="1">
      <x:c r="A25" s="6" t="str">
        <x:v>E06</x:v>
      </x:c>
      <x:c r="B25" s="6" t="str">
        <x:v>S03</x:v>
      </x:c>
      <x:c r="C25" s="11" t="n">
        <x:v>57</x:v>
      </x:c>
      <x:c r="D25" s="11" t="n">
        <x:v>2</x:v>
      </x:c>
      <x:c r="E25" s="6" t="str">
        <x:v>建设第二年设备采购安装调试进度</x:v>
      </x:c>
      <x:c r="F25" s="6" t="str">
        <x:v>
4 试运行       △ △ 
5 竣工验收        △ 
注：T 为计划建设年度，即 T+1 年 Q1 为建设起始的第一个季度。 
本次募投项目所取得土地、 房产和环保等手续以及其他所涉及审批或备案程序进展情况
如下： 
1）项目立项备案 
本次募投项目已于 2025 年 6 月 23 日获得上海市松江区发展和改革委员会备案， 备案的
项 目 上 海 代 码 为 310117MACH0RM4020251D3101001 ， 国 家 代 码 为
2506-310117-04-01-177021。 
2）项目涉及用地情况 
①土地使用权 
拟建地点位于上海市松江区，东至新润路，南至新蟠路，西至 03-13 地块，北至 03-10
地块，海能基石已取得“沪（2025）松字不动产权第 024468 号”不动</x:v>
      </x:c>
      <x:c r="G25" s="6" t="str">
        <x:v>采购安装调试位于T+2年Q1至Q4，已目视核对原表。T没有对应的绝对日历年，不直接指定采购月份。</x:v>
      </x:c>
    </x:row>
    <x:row r="26" ht="61" customHeight="1">
      <x:c r="A26" s="6" t="str">
        <x:v>E06</x:v>
      </x:c>
      <x:c r="B26" s="6" t="str">
        <x:v>S03</x:v>
      </x:c>
      <x:c r="C26" s="11" t="n">
        <x:v>57</x:v>
      </x:c>
      <x:c r="D26" s="11" t="n">
        <x:v>3</x:v>
      </x:c>
      <x:c r="E26" s="6" t="str">
        <x:v>建设第二年设备采购安装调试进度</x:v>
      </x:c>
      <x:c r="F26" s="6" t="str">
        <x:v>产权证书。 
②建设用地规划手续 
本次募投项目已于 2025 年 7 月 2 日取得上海市松江区规划和自然资源局颁发的“沪松</x:v>
      </x:c>
      <x:c r="G26" s="6" t="str">
        <x:v>采购安装调试位于T+2年Q1至Q4，已目视核对原表。T没有对应的绝对日历年，不直接指定采购月份。</x:v>
      </x:c>
    </x:row>
    <x:row r="27" ht="180" customHeight="1">
      <x:c r="A27" s="6" t="str">
        <x:v>E07</x:v>
      </x:c>
      <x:c r="B27" s="6" t="str">
        <x:v>S02</x:v>
      </x:c>
      <x:c r="C27" s="11" t="n">
        <x:v>11</x:v>
      </x:c>
      <x:c r="D27" s="11" t="n">
        <x:v>1</x:v>
      </x:c>
      <x:c r="E27" s="6" t="str">
        <x:v>自制车间及基地数字智能制造方向</x:v>
      </x:c>
      <x:c r="F27" s="6" t="str">
        <x:v>关键部件和上游供应链的生产加工能力直接影响产品的品质和可靠性。为了实现供应链体系自主可
控，减少上游供应链加工质量稳定性、一致性等问题对产品可靠性的不利影响，公司始终贯彻“全产
业链生产运营模式”，设立了机加工、模塑、核心部件、SMT、钣金、表面处理等车间和部门，掌握核
心制造环节及工艺技术，不断提升关键部件的质量和自产化率，提高产品研发效率、可靠性和供货及
时性；公司规划布局了上海“海能基石科学仪器智能制造基地项目”建设，引入数字化、智能化、自
动化设备及工艺，布署智能工业大模型，建设智慧仓储系统，尝试打造国产高端科学仪器的智能制造
“灯塔工厂”，推动“全产业链制造 V2.0”向全面数智化迈进。近年来，公司产品的可靠性和市场占
有率持续提升，为保持公司产品的高端仪器品牌定位构建壁垒。
全产业链制造流程图
全产</x:v>
      </x:c>
      <x:c r="G27" s="6" t="str"/>
    </x:row>
    <x:row r="28" ht="163" customHeight="1">
      <x:c r="A28" s="6" t="str">
        <x:v>E07</x:v>
      </x:c>
      <x:c r="B28" s="6" t="str">
        <x:v>S02</x:v>
      </x:c>
      <x:c r="C28" s="11" t="n">
        <x:v>11</x:v>
      </x:c>
      <x:c r="D28" s="11" t="n">
        <x:v>2</x:v>
      </x:c>
      <x:c r="E28" s="6" t="str">
        <x:v>自制车间及基地数字智能制造方向</x:v>
      </x:c>
      <x:c r="F28" s="6" t="str">
        <x:v>业链制造
在市场营销方面，公司按照不同的产品类别搭建了事业部制组织架构，采用直接销售和间接销售
相结合、以间接销售为主的销售模式开展经营活动，一方面，公司在国内20多个省份设立了销售或服
务网点，通过自有销售及售后服务团队直接面向终端用户，提供售前咨询、产品支持和售后服务；另
一方面，与贸易商合作进行市场开发，借助贸易商覆盖面广、熟悉本地市场、本地化服务便捷的优势，
快速响应市场需求，提升市场覆盖率；同时，通过甄选的全球战略合作伙伴，为海外用户提供高品质
的产品和服务。
报告期内，公司的主营业务、主要产品及服务与上一年度基本保持一致，公司商业模式未发生重
11</x:v>
      </x:c>
      <x:c r="G28" s="6" t="str"/>
    </x:row>
    <x:row r="29" ht="265" customHeight="1">
      <x:c r="A29" s="6" t="str">
        <x:v>E08</x:v>
      </x:c>
      <x:c r="B29" s="6" t="str">
        <x:v>S04</x:v>
      </x:c>
      <x:c r="C29" s="11" t="n">
        <x:v>2</x:v>
      </x:c>
      <x:c r="D29" s="11" t="n">
        <x:v>1</x:v>
      </x:c>
      <x:c r="E29" s="6" t="str">
        <x:v>自筹资金已投入及明确起算日期</x:v>
      </x:c>
      <x:c r="F29" s="6" t="str">
        <x:v>金净额84,838,325.83元低于原拟投入募集资金金额88,999,988.00元。根据《
北京证券交易所上市公司持续监管办法（试行）》《北京证券交易所股票上市
规则》《北京证券交易所上市公司持续监管指引第9号——募集资金管理》等相
关规定，以及公司发展规划和经营需要，公司决定在不改变募集资金用途的情
况下，对本次募投项目拟投入募集资金金额进行调整，具体调整如下：
单位：元
序号 项目名称 项目投资总额
拟使用募集资金
金额（调整前）
拟使用募集资金
金额（调整后）
1 海能基石科学仪器智能
制造基地项目 195,065,900.00 88,999,988.00 84,838,325.83
合计 195,065,900.00 88,999,988.00 84,838,325.83
三、以自筹资金预先投入募投</x:v>
      </x:c>
      <x:c r="G29" s="6" t="str"/>
    </x:row>
    <x:row r="30" ht="265" customHeight="1">
      <x:c r="A30" s="6" t="str">
        <x:v>E08</x:v>
      </x:c>
      <x:c r="B30" s="6" t="str">
        <x:v>S04</x:v>
      </x:c>
      <x:c r="C30" s="11" t="n">
        <x:v>2</x:v>
      </x:c>
      <x:c r="D30" s="11" t="n">
        <x:v>2</x:v>
      </x:c>
      <x:c r="E30" s="6" t="str">
        <x:v>自筹资金已投入及明确起算日期</x:v>
      </x:c>
      <x:c r="F30" s="6" t="str">
        <x:v>项目及已支付发行费用情况及置换安排
（一）以自筹资金预先投入募集资金投资项目情况
募集资金投资项目在募集资金实际到位之前已由公司以自筹资金先行投入，
截至2026年7月29日，公司以自筹资金预先投入募投项目的实际投资金额共计
5,732,669.52元，本次拟使用募集资金 置换预先已投入募投项目的金额为
5,732,669.52元。具体情况如下：
单位：元
序号 项目名称 拟使用募集资金金
额（调整后）
自筹资金预先投入
金额 拟置换金额
1 海能基石科学仪器智能
制造基地项目 84,838,325.83 5,732,669.52 5,732,669.52
合计 84,838,325.83 5,732,669.52 5,732,669.52
注：上表所列募投项目已经公司2026年4月27日召开的第五届董事会第十</x:v>
      </x:c>
      <x:c r="G30" s="6" t="str"/>
    </x:row>
    <x:row r="31" ht="231" customHeight="1">
      <x:c r="A31" s="6" t="str">
        <x:v>E08</x:v>
      </x:c>
      <x:c r="B31" s="6" t="str">
        <x:v>S04</x:v>
      </x:c>
      <x:c r="C31" s="11" t="n">
        <x:v>2</x:v>
      </x:c>
      <x:c r="D31" s="11" t="n">
        <x:v>3</x:v>
      </x:c>
      <x:c r="E31" s="6" t="str">
        <x:v>自筹资金已投入及明确起算日期</x:v>
      </x:c>
      <x:c r="F31" s="6" t="str">
        <x:v>四次临时会议审议
通过，故本次自筹资金实际已投入金额自2026年第五届董事会第十四次临时会议通过日
2026年4月27日起计算。
（二）以自筹资金预先支付发行费用情况
公司本次发行的各项发行费用合计4,161,662.17元（不含增值税），在募
集资金到位前，公司已用自筹资金支付的发行费用金额为391,778.64元（不含
增值税），本次拟使用募集资金置换已支付发行费用的金额为391,778.64元（
不含增值税）。具体情况如下：
单位：元
序号 发行费用类别 自筹资金预先支付金额
（不含税）
拟置换金额
（不含税）</x:v>
      </x:c>
      <x:c r="G31" s="6" t="str"/>
    </x:row>
    <x:row r="32" ht="180" customHeight="1">
      <x:c r="A32" s="6" t="str">
        <x:v>E09</x:v>
      </x:c>
      <x:c r="B32" s="6" t="str">
        <x:v>S03</x:v>
      </x:c>
      <x:c r="C32" s="11" t="n">
        <x:v>55</x:v>
      </x:c>
      <x:c r="D32" s="11" t="n">
        <x:v>1</x:v>
      </x:c>
      <x:c r="E32" s="6" t="str">
        <x:v>已支付土地设计等前期费</x:v>
      </x:c>
      <x:c r="F32" s="6" t="str">
        <x:v>1-1-55 
2025 年 12 月 11 日，公司召开第五届董事会第十一次临时会议，审议通过了《关于募
集资金投资项目结项并将节余募集资金永久补充流动资金的议案》 ， 同意公司将募投项目结
项后的节余募集资金 （包含理财收益和利息收入扣除手续费支出后的净额， 具体金额以资金
转出当日银行结息余额为准）永久补充流动资金，用于公司日常经营及业务发展等方面。 
截至 2025 年 12 月 30 日，公司已将募投项目结项后的节余募集资金（含利息）
30,049,234.50 元转入公司一般银行账户， 公司全资子公司山东海能在招商银行济南分行设立
的募集资金专户（银行账号：531904881510333）已注销。公司及全资子公司山东海能与东
方证券承销保荐有限公司、 招商银行济南分行签订的 《募集资金专户四方监</x:v>
      </x:c>
      <x:c r="G32" s="6" t="str"/>
    </x:row>
    <x:row r="33" ht="265" customHeight="1">
      <x:c r="A33" s="6" t="str">
        <x:v>E09</x:v>
      </x:c>
      <x:c r="B33" s="6" t="str">
        <x:v>S03</x:v>
      </x:c>
      <x:c r="C33" s="11" t="n">
        <x:v>55</x:v>
      </x:c>
      <x:c r="D33" s="11" t="n">
        <x:v>2</x:v>
      </x:c>
      <x:c r="E33" s="6" t="str">
        <x:v>已支付土地设计等前期费</x:v>
      </x:c>
      <x:c r="F33" s="6" t="str">
        <x:v>管协议》 相应终
止。截至 2026 年 3 月 31 日，对应流动资金已使用完毕。 
（八）前次募集资金实际使用情况与已公开披露的信息对照情况 
截至 2026 年 3 月 31 日， 公司前次募集资金实际使用情况与公司各年度定期报告和其他
信息披露文件中的内容不存在差异。 
八、募集资金用途及募集资金的必要性、合理性、可行性 
序号 募集资金用途 投入资金总额（万元） 拟投入本次募集资金
（万元） 
1 项目建设 19,506.59 8,899.9988 
合计 19,506.59 8,899.9988 
注：截至 2026 年 6 月 26 日已支付 2,465.35 万元， 用于土地使用权、 设计费等项目前期费用 
(一) 募集资金用于补充流动资金 
□适用 √不适用  
(二) 募集资金用于偿还银</x:v>
      </x:c>
      <x:c r="G33" s="6" t="str"/>
    </x:row>
    <x:row r="34" ht="180" customHeight="1">
      <x:c r="A34" s="6" t="str">
        <x:v>E09</x:v>
      </x:c>
      <x:c r="B34" s="6" t="str">
        <x:v>S03</x:v>
      </x:c>
      <x:c r="C34" s="11" t="n">
        <x:v>55</x:v>
      </x:c>
      <x:c r="D34" s="11" t="n">
        <x:v>3</x:v>
      </x:c>
      <x:c r="E34" s="6" t="str">
        <x:v>已支付土地设计等前期费</x:v>
      </x:c>
      <x:c r="F34" s="6" t="str">
        <x:v>行贷款/借款 
□适用 √不适用  
(三) 募集资金用于项目建设 
√适用 □不适用  
本次发行募集资金中有 88,999,988.00 元拟用于海能基石科学仪器智能制造基地项目项目
建设。 
1、项目概述 
本项目总投资额 19,506.59 万元，由全资子公司海能基石技术有限公司负责实施，项目
实施地点位于上海市松江区， 规划建设周期为2 年， 拟进行公司区域总部、 研发中心及核心</x:v>
      </x:c>
      <x:c r="G34" s="6" t="str"/>
    </x:row>
    <x:row r="35" ht="265" customHeight="1">
      <x:c r="A35" s="6" t="str">
        <x:v>E10</x:v>
      </x:c>
      <x:c r="B35" s="6" t="str">
        <x:v>S01</x:v>
      </x:c>
      <x:c r="C35" s="11" t="n">
        <x:v>161</x:v>
      </x:c>
      <x:c r="D35" s="11" t="n">
        <x:v>1</x:v>
      </x:c>
      <x:c r="E35" s="6" t="str">
        <x:v>关联服务采购</x:v>
      </x:c>
      <x:c r="F35" s="6" t="str">
        <x:v>4、其他关联方
自2025年4月18日起，Imspex Diagnostics Limited作为控股子公司处置已超过12个
月，不再作为关联方披露。
（二） 关联交易
1、购销商品、提供和接受劳务的关联交易
（1）采购商品/接受劳务
关联方 关联交易内容 本年发生额 上年发生额
仪学科技（广州）有限公司 市场推广费 43,813.20 125,896.23
Imspex Diagnostics Limited 采购仪器、材料 1,678,190.33
合计 43,813.20 1,804,086.56
（2）销售商品/提供劳务
关联交易内容 本年发生额 上年发生额
关联方
上海安杰智创科技股份有限公司 销售材料 12,349.56
仪学（广州）供应链管理有限公司 销售材料 53,805.31</x:v>
      </x:c>
      <x:c r="G35" s="6" t="str"/>
    </x:row>
    <x:row r="36" ht="265" customHeight="1">
      <x:c r="A36" s="6" t="str">
        <x:v>E10</x:v>
      </x:c>
      <x:c r="B36" s="6" t="str">
        <x:v>S01</x:v>
      </x:c>
      <x:c r="C36" s="11" t="n">
        <x:v>161</x:v>
      </x:c>
      <x:c r="D36" s="11" t="n">
        <x:v>2</x:v>
      </x:c>
      <x:c r="E36" s="6" t="str">
        <x:v>关联服务采购</x:v>
      </x:c>
      <x:c r="F36" s="6" t="str">
        <x:v>
Imspex Diagnostics Limited 销售仪器 503,390.15
合计 12,349.56 557,195.46
2、关联租赁情况
出租情况
本年确认的租 上年确认的租
承租方名称 租赁资产种类
赁收入 赁收入
白小白智能制造（山东）有限公司 房屋建筑物 23,022.31
合计 23,022.31
注：上年确认的租赁收入租赁期间为2024年1月1日至2024年5月10日。
3、关联担保情况：无。
4、关键管理人员薪酬
项目名称 本年发生额 上年发生额
薪酬合计 7,563,549.55 9,060,378.64</x:v>
      </x:c>
      <x:c r="G36" s="6" t="str"/>
    </x:row>
    <x:row r="37" ht="78" customHeight="1">
      <x:c r="A37" s="6" t="str">
        <x:v>E10</x:v>
      </x:c>
      <x:c r="B37" s="6" t="str">
        <x:v>S01</x:v>
      </x:c>
      <x:c r="C37" s="11" t="n">
        <x:v>161</x:v>
      </x:c>
      <x:c r="D37" s="11" t="n">
        <x:v>3</x:v>
      </x:c>
      <x:c r="E37" s="6" t="str">
        <x:v>关联服务采购</x:v>
      </x:c>
      <x:c r="F37" s="6" t="str">
        <x:v>
（三） 关联方应收应付余额
1、应收项目
160</x:v>
      </x:c>
      <x:c r="G37" s="6" t="str"/>
    </x:row>
    <x:row r="38" ht="197" customHeight="1">
      <x:c r="A38" s="6" t="str">
        <x:v>E11</x:v>
      </x:c>
      <x:c r="B38" s="6" t="str">
        <x:v>S03</x:v>
      </x:c>
      <x:c r="C38" s="11" t="n">
        <x:v>66</x:v>
      </x:c>
      <x:c r="D38" s="11" t="n">
        <x:v>1</x:v>
      </x:c>
      <x:c r="E38" s="6" t="str">
        <x:v>供应商付款结算周期变短</x:v>
      </x:c>
      <x:c r="F38" s="6" t="str">
        <x:v>1-1-66 
报告期各期末， 公司商誉账面价值均为8,040.97 万元， 占期末资产总额的比例为14.35%、
13.93%和 14.27%。2024 年度，公司商誉减值损失-432.92 万元，系公司 2023 年非同一控制
下企业合并的济南海森分析仪器有限公司、 天津海胜能光科技有限责任公司， 其所处的药品
检验检测领域、 近红外光谱领域行业竞争加剧， 两家子公司盈利均未达预期， 未来现金流预
测下调，触发减值情形，对其分别计提商誉减值准备 250.53 万元和 182.40 万元。2025 年度
和 2026 年 1-3 月，公司收购其他的子公司不存在触发商誉减值的情形，未计提商誉减值准
备。 
7、应付账款 
报告期各期末，公司应付账款账面余额分别 1,870.29 万元、1,300.00 万元</x:v>
      </x:c>
      <x:c r="G38" s="6" t="str"/>
    </x:row>
    <x:row r="39" ht="214" customHeight="1">
      <x:c r="A39" s="6" t="str">
        <x:v>E11</x:v>
      </x:c>
      <x:c r="B39" s="6" t="str">
        <x:v>S03</x:v>
      </x:c>
      <x:c r="C39" s="11" t="n">
        <x:v>66</x:v>
      </x:c>
      <x:c r="D39" s="11" t="n">
        <x:v>2</x:v>
      </x:c>
      <x:c r="E39" s="6" t="str">
        <x:v>供应商付款结算周期变短</x:v>
      </x:c>
      <x:c r="F39" s="6" t="str">
        <x:v>和 1,237.19 万
元，占期末负债总额的比例为 21.09%、9.83%和 10.21%。公司应付账款主要为供应商材料
款，2025 年末应付账款余额较 2024 年末减少 30.49%，主要系由于公司对供应商付款结算
周期变短所致。 
截至 2026 年 3 月末，公司不存在财务性投资的情形。 
（二）利润表主要科目变动分析 
1、营业收入 
报告期各期， 公司营业收入分别为31,026.34 万元、36,185.02 万元和 6,642.45 万元。2025
年度和 2026 年 1-3 月， 公司营业收入同比增长16.63%和 19.69%。 公司营业收入主要来源于
有机元素分析、色谱光谱、样品前处理、通用仪器为主的四大产品系列。报告期内，公司重
点布局“悟空”品牌高效液相色谱仪、 “GAS”品牌气</x:v>
      </x:c>
      <x:c r="G39" s="6" t="str"/>
    </x:row>
    <x:row r="40" ht="197" customHeight="1">
      <x:c r="A40" s="6" t="str">
        <x:v>E11</x:v>
      </x:c>
      <x:c r="B40" s="6" t="str">
        <x:v>S03</x:v>
      </x:c>
      <x:c r="C40" s="11" t="n">
        <x:v>66</x:v>
      </x:c>
      <x:c r="D40" s="11" t="n">
        <x:v>3</x:v>
      </x:c>
      <x:c r="E40" s="6" t="str">
        <x:v>供应商付款结算周期变短</x:v>
      </x:c>
      <x:c r="F40" s="6" t="str">
        <x:v>相色谱-离子迁移谱联用仪两大系列产
品，向系统复杂、技术含量更高、应用范围广、市场空间大的高端色谱仪器领域拓展，为公
司业绩持续增长提供新动力。 
2、毛利率 
报告期各期，公司毛利率分别为 64.59%、65.04%和 62.99%，整体保持稳定。公司综合
毛利率变动主要受到收入结构影响，各产品系列中的细分产品毛利率存在一定差异。 
3、净利润 
报告期各期，公司实现的归属于上市公司股东的净利润分别为 1,307.17 万元、4,212.97
万元和-28.51 万元，2025 年度和 2026 年 1-3 月较去年同期分别增长 2,905.80 万元和 23.43
万元。报告期内，公司归母净利润整体保持增长趋势，主要是因为公司营业收入增长所致。 </x:v>
      </x:c>
      <x:c r="G40" s="6" t="str"/>
    </x:row>
    <x:row r="44">
      <x:c r="A44" t="str">
        <x:v>原始文件索引（披露日按官网目录，不按文件夹日期）</x:v>
      </x:c>
    </x:row>
    <x:row r="45" ht="42" customHeight="1">
      <x:c r="A45" s="8" t="str">
        <x:v>来源ID</x:v>
      </x:c>
      <x:c r="B45" s="8" t="str">
        <x:v>来源平台</x:v>
      </x:c>
      <x:c r="C45" s="8" t="str">
        <x:v>PDF页数</x:v>
      </x:c>
      <x:c r="D45" s="8" t="str">
        <x:v>披露日</x:v>
      </x:c>
      <x:c r="E45" s="8" t="str">
        <x:v>文件名称</x:v>
      </x:c>
      <x:c r="F45" s="8" t="str">
        <x:v>原始URL</x:v>
      </x:c>
      <x:c r="G45" s="8" t="str">
        <x:v>核验说明</x:v>
      </x:c>
    </x:row>
    <x:row r="46" ht="95" customHeight="1">
      <x:c r="A46" s="6" t="str">
        <x:v>S01</x:v>
      </x:c>
      <x:c r="B46" s="6" t="str">
        <x:v>企业官网</x:v>
      </x:c>
      <x:c r="C46" s="6" t="n">
        <x:v>175</x:v>
      </x:c>
      <x:c r="D46" s="12" t="d">
        <x:v>2026-03-16T00:00:00.000Z</x:v>
      </x:c>
      <x:c r="E46" s="6" t="str">
        <x:v>2025年年度报告</x:v>
      </x:c>
      <x:c r="F46" s="6" t="str">
        <x:v>https://www.hanon.cc/uploads/image/20260317/1773731035.pdf</x:v>
      </x:c>
      <x:c r="G46" s="6" t="str">
        <x:v>原始PDF已归档及校验SHA256。</x:v>
      </x:c>
    </x:row>
    <x:row r="47" ht="95" customHeight="1">
      <x:c r="A47" s="6" t="str">
        <x:v>S02</x:v>
      </x:c>
      <x:c r="B47" s="6" t="str">
        <x:v>企业官网</x:v>
      </x:c>
      <x:c r="C47" s="6" t="n">
        <x:v>132</x:v>
      </x:c>
      <x:c r="D47" s="12" t="d">
        <x:v>2026-08-17T00:00:00.000Z</x:v>
      </x:c>
      <x:c r="E47" s="6" t="str">
        <x:v>2026年半年度报告</x:v>
      </x:c>
      <x:c r="F47" s="6" t="str">
        <x:v>https://www.hanon.cc/uploads/image/20260818/1787022190.pdf</x:v>
      </x:c>
      <x:c r="G47" s="6" t="str">
        <x:v>原始PDF已归档及校验SHA256。</x:v>
      </x:c>
    </x:row>
    <x:row r="48" ht="95" customHeight="1">
      <x:c r="A48" s="6" t="str">
        <x:v>S03</x:v>
      </x:c>
      <x:c r="B48" s="6" t="str">
        <x:v>企业官网</x:v>
      </x:c>
      <x:c r="C48" s="6" t="n">
        <x:v>92</x:v>
      </x:c>
      <x:c r="D48" s="12" t="d">
        <x:v>2026-07-21T00:00:00.000Z</x:v>
      </x:c>
      <x:c r="E48" s="6" t="str">
        <x:v>2026年度以简易程序向特定对象发行股票募集说明书（PDF封面为申报稿）</x:v>
      </x:c>
      <x:c r="F48" s="6" t="str">
        <x:v>https://www.hanon.cc/uploads/image/20260722/1784690796.pdf</x:v>
      </x:c>
      <x:c r="G48" s="6" t="str">
        <x:v>实际PDF封面为申报稿；来源目录2026-07-21，保持正文真实版本。</x:v>
      </x:c>
    </x:row>
    <x:row r="49" ht="95" customHeight="1">
      <x:c r="A49" s="6" t="str">
        <x:v>S04</x:v>
      </x:c>
      <x:c r="B49" s="6" t="str">
        <x:v>企业官网</x:v>
      </x:c>
      <x:c r="C49" s="6" t="n">
        <x:v>4</x:v>
      </x:c>
      <x:c r="D49" s="12" t="d">
        <x:v>2026-09-03T00:00:00.000Z</x:v>
      </x:c>
      <x:c r="E49" s="6" t="str">
        <x:v>关于使用募集资金置换预先已投入募投项目及已支付发行费用的自筹资金的公告</x:v>
      </x:c>
      <x:c r="F49" s="6" t="str">
        <x:v>https://www.hanon.cc/uploads/image/20260904/1788492348.pdf</x:v>
      </x:c>
      <x:c r="G49" s="6" t="str">
        <x:v>原始PDF已归档及校验SHA256。</x:v>
      </x:c>
    </x:row>
    <x:row r="50" ht="95" customHeight="1">
      <x:c r="A50" s="6" t="str">
        <x:v>S05</x:v>
      </x:c>
      <x:c r="B50" s="6" t="str">
        <x:v>企业官网</x:v>
      </x:c>
      <x:c r="C50" s="6" t="n">
        <x:v>5</x:v>
      </x:c>
      <x:c r="D50" s="12" t="d">
        <x:v>2026-09-03T00:00:00.000Z</x:v>
      </x:c>
      <x:c r="E50" s="6" t="str">
        <x:v>关于使用募集资金向全资子公司实缴出资及提供借款以实施募投项目的公告</x:v>
      </x:c>
      <x:c r="F50" s="6" t="str">
        <x:v>https://hanon.cc/uploads/image/20260904/1788489880.pdf</x:v>
      </x:c>
      <x:c r="G50" s="6" t="str">
        <x:v>原始PDF已归档及校验SHA256。</x:v>
      </x:c>
    </x:row>
  </x:sheetData>
  <x:pageMargins left="0.7" right="0.7" top="0.75" bottom="0.75" header="0.3" footer="0.3"/>
  <x:tableParts count="2">
    <x:tablePart xmlns:r="http://schemas.openxmlformats.org/officeDocument/2006/relationships" r:id="R255be690521a4302"/>
    <x:tablePart xmlns:r="http://schemas.openxmlformats.org/officeDocument/2006/relationships" r:id="R045f305273114abf"/>
  </x:tableParts>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55" hidden="0" customWidth="1"/>
    <x:col min="2" max="2" width="82" hidden="0" customWidth="1"/>
    <x:col min="3" max="3" width="25" hidden="0" customWidth="1"/>
    <x:col min="4" max="4" width="155" hidden="0" customWidth="1"/>
  </x:cols>
  <x:sheetData>
    <x:row r="2" ht="29" customHeight="1">
      <x:c r="A2" s="2" t="str">
        <x:v>平台覆盖与买方角色清洗</x:v>
      </x:c>
      <x:c r="B2" s="2"/>
      <x:c r="C2" s="2"/>
      <x:c r="D2" s="2"/>
    </x:row>
    <x:row r="3" ht="24" customHeight="1">
      <x:c r="A3" s="3" t="str">
        <x:v>已核验直接采购公告0条；不是企业采购次数为0。第三方承包商采购均排除。</x:v>
      </x:c>
      <x:c r="B3" s="3"/>
      <x:c r="C3" s="3"/>
      <x:c r="D3" s="3"/>
    </x:row>
    <x:row r="5" ht="42" customHeight="1">
      <x:c r="A5" s="9" t="str">
        <x:v>平台</x:v>
      </x:c>
      <x:c r="B5" s="9" t="str">
        <x:v>核查方式</x:v>
      </x:c>
      <x:c r="C5" s="9" t="str">
        <x:v>合格公告数</x:v>
      </x:c>
      <x:c r="D5" s="9" t="str">
        <x:v>覆盖限制</x:v>
      </x:c>
    </x:row>
    <x:row r="6" ht="42" customHeight="1">
      <x:c r="A6" s="6" t="str">
        <x:v>中国采购与招标网</x:v>
      </x:c>
      <x:c r="B6" s="6" t="str">
        <x:v>配置搜索服务定向检索</x:v>
      </x:c>
      <x:c r="C6" s="11" t="n">
        <x:v>0</x:v>
      </x:c>
      <x:c r="D6" s="6" t="str">
        <x:v>该查询返回站点首页及无关采购页，未获得目标企业直接公告；不等于平台全量无记录。</x:v>
      </x:c>
    </x:row>
    <x:row r="7" ht="42" customHeight="1">
      <x:c r="A7" s="6" t="str">
        <x:v>千里马</x:v>
      </x:c>
      <x:c r="B7" s="6" t="str">
        <x:v>配置搜索服务定向检索</x:v>
      </x:c>
      <x:c r="C7" s="11" t="n">
        <x:v>0</x:v>
      </x:c>
      <x:c r="D7" s="6" t="str">
        <x:v>查询结果含首页、无关仪器设备采购页，未获得目标企业直接公告；未登录站内高级检索。</x:v>
      </x:c>
    </x:row>
    <x:row r="8" ht="42" customHeight="1">
      <x:c r="A8" s="6" t="str">
        <x:v>剑鱼</x:v>
      </x:c>
      <x:c r="B8" s="6" t="str">
        <x:v>配置搜索服务定向检索</x:v>
      </x:c>
      <x:c r="C8" s="11" t="n">
        <x:v>0</x:v>
      </x:c>
      <x:c r="D8" s="6" t="str">
        <x:v>查询返回目录页及官方募投PDF，未获得目标企业直接公告。</x:v>
      </x:c>
    </x:row>
    <x:row r="9" ht="42" customHeight="1">
      <x:c r="A9" s="6" t="str">
        <x:v>必联网</x:v>
      </x:c>
      <x:c r="B9" s="6" t="str">
        <x:v>配置搜索服务定向检索</x:v>
      </x:c>
      <x:c r="C9" s="11" t="n">
        <x:v>0</x:v>
      </x:c>
      <x:c r="D9" s="6" t="str">
        <x:v>搜索覆盖上海新仪/山东海能名称，但结果系上海仪创港等非目标采购人；未核查登录数据库。</x:v>
      </x:c>
    </x:row>
    <x:row r="10" ht="42" customHeight="1">
      <x:c r="A10" s="6" t="str">
        <x:v>乙方宝</x:v>
      </x:c>
      <x:c r="B10" s="6" t="str">
        <x:v>配置搜索服务定向检索</x:v>
      </x:c>
      <x:c r="C10" s="11" t="n">
        <x:v>0</x:v>
      </x:c>
      <x:c r="D10" s="6" t="str">
        <x:v>4条海能基石相关工地公告全部是第三方中铁建工链条采购，2条买方由公开HTML metadata核实；正文与附件存在会员限制。</x:v>
      </x:c>
    </x:row>
    <x:row r="11" ht="42" customHeight="1">
      <x:c r="A11" s="6" t="str">
        <x:v>中国国际招标网</x:v>
      </x:c>
      <x:c r="B11" s="6" t="str">
        <x:v>配置搜索服务定向检索</x:v>
      </x:c>
      <x:c r="C11" s="11" t="n">
        <x:v>0</x:v>
      </x:c>
      <x:c r="D11" s="6" t="str">
        <x:v>覆盖悟空仪器/上海新仪/海能未来名称，返回其他招标人仪器设备采购，未获直接公告。</x:v>
      </x:c>
    </x:row>
    <x:row r="12" ht="42" customHeight="1">
      <x:c r="A12" s="6" t="str">
        <x:v>中国政府采购网</x:v>
      </x:c>
      <x:c r="B12" s="6" t="str">
        <x:v>公开索引定向检索，5条结果槽位</x:v>
      </x:c>
      <x:c r="C12" s="11" t="n">
        <x:v>0</x:v>
      </x:c>
      <x:c r="D12" s="6" t="str">
        <x:v>结果采购方均未确认属于海能；非平台全量数据库检索。证据归档main_search_ccgp.json</x:v>
      </x:c>
    </x:row>
    <x:row r="13" ht="42" customHeight="1">
      <x:c r="A13" s="6" t="str">
        <x:v>全国公共资源交易平台</x:v>
      </x:c>
      <x:c r="B13" s="6" t="str">
        <x:v>公开索引定向检索，5条结果槽位</x:v>
      </x:c>
      <x:c r="C13" s="11" t="n">
        <x:v>0</x:v>
      </x:c>
      <x:c r="D13" s="6" t="str">
        <x:v>结果采购方均未确认属于海能；非平台全量数据库检索。证据归档main_search_ggzy.json</x:v>
      </x:c>
    </x:row>
    <x:row r="14" ht="42" customHeight="1">
      <x:c r="A14" s="6" t="str">
        <x:v>中国招标投标公共服务平台</x:v>
      </x:c>
      <x:c r="B14" s="6" t="str">
        <x:v>公开索引定向检索，5条结果槽位</x:v>
      </x:c>
      <x:c r="C14" s="11" t="n">
        <x:v>0</x:v>
      </x:c>
      <x:c r="D14" s="6" t="str">
        <x:v>结果采购方均未确认属于海能；非平台全量数据库检索。证据归档main_search_cebpub.json</x:v>
      </x:c>
    </x:row>
    <x:row r="15" ht="42" customHeight="1">
      <x:c r="A15" s="6" t="str">
        <x:v>上海市建设工程官方交易入口</x:v>
      </x:c>
      <x:c r="B15" s="6" t="str">
        <x:v>读取已知官网及真实公告入口</x:v>
      </x:c>
      <x:c r="C15" s="11" t="n">
        <x:v>0</x:v>
      </x:c>
      <x:c r="D15" s="6" t="str">
        <x:v>公告入口只返回加载壳；未取得列表，不代表没有直接项目公告。</x:v>
      </x:c>
    </x:row>
    <x:row r="16" ht="42" customHeight="1">
      <x:c r="A16" s="6" t="str">
        <x:v>上市公司原始披露</x:v>
      </x:c>
      <x:c r="B16" s="6" t="str">
        <x:v>年报、半年报、募集说明书、资金投入公告</x:v>
      </x:c>
      <x:c r="C16" s="6"/>
      <x:c r="D16" s="6" t="str">
        <x:v>获得年度采购汇总及采购模式/计划；没有具体采购型号数量。</x:v>
      </x:c>
    </x:row>
    <x:row r="20">
      <x:c r="A20" t="str">
        <x:v>排除审计：项目名含海能不能证明海能是采购人</x:v>
      </x:c>
    </x:row>
    <x:row r="21" ht="40" customHeight="1">
      <x:c r="A21" s="8" t="str">
        <x:v>相关公告</x:v>
      </x:c>
      <x:c r="B21" s="8" t="str">
        <x:v>实际采购人或待核角色</x:v>
      </x:c>
      <x:c r="C21" s="8" t="str">
        <x:v>排除性质</x:v>
      </x:c>
      <x:c r="D21" s="8" t="str">
        <x:v>理由</x:v>
      </x:c>
    </x:row>
    <x:row r="22" ht="115" customHeight="1">
      <x:c r="A22" s="6" t="str">
        <x:v>海能基石科学仪器智能制造基地项目施工总承包盘扣租赁中标结果公示</x:v>
      </x:c>
      <x:c r="B22" s="6" t="str">
        <x:v>中铁建工集团第二建设有限公司</x:v>
      </x:c>
      <x:c r="C22" s="6" t="str">
        <x:v>承包商自行采购</x:v>
      </x:c>
      <x:c r="D22" s="6" t="str">
        <x:v>公告明确采购/招标人为中铁建工，并非海能集团或控股子公司。</x:v>
      </x:c>
    </x:row>
    <x:row r="23" ht="115" customHeight="1">
      <x:c r="A23" s="6" t="str">
        <x:v>海能基石科学仪器智能制造基地项目施工总承包保安竞争性谈判</x:v>
      </x:c>
      <x:c r="B23" s="6" t="str">
        <x:v>中铁建工集团第二建设有限公司</x:v>
      </x:c>
      <x:c r="C23" s="6" t="str">
        <x:v>承包商自行采购</x:v>
      </x:c>
      <x:c r="D23" s="6" t="str">
        <x:v>转载正文列明中铁建工集团第二建设有限公司，具体原始附件为登录隐藏；仅作排除审计。</x:v>
      </x:c>
    </x:row>
    <x:row r="24" ht="115" customHeight="1">
      <x:c r="A24" s="6" t="str">
        <x:v>中铁建工集团有限公司海能基石科学仪器智能制造基地项目施工总承包主体结构工程招标公告-乙方宝官网</x:v>
      </x:c>
      <x:c r="B24" s="6" t="str">
        <x:v>中铁建工集团有限公司</x:v>
      </x:c>
      <x:c r="C24" s="6" t="str">
        <x:v>标题明确为中铁建工发布，原文指向总包施工后的劳务分包；海能基石是建设单位而非本次直接采购人。</x:v>
      </x:c>
      <x:c r="D24" s="6" t="str">
        <x:v>标题明确为中铁建工发布，原文指向总包施工后的劳务分包；海能基石是建设单位而非本次直接采购人。</x:v>
      </x:c>
    </x:row>
    <x:row r="25" ht="115" customHeight="1">
      <x:c r="A25" s="6" t="str">
        <x:v>中铁建工集团有限公司海能基石科学仪器智能制造基地项目施工总承包试验检测-乙方宝官网</x:v>
      </x:c>
      <x:c r="B25" s="6" t="str">
        <x:v>中铁建工集团有限公司</x:v>
      </x:c>
      <x:c r="C25" s="6" t="str">
        <x:v>公告标题显示买方为中铁建工集团施工总包方；不得计为海能自身检测服务采购。</x:v>
      </x:c>
      <x:c r="D25" s="6" t="str">
        <x:v>公告标题显示买方为中铁建工集团施工总包方；不得计为海能自身检测服务采购。</x:v>
      </x:c>
    </x:row>
    <x:row r="26" ht="115" customHeight="1">
      <x:c r="A26" s="6" t="str">
        <x:v>海能基石科学仪器智能制造基地项目土石方工程招标-乙方宝官网</x:v>
      </x:c>
      <x:c r="B26" s="6" t="str">
        <x:v>中铁建工集团第二建设有限公司</x:v>
      </x:c>
      <x:c r="C26" s="6" t="str">
        <x:v>公开HTML的meta description明确采购单位为中铁建工集团第二建设有限公司；海能项目名不等于海能作为采购人。</x:v>
      </x:c>
      <x:c r="D26" s="6" t="str">
        <x:v>公开HTML的meta description明确采购单位为中铁建工集团第二建设有限公司；海能项目名不等于海能作为采购人。</x:v>
      </x:c>
    </x:row>
    <x:row r="27" ht="115" customHeight="1">
      <x:c r="A27" s="6" t="str">
        <x:v>海能基石科学仪器智能制造基地项目土石方工程招标-乙方宝官网</x:v>
      </x:c>
      <x:c r="B27" s="6" t="str">
        <x:v>中铁建工集团第二建设有限公司</x:v>
      </x:c>
      <x:c r="C27" s="6" t="str">
        <x:v>公开HTML的meta description明确采购单位为中铁建工集团第二建设有限公司；海能项目名不等于海能作为采购人。</x:v>
      </x:c>
      <x:c r="D27" s="6" t="str">
        <x:v>公开HTML的meta description明确采购单位为中铁建工集团第二建设有限公司；海能项目名不等于海能作为采购人。</x:v>
      </x:c>
    </x:row>
    <x:row r="28" ht="115" customHeight="1">
      <x:c r="A28" s="6" t="str">
        <x:v>海能未来2026年度募集资金使用可行性分析报告（修订稿）</x:v>
      </x:c>
      <x:c r="B28" s="6" t="str">
        <x:v>海能基石技术有限公司</x:v>
      </x:c>
      <x:c r="C28" s="6" t="str">
        <x:v>投资概算/募投计划，不是采购公告或已成交合同，设备购置1757.16万元不得当作最近一年实际采购额。</x:v>
      </x:c>
      <x:c r="D28" s="6" t="str">
        <x:v>投资概算/募投计划，不是采购公告或已成交合同，设备购置1757.16万元不得当作最近一年实际采购额。</x:v>
      </x:c>
    </x:row>
  </x:sheetData>
  <x:pageMargins left="0.7" right="0.7" top="0.75" bottom="0.75" header="0.3" footer="0.3"/>
  <x:tableParts count="2">
    <x:tablePart xmlns:r="http://schemas.openxmlformats.org/officeDocument/2006/relationships" r:id="R6fd3178f731d42ea"/>
    <x:tablePart xmlns:r="http://schemas.openxmlformats.org/officeDocument/2006/relationships" r:id="R1912d20f4447450c"/>
  </x:tableParts>
</x:worksheet>
</file>