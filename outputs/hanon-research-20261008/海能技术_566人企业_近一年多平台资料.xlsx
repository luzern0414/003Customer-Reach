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e38bb6170e4824" /></Relationships>
</file>

<file path=xl/workbook.xml><?xml version="1.0" encoding="utf-8"?>
<x:workbook xmlns:x="http://schemas.openxmlformats.org/spreadsheetml/2006/main">
  <x:sheets>
    <x:sheet xmlns:r="http://schemas.openxmlformats.org/officeDocument/2006/relationships" name="概览" sheetId="1" r:id="Ra67ca6c8ee754f2d"/>
    <x:sheet xmlns:r="http://schemas.openxmlformats.org/officeDocument/2006/relationships" name="企业资料" sheetId="2" r:id="R54702c8a7b44431e"/>
    <x:sheet xmlns:r="http://schemas.openxmlformats.org/officeDocument/2006/relationships" name="财务经营" sheetId="3" r:id="R82e04bfbc602406d"/>
    <x:sheet xmlns:r="http://schemas.openxmlformats.org/officeDocument/2006/relationships" name="项目与设备" sheetId="4" r:id="R8fcc5725705540ea"/>
    <x:sheet xmlns:r="http://schemas.openxmlformats.org/officeDocument/2006/relationships" name="待核资料" sheetId="5" r:id="R1a74bfba15324ce7"/>
    <x:sheet xmlns:r="http://schemas.openxmlformats.org/officeDocument/2006/relationships" name="原始证据" sheetId="6" r:id="R36fe7e5810224a6e"/>
    <x:sheet xmlns:r="http://schemas.openxmlformats.org/officeDocument/2006/relationships" name="来源覆盖" sheetId="7" r:id="R44417e6f86b74f98"/>
    <x:sheet xmlns:r="http://schemas.openxmlformats.org/officeDocument/2006/relationships" name="清洗审计" sheetId="8" r:id="Ra301a76dc4774c5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0.####"/>
    <x:numFmt numFmtId="203" formatCode="yyyy-mm-dd"/>
    <x:numFmt numFmtId="204" formatCode="#,##0.00"/>
  </x:numFmts>
  <x:fonts count="8">
    <x:font>
      <x:sz val="11"/>
      <x:name val="Carlito"/>
    </x:font>
    <x:font>
      <x:b/>
      <x:sz val="15"/>
      <x:color rgb="FF20344A"/>
      <x:name val="Microsoft YaHei"/>
    </x:font>
    <x:font>
      <x:sz val="10"/>
      <x:color rgb="FF617180"/>
      <x:name val="Microsoft YaHei"/>
    </x:font>
    <x:font>
      <x:sz val="11"/>
      <x:color rgb="FF243447"/>
      <x:name val="Microsoft YaHei"/>
    </x:font>
    <x:font>
      <x:b/>
      <x:sz val="11"/>
      <x:color rgb="FFFFFFFF"/>
      <x:name val="Microsoft YaHei"/>
    </x:font>
    <x:font>
      <x:b/>
      <x:sz val="13"/>
      <x:color rgb="FF20344A"/>
      <x:name val="Microsoft YaHei"/>
    </x:font>
    <x:font>
      <x:b/>
      <x:sz val="16"/>
      <x:color rgb="FF20344A"/>
      <x:name val="Microsoft YaHei"/>
    </x:font>
    <x:font>
      <x:b/>
      <x:sz val="12"/>
      <x:color rgb="FF20344A"/>
      <x:name val="Microsoft YaHei"/>
    </x:font>
  </x:fonts>
  <x:fills count="3">
    <x:fill>
      <x:patternFill patternType="none"/>
    </x:fill>
    <x:fill>
      <x:patternFill patternType="gray125"/>
    </x:fill>
    <x:fill>
      <x:patternFill patternType="solid">
        <x:fgColor rgb="FF294C70"/>
      </x:patternFill>
    </x:fill>
  </x:fills>
  <x:borders count="6">
    <x:border>
      <x:left/>
      <x:right/>
      <x:top/>
      <x:bottom/>
      <x:diagonal/>
    </x:border>
    <x:border>
      <x:left/>
      <x:right/>
      <x:top/>
      <x:bottom style="thin">
        <x:color rgb="FFA6B8C6"/>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9CAFC0"/>
      </x:bottom>
      <x:diagonal/>
    </x:border>
  </x:borders>
  <x:cellStyleXfs count="1">
    <x:xf numFmtId="0" fontId="0" fillId="0" borderId="0"/>
  </x:cellStyleXfs>
  <x:cellXfs count="34">
    <x:xf numFmtId="0" fontId="0" fillId="0" borderId="0" xfId="0"/>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3" fillId="0" borderId="0" xfId="0" applyNumberFormat="1" applyFont="1" applyFill="1" applyBorder="1" applyAlignment="1">
      <x:alignment vertical="center" wrapText="1"/>
    </x:xf>
    <x:xf numFmtId="201" fontId="3" fillId="0" borderId="0" xfId="0" applyNumberFormat="1" applyFont="1" applyFill="1" applyBorder="1" applyAlignment="1">
      <x:alignment vertical="center" wrapText="1"/>
    </x:xf>
    <x:xf numFmtId="201" fontId="3" fillId="0" borderId="0" xfId="0" applyNumberFormat="1" applyFont="1" applyFill="1" applyBorder="1" applyAlignment="1">
      <x:alignment horizontal="right" vertical="center" wrapText="1"/>
    </x:xf>
    <x:xf numFmtId="202" fontId="3" fillId="0" borderId="0" xfId="0" applyNumberFormat="1" applyFont="1" applyFill="1" applyBorder="1" applyAlignment="1">
      <x:alignment vertical="center" wrapText="1"/>
    </x:xf>
    <x:xf numFmtId="202" fontId="3" fillId="0" borderId="0" xfId="0" applyNumberFormat="1" applyFont="1" applyFill="1" applyBorder="1" applyAlignment="1">
      <x:alignment horizontal="right" vertical="center" wrapText="1"/>
    </x:xf>
    <x:xf numFmtId="203" fontId="3" fillId="0" borderId="0" xfId="0" applyNumberFormat="1" applyFont="1" applyFill="1" applyBorder="1" applyAlignment="1">
      <x:alignment vertical="center" wrapText="1"/>
    </x:xf>
    <x:xf numFmtId="0" fontId="5" fillId="0" borderId="0" xfId="0" applyNumberFormat="1" applyFont="1" applyFill="1" applyBorder="1"/>
    <x:xf numFmtId="0" fontId="4" fillId="2"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5"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203" fontId="3" fillId="0"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204" fontId="3" fillId="0" borderId="0" xfId="0" applyNumberFormat="1" applyFont="1" applyFill="1" applyBorder="1"/>
    <x:xf numFmtId="0" fontId="7" fillId="0" borderId="0" xfId="0" applyNumberFormat="1" applyFont="1" applyFill="1" applyBorder="1"/>
    <x:xf numFmtId="201" fontId="3" fillId="0" borderId="0" xfId="0" applyNumberFormat="1" applyFont="1" applyFill="1" applyBorder="1"/>
  </x:cellXfs>
  <x:cellStyles count="1">
    <x:cellStyle name="Normal" xfId="0"/>
  </x:cellStyles>
  <x:dxfs count="1">
    <x:dxf>
      <x:font>
        <x:color rgb="FF8A5A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7deed61a32414d" /><Relationship Type="http://schemas.openxmlformats.org/officeDocument/2006/relationships/theme" Target="/xl/theme/theme1.xml" Id="Raa829be52bd64f3a" /><Relationship Type="http://schemas.openxmlformats.org/officeDocument/2006/relationships/sharedStrings" Target="/xl/sharedStrings.xml" Id="Rcad920359f494f12" /><Relationship Type="http://schemas.openxmlformats.org/officeDocument/2006/relationships/worksheet" Target="/xl/worksheets/sheet1.xml" Id="Ra67ca6c8ee754f2d" /><Relationship Type="http://schemas.openxmlformats.org/officeDocument/2006/relationships/worksheet" Target="/xl/worksheets/sheet2.xml" Id="R54702c8a7b44431e" /><Relationship Type="http://schemas.openxmlformats.org/officeDocument/2006/relationships/worksheet" Target="/xl/worksheets/sheet3.xml" Id="R82e04bfbc602406d" /><Relationship Type="http://schemas.openxmlformats.org/officeDocument/2006/relationships/worksheet" Target="/xl/worksheets/sheet4.xml" Id="R8fcc5725705540ea" /><Relationship Type="http://schemas.openxmlformats.org/officeDocument/2006/relationships/worksheet" Target="/xl/worksheets/sheet5.xml" Id="R1a74bfba15324ce7" /><Relationship Type="http://schemas.openxmlformats.org/officeDocument/2006/relationships/worksheet" Target="/xl/worksheets/sheet6.xml" Id="R36fe7e5810224a6e" /><Relationship Type="http://schemas.openxmlformats.org/officeDocument/2006/relationships/worksheet" Target="/xl/worksheets/sheet7.xml" Id="R44417e6f86b74f98" /><Relationship Type="http://schemas.openxmlformats.org/officeDocument/2006/relationships/worksheet" Target="/xl/worksheets/sheet8.xml" Id="Ra301a76dc4774c50" /></Relationships>
</file>

<file path=xl/tables/table1.xml><?xml version="1.0" encoding="utf-8"?>
<x:table xmlns:x="http://schemas.openxmlformats.org/spreadsheetml/2006/main" id="1" name="HanonCompanyFacts" displayName="HanonCompanyFacts" ref="A5:L242" headerRowCount="1" totalsRowCount="0" totalsRowShown="0">
  <x:autoFilter ref="A5:L242"/>
  <x:tableColumns count="12">
    <x:tableColumn id="1" name="记录ID"/>
    <x:tableColumn id="2" name="企业主体"/>
    <x:tableColumn id="3" name="主体范围"/>
    <x:tableColumn id="4" name="类别"/>
    <x:tableColumn id="5" name="字段"/>
    <x:tableColumn id="6" name="数值或内容"/>
    <x:tableColumn id="7" name="单位"/>
    <x:tableColumn id="8" name="资料时点"/>
    <x:tableColumn id="9" name="披露或发布日"/>
    <x:tableColumn id="10" name="来源编号"/>
    <x:tableColumn id="11" name="核验状态"/>
    <x:tableColumn id="12" name="限定说明"/>
  </x:tableColumns>
  <x:tableStyleInfo name="TableStyleMedium2" showFirstColumn="0" showLastColumn="0" showRowStripes="1" showColumnStripes="0"/>
</x:table>
</file>

<file path=xl/tables/table2.xml><?xml version="1.0" encoding="utf-8"?>
<x:table xmlns:x="http://schemas.openxmlformats.org/spreadsheetml/2006/main" id="2" name="HanonFinancialFacts" displayName="HanonFinancialFacts" ref="A5:M137" headerRowCount="1" totalsRowCount="0" totalsRowShown="0">
  <x:autoFilter ref="A5:M137"/>
  <x:tableColumns count="13">
    <x:tableColumn id="1" name="记录ID"/>
    <x:tableColumn id="2" name="企业主体"/>
    <x:tableColumn id="3" name="类别"/>
    <x:tableColumn id="4" name="指标"/>
    <x:tableColumn id="5" name="报告期或时点"/>
    <x:tableColumn id="6" name="原数值"/>
    <x:tableColumn id="7" name="原单位"/>
    <x:tableColumn id="8" name="标准数值"/>
    <x:tableColumn id="9" name="标准单位"/>
    <x:tableColumn id="10" name="披露日"/>
    <x:tableColumn id="11" name="来源编号"/>
    <x:tableColumn id="12" name="核验状态"/>
    <x:tableColumn id="13" name="统计口径"/>
  </x:tableColumns>
  <x:tableStyleInfo name="TableStyleMedium2" showFirstColumn="0" showLastColumn="0" showRowStripes="1" showColumnStripes="0"/>
</x:table>
</file>

<file path=xl/tables/table3.xml><?xml version="1.0" encoding="utf-8"?>
<x:table xmlns:x="http://schemas.openxmlformats.org/spreadsheetml/2006/main" id="3" name="HanonProjects" displayName="HanonProjects" ref="A5:W25" headerRowCount="1" totalsRowCount="0" totalsRowShown="0">
  <x:autoFilter ref="A5:W25"/>
  <x:tableColumns count="23">
    <x:tableColumn id="1" name="记录ID"/>
    <x:tableColumn id="2" name="涉及主体或品牌"/>
    <x:tableColumn id="3" name="涉及角色"/>
    <x:tableColumn id="4" name="公告或资料类型"/>
    <x:tableColumn id="5" name="项目名称"/>
    <x:tableColumn id="6" name="项目编号"/>
    <x:tableColumn id="7" name="发布日"/>
    <x:tableColumn id="8" name="采购人或建设方"/>
    <x:tableColumn id="9" name="代理机构"/>
    <x:tableColumn id="10" name="经销商或供应商"/>
    <x:tableColumn id="11" name="地区"/>
    <x:tableColumn id="12" name="原文金额"/>
    <x:tableColumn id="13" name="金额数值"/>
    <x:tableColumn id="14" name="单位"/>
    <x:tableColumn id="15" name="币种"/>
    <x:tableColumn id="16" name="金额性质"/>
    <x:tableColumn id="17" name="联系人"/>
    <x:tableColumn id="18" name="电话原文"/>
    <x:tableColumn id="19" name="邮箱原文"/>
    <x:tableColumn id="20" name="联系人归属"/>
    <x:tableColumn id="21" name="来源编号"/>
    <x:tableColumn id="22" name="核验状态"/>
    <x:tableColumn id="23" name="限制与清洗说明"/>
  </x:tableColumns>
  <x:tableStyleInfo name="TableStyleMedium2" showFirstColumn="0" showLastColumn="0" showRowStripes="1" showColumnStripes="0"/>
</x:table>
</file>

<file path=xl/tables/table4.xml><?xml version="1.0" encoding="utf-8"?>
<x:table xmlns:x="http://schemas.openxmlformats.org/spreadsheetml/2006/main" id="4" name="HanonPending" displayName="HanonPending" ref="A5:K17" headerRowCount="1" totalsRowCount="0" totalsRowShown="0">
  <x:autoFilter ref="A5:K17"/>
  <x:tableColumns count="11">
    <x:tableColumn id="1" name="记录ID"/>
    <x:tableColumn id="2" name="主体或品牌"/>
    <x:tableColumn id="3" name="类别"/>
    <x:tableColumn id="4" name="字段"/>
    <x:tableColumn id="5" name="原值或描述"/>
    <x:tableColumn id="6" name="单位"/>
    <x:tableColumn id="7" name="资料时点"/>
    <x:tableColumn id="8" name="发布日"/>
    <x:tableColumn id="9" name="来源编号"/>
    <x:tableColumn id="10" name="待核状态"/>
    <x:tableColumn id="11" name="具体缺口"/>
  </x:tableColumns>
  <x:tableStyleInfo name="TableStyleMedium2" showFirstColumn="0" showLastColumn="0" showRowStripes="1" showColumnStripes="0"/>
</x:table>
</file>

<file path=xl/tables/table5.xml><?xml version="1.0" encoding="utf-8"?>
<x:table xmlns:x="http://schemas.openxmlformats.org/spreadsheetml/2006/main" id="5" name="HanonRawEvidence" displayName="HanonRawEvidence" ref="A5:L492" headerRowCount="1" totalsRowCount="0" totalsRowShown="0">
  <x:autoFilter ref="A5:L492"/>
  <x:tableColumns count="12">
    <x:tableColumn id="1" name="原始记录ID"/>
    <x:tableColumn id="2" name="类型"/>
    <x:tableColumn id="3" name="分段号"/>
    <x:tableColumn id="4" name="原始主体"/>
    <x:tableColumn id="5" name="原始项目或字段"/>
    <x:tableColumn id="6" name="原值或金额"/>
    <x:tableColumn id="7" name="原单位"/>
    <x:tableColumn id="8" name="原始发布日"/>
    <x:tableColumn id="9" name="证据引句"/>
    <x:tableColumn id="10" name="来源编号"/>
    <x:tableColumn id="11" name="处理结论"/>
    <x:tableColumn id="12" name="原因"/>
  </x:tableColumns>
  <x:tableStyleInfo name="TableStyleMedium2" showFirstColumn="0" showLastColumn="0" showRowStripes="1" showColumnStripes="0"/>
</x:table>
</file>

<file path=xl/tables/table6.xml><?xml version="1.0" encoding="utf-8"?>
<x:table xmlns:x="http://schemas.openxmlformats.org/spreadsheetml/2006/main" id="6" name="HanonPlatformCoverage" displayName="HanonPlatformCoverage" ref="A5:I16" headerRowCount="1" totalsRowCount="0" totalsRowShown="0">
  <x:autoFilter ref="A5:I16"/>
  <x:tableColumns count="9">
    <x:tableColumn id="1" name="平台"/>
    <x:tableColumn id="2" name="域名"/>
    <x:tableColumn id="3" name="本轮核查结果"/>
    <x:tableColumn id="4" name="采用来源数"/>
    <x:tableColumn id="5" name="核验字段数"/>
    <x:tableColumn id="6" name="关联项目明细"/>
    <x:tableColumn id="7" name="待核字段"/>
    <x:tableColumn id="8" name="读取与检索方式"/>
    <x:tableColumn id="9" name="覆盖限制"/>
  </x:tableColumns>
  <x:tableStyleInfo name="TableStyleMedium2" showFirstColumn="0" showLastColumn="0" showRowStripes="1" showColumnStripes="0"/>
</x:table>
</file>

<file path=xl/tables/table7.xml><?xml version="1.0" encoding="utf-8"?>
<x:table xmlns:x="http://schemas.openxmlformats.org/spreadsheetml/2006/main" id="7" name="HanonSourceIndex" displayName="HanonSourceIndex" ref="A20:G99" headerRowCount="1" totalsRowCount="0" totalsRowShown="0">
  <x:autoFilter ref="A20:G99"/>
  <x:tableColumns count="7">
    <x:tableColumn id="1" name="来源编号"/>
    <x:tableColumn id="2" name="平台"/>
    <x:tableColumn id="3" name="标题"/>
    <x:tableColumn id="4" name="发布日期"/>
    <x:tableColumn id="5" name="证据类型"/>
    <x:tableColumn id="6" name="使用情况"/>
    <x:tableColumn id="7" name="原始URL"/>
  </x:tableColumns>
  <x:tableStyleInfo name="TableStyleMedium2" showFirstColumn="0" showLastColumn="0" showRowStripes="1" showColumnStripes="0"/>
</x:table>
</file>

<file path=xl/tables/table8.xml><?xml version="1.0" encoding="utf-8"?>
<x:table xmlns:x="http://schemas.openxmlformats.org/spreadsheetml/2006/main" id="8" name="HanonCleaningAudit" displayName="HanonCleaningAudit" ref="A5:F43" headerRowCount="1" totalsRowCount="0" totalsRowShown="0">
  <x:autoFilter ref="A5:F43"/>
  <x:tableColumns count="6">
    <x:tableColumn id="1" name="处理类型"/>
    <x:tableColumn id="2" name="来源编号"/>
    <x:tableColumn id="3" name="涉及字段或项目"/>
    <x:tableColumn id="4" name="纠正前或排除来源"/>
    <x:tableColumn id="5" name="纠正后"/>
    <x:tableColumn id="6" name="理由"/>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77736ab19744ee" /></Relationships>
</file>

<file path=xl/worksheets/_rels/sheet3.xml.rels>&#65279;<?xml version="1.0" encoding="utf-8"?><Relationships xmlns="http://schemas.openxmlformats.org/package/2006/relationships"><Relationship Type="http://schemas.openxmlformats.org/officeDocument/2006/relationships/table" Target="/xl/tables/table2.xml" Id="R97a2e7a15498480a" /></Relationships>
</file>

<file path=xl/worksheets/_rels/sheet4.xml.rels>&#65279;<?xml version="1.0" encoding="utf-8"?><Relationships xmlns="http://schemas.openxmlformats.org/package/2006/relationships"><Relationship Type="http://schemas.openxmlformats.org/officeDocument/2006/relationships/table" Target="/xl/tables/table3.xml" Id="Reb382d7942a543c1" /></Relationships>
</file>

<file path=xl/worksheets/_rels/sheet5.xml.rels>&#65279;<?xml version="1.0" encoding="utf-8"?><Relationships xmlns="http://schemas.openxmlformats.org/package/2006/relationships"><Relationship Type="http://schemas.openxmlformats.org/officeDocument/2006/relationships/table" Target="/xl/tables/table4.xml" Id="Rcee08c72965e42f5" /></Relationships>
</file>

<file path=xl/worksheets/_rels/sheet6.xml.rels>&#65279;<?xml version="1.0" encoding="utf-8"?><Relationships xmlns="http://schemas.openxmlformats.org/package/2006/relationships"><Relationship Type="http://schemas.openxmlformats.org/officeDocument/2006/relationships/table" Target="/xl/tables/table5.xml" Id="Rbfd4c58d0c254249" /></Relationships>
</file>

<file path=xl/worksheets/_rels/sheet7.xml.rels>&#65279;<?xml version="1.0" encoding="utf-8"?><Relationships xmlns="http://schemas.openxmlformats.org/package/2006/relationships"><Relationship Type="http://schemas.openxmlformats.org/officeDocument/2006/relationships/table" Target="/xl/tables/table6.xml" Id="Rb5f215e8fc47433b" /><Relationship Type="http://schemas.openxmlformats.org/officeDocument/2006/relationships/table" Target="/xl/tables/table7.xml" Id="R890d25834a43494d" /></Relationships>
</file>

<file path=xl/worksheets/_rels/sheet8.xml.rels>&#65279;<?xml version="1.0" encoding="utf-8"?><Relationships xmlns="http://schemas.openxmlformats.org/package/2006/relationships"><Relationship Type="http://schemas.openxmlformats.org/officeDocument/2006/relationships/table" Target="/xl/tables/table8.xml" Id="R3a08a8c9d6bf47c4" /></Relationships>
</file>

<file path=xl/worksheets/sheet1.xml><?xml version="1.0" encoding="utf-8"?>
<x:worksheet xmlns:x="http://schemas.openxmlformats.org/spreadsheetml/2006/main">
  <x:sheetPr>
    <x:tabColor rgb="FF294C70"/>
  </x:sheetPr>
  <x:sheetViews>
    <x:sheetView showGridLines="0" workbookViewId="0"/>
  </x:sheetViews>
  <x:sheetFormatPr defaultRowHeight="15"/>
  <x:cols>
    <x:col min="1" max="1" width="36" hidden="0" customWidth="1"/>
    <x:col min="2" max="2" width="25" hidden="0" customWidth="1"/>
    <x:col min="3" max="3" width="36" hidden="0" customWidth="1"/>
    <x:col min="4" max="4" width="66" hidden="0" customWidth="1"/>
    <x:col min="5" max="5" width="15" hidden="0" customWidth="1"/>
    <x:col min="6" max="6" width="12" hidden="0" customWidth="1"/>
    <x:col min="7" max="7" width="12" hidden="0" customWidth="1"/>
    <x:col min="8" max="8" width="12" hidden="0" customWidth="1"/>
  </x:cols>
  <x:sheetData>
    <x:row r="1">
      <x:c r="A1" s="4"/>
      <x:c r="B1" s="4"/>
      <x:c r="C1" s="4"/>
      <x:c r="D1" s="4"/>
      <x:c r="E1" s="4"/>
      <x:c r="F1" s="4"/>
      <x:c r="G1" s="4"/>
      <x:c r="H1" s="4"/>
    </x:row>
    <x:row r="2" ht="30" customHeight="1">
      <x:c r="A2" s="24" t="str">
        <x:v>海能技术：566人企业样本</x:v>
      </x:c>
      <x:c r="B2" s="24"/>
      <x:c r="C2" s="24"/>
      <x:c r="D2" s="24"/>
      <x:c r="E2" s="24"/>
      <x:c r="F2" s="24"/>
      <x:c r="G2" s="24"/>
      <x:c r="H2" s="24"/>
    </x:row>
    <x:row r="3" ht="25" customHeight="1">
      <x:c r="A3" s="3" t="str">
        <x:v>海能未来技术集团股份有限公司；资料窗口2025-10-08至2026-10-08。</x:v>
      </x:c>
      <x:c r="B3" s="3"/>
      <x:c r="C3" s="3"/>
      <x:c r="D3" s="3"/>
      <x:c r="E3" s="3"/>
      <x:c r="F3" s="3"/>
      <x:c r="G3" s="3"/>
      <x:c r="H3" s="3"/>
    </x:row>
    <x:row r="4">
      <x:c r="A4" s="4"/>
      <x:c r="B4" s="4"/>
      <x:c r="C4" s="4"/>
      <x:c r="D4" s="4"/>
      <x:c r="E4" s="4"/>
      <x:c r="F4" s="4"/>
      <x:c r="G4" s="4"/>
      <x:c r="H4" s="4"/>
    </x:row>
    <x:row r="5" ht="34" customHeight="1">
      <x:c r="A5" s="27" t="str">
        <x:v>员工规模</x:v>
      </x:c>
      <x:c r="B5" s="27" t="str">
        <x:v>人数</x:v>
      </x:c>
      <x:c r="C5" s="27" t="str">
        <x:v>截至日期</x:v>
      </x:c>
      <x:c r="D5" s="27" t="str">
        <x:v>口径</x:v>
      </x:c>
      <x:c r="E5" s="4"/>
      <x:c r="F5" s="4"/>
      <x:c r="G5" s="4"/>
      <x:c r="H5" s="4"/>
    </x:row>
    <x:row r="6" ht="32" customHeight="1">
      <x:c r="A6" s="4" t="str">
        <x:v>在职员工</x:v>
      </x:c>
      <x:c r="B6" s="33" t="n">
        <x:f>'企业资料'!F80</x:f>
        <x:v>566</x:v>
      </x:c>
      <x:c r="C6" s="28" t="d">
        <x:v>2026-06-30T00:00:00.000Z</x:v>
      </x:c>
      <x:c r="D6" s="4" t="str">
        <x:v>公司及控股子公司，非母公司单独人数</x:v>
      </x:c>
      <x:c r="E6" s="4"/>
      <x:c r="F6" s="4"/>
      <x:c r="G6" s="4"/>
      <x:c r="H6" s="4"/>
    </x:row>
    <x:row r="7" ht="32" customHeight="1">
      <x:c r="A7" s="4" t="str">
        <x:v>人数筛选区间</x:v>
      </x:c>
      <x:c r="B7" s="4" t="str">
        <x:v>400—600人</x:v>
      </x:c>
      <x:c r="C7" s="4" t="str">
        <x:v>人数证据</x:v>
      </x:c>
      <x:c r="D7" s="4" t="str">
        <x:v>2026半年报第29页，披露2026-08-17</x:v>
      </x:c>
      <x:c r="E7" s="4"/>
      <x:c r="F7" s="4"/>
      <x:c r="G7" s="4"/>
      <x:c r="H7" s="4"/>
    </x:row>
    <x:row r="8">
      <x:c r="A8" s="4"/>
      <x:c r="B8" s="4"/>
      <x:c r="C8" s="4"/>
      <x:c r="D8" s="4"/>
      <x:c r="E8" s="4"/>
      <x:c r="F8" s="4"/>
      <x:c r="G8" s="4"/>
      <x:c r="H8" s="4"/>
    </x:row>
    <x:row r="9" ht="34" customHeight="1">
      <x:c r="A9" s="27" t="str">
        <x:v>已核验字段</x:v>
      </x:c>
      <x:c r="B9" s="27" t="str">
        <x:v>条数</x:v>
      </x:c>
      <x:c r="C9" s="4"/>
      <x:c r="D9" s="27" t="str">
        <x:v>其他资料</x:v>
      </x:c>
      <x:c r="E9" s="27" t="str">
        <x:v>条数</x:v>
      </x:c>
      <x:c r="F9" s="4"/>
      <x:c r="G9" s="4"/>
      <x:c r="H9" s="4"/>
    </x:row>
    <x:row r="10" ht="31" customHeight="1">
      <x:c r="A10" s="4" t="str">
        <x:v>企业与员工资料</x:v>
      </x:c>
      <x:c r="B10" s="33" t="n">
        <x:f>COUNTA('企业资料'!A6:A242)</x:f>
        <x:v>237</x:v>
      </x:c>
      <x:c r="C10" s="4"/>
      <x:c r="D10" s="4" t="str">
        <x:v>项目或设备关联明细</x:v>
      </x:c>
      <x:c r="E10" s="33" t="n">
        <x:f>COUNTA('项目与设备'!A6:A25)</x:f>
        <x:v>20</x:v>
      </x:c>
      <x:c r="F10" s="4"/>
      <x:c r="G10" s="4"/>
      <x:c r="H10" s="4"/>
    </x:row>
    <x:row r="11" ht="31" customHeight="1">
      <x:c r="A11" s="4" t="str">
        <x:v>财务经营指标</x:v>
      </x:c>
      <x:c r="B11" s="33" t="n">
        <x:f>COUNTA('财务经营'!A6:A137)</x:f>
        <x:v>132</x:v>
      </x:c>
      <x:c r="C11" s="4"/>
      <x:c r="D11" s="4" t="str">
        <x:v>待核资料</x:v>
      </x:c>
      <x:c r="E11" s="33" t="n">
        <x:f>COUNTA('待核资料'!A6:A17)</x:f>
        <x:v>12</x:v>
      </x:c>
      <x:c r="F11" s="4"/>
      <x:c r="G11" s="4"/>
      <x:c r="H11" s="4"/>
    </x:row>
    <x:row r="12" ht="31" customHeight="1">
      <x:c r="A12" s="4" t="str">
        <x:v>合计</x:v>
      </x:c>
      <x:c r="B12" s="33" t="n">
        <x:f>SUM(B10:B11)</x:f>
        <x:v>369</x:v>
      </x:c>
      <x:c r="C12" s="4"/>
      <x:c r="D12" s="4" t="str">
        <x:v>原始来源页面/文件</x:v>
      </x:c>
      <x:c r="E12" s="33" t="n">
        <x:v>79</x:v>
      </x:c>
      <x:c r="F12" s="4"/>
      <x:c r="G12" s="4"/>
      <x:c r="H12" s="4"/>
    </x:row>
    <x:row r="13">
      <x:c r="A13" s="4"/>
      <x:c r="B13" s="4"/>
      <x:c r="C13" s="4"/>
      <x:c r="D13" s="4"/>
      <x:c r="E13" s="4"/>
      <x:c r="F13" s="4"/>
      <x:c r="G13" s="4"/>
      <x:c r="H13" s="4"/>
    </x:row>
    <x:row r="14" ht="40" customHeight="1">
      <x:c r="A14" s="30" t="str">
        <x:v>报告期</x:v>
      </x:c>
      <x:c r="B14" s="30" t="str">
        <x:v>营收（万元）</x:v>
      </x:c>
      <x:c r="C14" s="30" t="str">
        <x:v>归母净利（万元）</x:v>
      </x:c>
      <x:c r="D14" s="30" t="str">
        <x:v>经营现金流（万元）</x:v>
      </x:c>
      <x:c r="E14" s="4"/>
      <x:c r="F14" s="4"/>
      <x:c r="G14" s="4"/>
      <x:c r="H14" s="4"/>
    </x:row>
    <x:row r="15" ht="30" customHeight="1">
      <x:c r="A15" s="4" t="str">
        <x:v>2025年前三季度</x:v>
      </x:c>
      <x:c r="B15" s="31" t="n">
        <x:f>'财务经营'!H40/10000</x:f>
        <x:v>22724.288575</x:v>
      </x:c>
      <x:c r="C15" s="31" t="n">
        <x:f>'财务经营'!H37/10000</x:f>
        <x:v>1810.628455</x:v>
      </x:c>
      <x:c r="D15" s="31" t="n">
        <x:f>'财务经营'!H39/10000</x:f>
        <x:v>-15.454873999999998</x:v>
      </x:c>
      <x:c r="E15" s="4"/>
      <x:c r="F15" s="4"/>
      <x:c r="G15" s="4"/>
      <x:c r="H15" s="4"/>
    </x:row>
    <x:row r="16" ht="30" customHeight="1">
      <x:c r="A16" s="4" t="str">
        <x:v>2025年全年</x:v>
      </x:c>
      <x:c r="B16" s="31" t="n">
        <x:f>'财务经营'!H55/10000</x:f>
        <x:v>36185.016554</x:v>
      </x:c>
      <x:c r="C16" s="31" t="n">
        <x:f>'财务经营'!H45/10000</x:f>
        <x:v>4212.973584</x:v>
      </x:c>
      <x:c r="D16" s="31" t="n">
        <x:f>'财务经营'!H53/10000</x:f>
        <x:v>5052.124274</x:v>
      </x:c>
      <x:c r="E16" s="4"/>
      <x:c r="F16" s="4"/>
      <x:c r="G16" s="4"/>
      <x:c r="H16" s="4"/>
    </x:row>
    <x:row r="17" ht="30" customHeight="1">
      <x:c r="A17" s="4" t="str">
        <x:v>2026年一季度</x:v>
      </x:c>
      <x:c r="B17" s="31" t="n">
        <x:f>'财务经营'!H64/10000</x:f>
        <x:v>6642.44512</x:v>
      </x:c>
      <x:c r="C17" s="31" t="n">
        <x:f>'财务经营'!H61/10000</x:f>
        <x:v>-28.508883</x:v>
      </x:c>
      <x:c r="D17" s="31" t="n">
        <x:f>'财务经营'!H63/10000</x:f>
        <x:v>-1890.684939</x:v>
      </x:c>
      <x:c r="E17" s="4"/>
      <x:c r="F17" s="4"/>
      <x:c r="G17" s="4"/>
      <x:c r="H17" s="4"/>
    </x:row>
    <x:row r="18" ht="30" customHeight="1">
      <x:c r="A18" s="4" t="str">
        <x:v>2026年上半年</x:v>
      </x:c>
      <x:c r="B18" s="31" t="n">
        <x:f>'财务经营'!H98/10000</x:f>
        <x:v>15855.761134</x:v>
      </x:c>
      <x:c r="C18" s="31" t="n">
        <x:f>'财务经营'!H83/10000</x:f>
        <x:v>1134.221058</x:v>
      </x:c>
      <x:c r="D18" s="31" t="n">
        <x:f>'财务经营'!H95/10000</x:f>
        <x:v>1290.987096</x:v>
      </x:c>
      <x:c r="E18" s="4"/>
      <x:c r="F18" s="4"/>
      <x:c r="G18" s="4"/>
      <x:c r="H18" s="4"/>
    </x:row>
    <x:row r="19">
      <x:c r="A19" s="4"/>
      <x:c r="B19" s="4"/>
      <x:c r="C19" s="4"/>
      <x:c r="D19" s="4"/>
      <x:c r="E19" s="4"/>
      <x:c r="F19" s="4"/>
      <x:c r="G19" s="4"/>
      <x:c r="H19" s="4"/>
    </x:row>
    <x:row r="20" ht="34" customHeight="1">
      <x:c r="A20" s="27" t="str">
        <x:v>2026-06-30员工结构</x:v>
      </x:c>
      <x:c r="B20" s="27" t="str">
        <x:v>人数</x:v>
      </x:c>
      <x:c r="C20" s="4"/>
      <x:c r="D20" s="27" t="str">
        <x:v>员工变动</x:v>
      </x:c>
      <x:c r="E20" s="27" t="str">
        <x:v>人数</x:v>
      </x:c>
      <x:c r="F20" s="4"/>
      <x:c r="G20" s="4"/>
      <x:c r="H20" s="4"/>
    </x:row>
    <x:row r="21" ht="29" customHeight="1">
      <x:c r="A21" s="4" t="str">
        <x:v>管理人员</x:v>
      </x:c>
      <x:c r="B21" s="33" t="n">
        <x:f>'企业资料'!F85</x:f>
        <x:v>25</x:v>
      </x:c>
      <x:c r="C21" s="4"/>
      <x:c r="D21" s="4" t="str">
        <x:v>期初人数</x:v>
      </x:c>
      <x:c r="E21" s="33" t="n">
        <x:f>'企业资料'!F65</x:f>
        <x:v>565</x:v>
      </x:c>
      <x:c r="F21" s="4"/>
      <x:c r="G21" s="4"/>
      <x:c r="H21" s="4"/>
    </x:row>
    <x:row r="22" ht="29" customHeight="1">
      <x:c r="A22" s="4" t="str">
        <x:v>行政人员</x:v>
      </x:c>
      <x:c r="B22" s="33" t="n">
        <x:f>'企业资料'!F86</x:f>
        <x:v>59</x:v>
      </x:c>
      <x:c r="C22" s="4"/>
      <x:c r="D22" s="4" t="str">
        <x:v>本期新增</x:v>
      </x:c>
      <x:c r="E22" s="33" t="n">
        <x:f>'企业资料'!F67</x:f>
        <x:v>48</x:v>
      </x:c>
      <x:c r="F22" s="4"/>
      <x:c r="G22" s="4"/>
      <x:c r="H22" s="4"/>
    </x:row>
    <x:row r="23" ht="29" customHeight="1">
      <x:c r="A23" s="4" t="str">
        <x:v>生产人员</x:v>
      </x:c>
      <x:c r="B23" s="33" t="n">
        <x:f>'企业资料'!F84</x:f>
        <x:v>127</x:v>
      </x:c>
      <x:c r="C23" s="4"/>
      <x:c r="D23" s="4" t="str">
        <x:v>本期减少</x:v>
      </x:c>
      <x:c r="E23" s="33" t="n">
        <x:f>'企业资料'!F66</x:f>
        <x:v>47</x:v>
      </x:c>
      <x:c r="F23" s="4"/>
      <x:c r="G23" s="4"/>
      <x:c r="H23" s="4"/>
    </x:row>
    <x:row r="24" ht="29" customHeight="1">
      <x:c r="A24" s="4" t="str">
        <x:v>销售人员</x:v>
      </x:c>
      <x:c r="B24" s="33" t="n">
        <x:f>'企业资料'!F88</x:f>
        <x:v>143</x:v>
      </x:c>
      <x:c r="C24" s="4"/>
      <x:c r="D24" s="4" t="str">
        <x:v>净增加</x:v>
      </x:c>
      <x:c r="E24" s="33" t="n">
        <x:f>E22-E23</x:f>
        <x:v>1</x:v>
      </x:c>
      <x:c r="F24" s="4"/>
      <x:c r="G24" s="4"/>
      <x:c r="H24" s="4"/>
    </x:row>
    <x:row r="25" ht="29" customHeight="1">
      <x:c r="A25" s="4" t="str">
        <x:v>技术人员</x:v>
      </x:c>
      <x:c r="B25" s="33" t="n">
        <x:f>'企业资料'!F82</x:f>
        <x:v>188</x:v>
      </x:c>
      <x:c r="C25" s="4"/>
      <x:c r="D25" s="4"/>
      <x:c r="E25" s="4"/>
      <x:c r="F25" s="4"/>
      <x:c r="G25" s="4"/>
      <x:c r="H25" s="4"/>
    </x:row>
    <x:row r="26" ht="29" customHeight="1">
      <x:c r="A26" s="4" t="str">
        <x:v>财务人员</x:v>
      </x:c>
      <x:c r="B26" s="33" t="n">
        <x:f>'企业资料'!F87</x:f>
        <x:v>24</x:v>
      </x:c>
      <x:c r="C26" s="4"/>
      <x:c r="D26" s="4"/>
      <x:c r="E26" s="4"/>
      <x:c r="F26" s="4"/>
      <x:c r="G26" s="4"/>
      <x:c r="H26" s="4"/>
    </x:row>
    <x:row r="27">
      <x:c r="A27" s="4"/>
      <x:c r="B27" s="4"/>
      <x:c r="C27" s="4"/>
      <x:c r="D27" s="4"/>
      <x:c r="E27" s="4"/>
      <x:c r="F27" s="4"/>
      <x:c r="G27" s="4"/>
      <x:c r="H27" s="4"/>
    </x:row>
    <x:row r="28">
      <x:c r="A28" s="32" t="str">
        <x:v>阅读口径</x:v>
      </x:c>
      <x:c r="B28" s="4"/>
      <x:c r="C28" s="4"/>
      <x:c r="D28" s="4"/>
      <x:c r="E28" s="4"/>
      <x:c r="F28" s="4"/>
      <x:c r="G28" s="4"/>
      <x:c r="H28" s="4"/>
    </x:row>
    <x:row r="29" ht="25" customHeight="1">
      <x:c r="A29" s="3" t="str">
        <x:v>集团员工566人来自正式报告；技术人员188与年报研发人员128口径不同。</x:v>
      </x:c>
      <x:c r="B29" s="3"/>
      <x:c r="C29" s="3"/>
      <x:c r="D29" s="3"/>
      <x:c r="E29" s="3"/>
      <x:c r="F29" s="3"/>
      <x:c r="G29" s="3"/>
      <x:c r="H29" s="3"/>
    </x:row>
    <x:row r="30" ht="25" customHeight="1">
      <x:c r="A30" s="3" t="str">
        <x:v>20条项目/设备明细主要是品牌设备与经销商成交；未确认集团直接中标原始公告。</x:v>
      </x:c>
      <x:c r="B30" s="3"/>
      <x:c r="C30" s="3"/>
      <x:c r="D30" s="3"/>
      <x:c r="E30" s="3"/>
      <x:c r="F30" s="3"/>
      <x:c r="G30" s="3"/>
      <x:c r="H30" s="3"/>
    </x:row>
    <x:row r="31" ht="25" customHeight="1">
      <x:c r="A31" s="3" t="str">
        <x:v>2.3亿元为制造基地投资上限，不是已执行采购支出。</x:v>
      </x:c>
      <x:c r="B31" s="3"/>
      <x:c r="C31" s="3"/>
      <x:c r="D31" s="3"/>
      <x:c r="E31" s="3"/>
      <x:c r="F31" s="3"/>
      <x:c r="G31" s="3"/>
      <x:c r="H31" s="3"/>
    </x:row>
    <x:row r="32" ht="25" customHeight="1">
      <x:c r="A32" s="3" t="str">
        <x:v>静态官网资料以核查日可见为准；电话未验证接通，数据缺口单列。</x:v>
      </x:c>
      <x:c r="B32" s="3"/>
      <x:c r="C32" s="3"/>
      <x:c r="D32" s="3"/>
      <x:c r="E32" s="3"/>
      <x:c r="F32" s="3"/>
      <x:c r="G32" s="3"/>
      <x:c r="H32" s="3"/>
    </x:row>
    <x:row r="33" ht="25" customHeight="1">
      <x:c r="A33" s="3" t="str">
        <x:v>搜索限流影响全网覆盖；每条记录均可通过来源编号与原始引句复核。</x:v>
      </x:c>
      <x:c r="B33" s="3"/>
      <x:c r="C33" s="3"/>
      <x:c r="D33" s="3"/>
      <x:c r="E33" s="3"/>
      <x:c r="F33" s="3"/>
      <x:c r="G33" s="3"/>
      <x:c r="H33" s="3"/>
    </x:row>
    <x:row r="34">
      <x:c r="A34" s="4"/>
      <x:c r="B34" s="4"/>
      <x:c r="C34" s="4"/>
      <x:c r="D34" s="4"/>
      <x:c r="E34" s="4"/>
      <x:c r="F34" s="4"/>
      <x:c r="G34" s="4"/>
      <x:c r="H34" s="4"/>
    </x:row>
    <x:row r="35">
      <x:c r="A35" s="4"/>
      <x:c r="B35" s="4"/>
      <x:c r="C35" s="4"/>
      <x:c r="D35" s="4"/>
      <x:c r="E35" s="4"/>
      <x:c r="F35" s="4"/>
      <x:c r="G35" s="4"/>
      <x:c r="H35" s="4"/>
    </x:row>
    <x:row r="36">
      <x:c r="A36" s="4"/>
      <x:c r="B36" s="4"/>
      <x:c r="C36" s="4"/>
      <x:c r="D36" s="4"/>
      <x:c r="E36" s="4"/>
      <x:c r="F36" s="4"/>
      <x:c r="G36" s="4"/>
      <x:c r="H36" s="4"/>
    </x:row>
    <x:row r="37">
      <x:c r="A37" s="4"/>
      <x:c r="B37" s="4"/>
      <x:c r="C37" s="4"/>
      <x:c r="D37" s="4"/>
      <x:c r="E37" s="4"/>
      <x:c r="F37" s="4"/>
      <x:c r="G37" s="4"/>
      <x:c r="H37" s="4"/>
    </x:row>
    <x:row r="38">
      <x:c r="A38" s="4"/>
      <x:c r="B38" s="4"/>
      <x:c r="C38" s="4"/>
      <x:c r="D38" s="4"/>
      <x:c r="E38" s="4"/>
      <x:c r="F38" s="4"/>
      <x:c r="G38" s="4"/>
      <x:c r="H38" s="4"/>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43" hidden="0" customWidth="1"/>
    <x:col min="4" max="4" width="22" hidden="0" customWidth="1"/>
    <x:col min="5" max="5" width="42" hidden="0" customWidth="1"/>
    <x:col min="6" max="6" width="65" hidden="0" customWidth="1"/>
    <x:col min="7" max="7" width="20" hidden="0" customWidth="1"/>
    <x:col min="8" max="8" width="24" hidden="0" customWidth="1"/>
    <x:col min="9" max="9" width="18" hidden="0" customWidth="1"/>
    <x:col min="10" max="10" width="17" hidden="0" customWidth="1"/>
    <x:col min="11" max="11" width="30" hidden="0" customWidth="1"/>
    <x:col min="12" max="12" width="90" hidden="0" customWidth="1"/>
  </x:cols>
  <x:sheetData>
    <x:row r="2" ht="28" customHeight="1">
      <x:c r="A2" s="2" t="str">
        <x:v>海能技术企业、员工与子公司资料</x:v>
      </x:c>
      <x:c r="B2" s="2"/>
      <x:c r="C2" s="2"/>
      <x:c r="D2" s="2"/>
      <x:c r="E2" s="2"/>
      <x:c r="F2" s="2"/>
      <x:c r="G2" s="2"/>
      <x:c r="H2" s="2"/>
      <x:c r="I2" s="2"/>
      <x:c r="J2" s="2"/>
      <x:c r="K2" s="2"/>
      <x:c r="L2" s="2"/>
    </x:row>
    <x:row r="3" ht="24" customHeight="1">
      <x:c r="A3" s="3" t="str">
        <x:v>公司及控股子公司566人；子公司人数不由集团数字推算。</x:v>
      </x:c>
      <x:c r="B3" s="3"/>
      <x:c r="C3" s="3"/>
      <x:c r="D3" s="3"/>
      <x:c r="E3" s="3"/>
      <x:c r="F3" s="3"/>
      <x:c r="G3" s="3"/>
      <x:c r="H3" s="3"/>
      <x:c r="I3" s="3"/>
      <x:c r="J3" s="3"/>
      <x:c r="K3" s="3"/>
      <x:c r="L3" s="3"/>
    </x:row>
    <x:row r="5" ht="38" customHeight="1">
      <x:c r="A5" s="12" t="str">
        <x:v>记录ID</x:v>
      </x:c>
      <x:c r="B5" s="13" t="str">
        <x:v>企业主体</x:v>
      </x:c>
      <x:c r="C5" s="13" t="str">
        <x:v>主体范围</x:v>
      </x:c>
      <x:c r="D5" s="13" t="str">
        <x:v>类别</x:v>
      </x:c>
      <x:c r="E5" s="13" t="str">
        <x:v>字段</x:v>
      </x:c>
      <x:c r="F5" s="13" t="str">
        <x:v>数值或内容</x:v>
      </x:c>
      <x:c r="G5" s="13" t="str">
        <x:v>单位</x:v>
      </x:c>
      <x:c r="H5" s="13" t="str">
        <x:v>资料时点</x:v>
      </x:c>
      <x:c r="I5" s="13" t="str">
        <x:v>披露或发布日</x:v>
      </x:c>
      <x:c r="J5" s="13" t="str">
        <x:v>来源编号</x:v>
      </x:c>
      <x:c r="K5" s="13" t="str">
        <x:v>核验状态</x:v>
      </x:c>
      <x:c r="L5" s="14" t="str">
        <x:v>限定说明</x:v>
      </x:c>
    </x:row>
    <x:row r="6" ht="34" customHeight="1">
      <x:c r="A6" s="6" t="str">
        <x:v>R0361</x:v>
      </x:c>
      <x:c r="B6" s="6" t="str">
        <x:v>海能未来技术集团股份有限公司</x:v>
      </x:c>
      <x:c r="C6" s="6" t="str">
        <x:v>正式报告披露集团/子公司</x:v>
      </x:c>
      <x:c r="D6" s="6" t="str">
        <x:v>业务活动</x:v>
      </x:c>
      <x:c r="E6" s="6" t="str">
        <x:v>日本参展</x:v>
      </x:c>
      <x:c r="F6" s="6" t="str">
        <x:v>JASIS 2026</x:v>
      </x:c>
      <x:c r="G6" s="6" t="str"/>
      <x:c r="H6" s="6" t="str">
        <x:v>2026-10-08</x:v>
      </x:c>
      <x:c r="I6" s="20" t="d">
        <x:v>2026-09-10T00:00:00.000Z</x:v>
      </x:c>
      <x:c r="J6" s="6" t="str">
        <x:v>W019</x:v>
      </x:c>
      <x:c r="K6" s="6" t="str">
        <x:v>已核实（官网披露）</x:v>
      </x:c>
      <x:c r="L6" s="6" t="str">
        <x:v>；活动日期2026-09-02至2026-09-04；参展非成交</x:v>
      </x:c>
    </x:row>
    <x:row r="7" ht="34" customHeight="1">
      <x:c r="A7" s="6" t="str">
        <x:v>R0362</x:v>
      </x:c>
      <x:c r="B7" s="6" t="str">
        <x:v>海能未来技术集团股份有限公司</x:v>
      </x:c>
      <x:c r="C7" s="6" t="str">
        <x:v>正式报告披露集团/子公司</x:v>
      </x:c>
      <x:c r="D7" s="6" t="str">
        <x:v>业务活动</x:v>
      </x:c>
      <x:c r="E7" s="6" t="str">
        <x:v>日本展会产品</x:v>
      </x:c>
      <x:c r="F7" s="6" t="str">
        <x:v>海能K1160全自动凯氏定氮仪、新仪TANK eco微波消解仪</x:v>
      </x:c>
      <x:c r="G7" s="6" t="str"/>
      <x:c r="H7" s="6" t="str">
        <x:v>2026-10-08</x:v>
      </x:c>
      <x:c r="I7" s="20" t="d">
        <x:v>2026-09-10T00:00:00.000Z</x:v>
      </x:c>
      <x:c r="J7" s="6" t="str">
        <x:v>W019</x:v>
      </x:c>
      <x:c r="K7" s="6" t="str">
        <x:v>已核实（官网披露）</x:v>
      </x:c>
      <x:c r="L7" s="6" t="str">
        <x:v>；参展产品，不是实际采购订单</x:v>
      </x:c>
    </x:row>
    <x:row r="8" ht="34" customHeight="1">
      <x:c r="A8" s="6" t="str">
        <x:v>R0364</x:v>
      </x:c>
      <x:c r="B8" s="6" t="str">
        <x:v>海能未来技术集团股份有限公司</x:v>
      </x:c>
      <x:c r="C8" s="6" t="str">
        <x:v>正式报告披露集团/子公司</x:v>
      </x:c>
      <x:c r="D8" s="6" t="str">
        <x:v>业务活动</x:v>
      </x:c>
      <x:c r="E8" s="6" t="str">
        <x:v>泰国参展</x:v>
      </x:c>
      <x:c r="F8" s="6" t="str">
        <x:v>Thailand LAB INTERNATIONAL 2026</x:v>
      </x:c>
      <x:c r="G8" s="6" t="str"/>
      <x:c r="H8" s="6" t="str">
        <x:v>2026-10-08</x:v>
      </x:c>
      <x:c r="I8" s="20" t="d">
        <x:v>2026-09-10T00:00:00.000Z</x:v>
      </x:c>
      <x:c r="J8" s="6" t="str">
        <x:v>W019</x:v>
      </x:c>
      <x:c r="K8" s="6" t="str">
        <x:v>已核实（官网披露）</x:v>
      </x:c>
      <x:c r="L8" s="6" t="str">
        <x:v>；2026年9月同期参展；不是交易记录</x:v>
      </x:c>
    </x:row>
    <x:row r="9" ht="40" customHeight="1">
      <x:c r="A9" s="6" t="str">
        <x:v>R0365</x:v>
      </x:c>
      <x:c r="B9" s="6" t="str">
        <x:v>海能未来技术集团股份有限公司</x:v>
      </x:c>
      <x:c r="C9" s="6" t="str">
        <x:v>正式报告披露集团/子公司</x:v>
      </x:c>
      <x:c r="D9" s="6" t="str">
        <x:v>业务活动</x:v>
      </x:c>
      <x:c r="E9" s="6" t="str">
        <x:v>泰国参展产品</x:v>
      </x:c>
      <x:c r="F9" s="6" t="str">
        <x:v>海能K1160全自动凯氏定氮仪、DF06膳食纤维测定仪、白小白全自动洗瓶机</x:v>
      </x:c>
      <x:c r="G9" s="6" t="str"/>
      <x:c r="H9" s="6" t="str">
        <x:v>2026-10-08</x:v>
      </x:c>
      <x:c r="I9" s="20" t="d">
        <x:v>2026-09-10T00:00:00.000Z</x:v>
      </x:c>
      <x:c r="J9" s="6" t="str">
        <x:v>W019</x:v>
      </x:c>
      <x:c r="K9" s="6" t="str">
        <x:v>已核实（官网披露）</x:v>
      </x:c>
      <x:c r="L9" s="6" t="str">
        <x:v>；在当地经销商支持下展示，不代表采购</x:v>
      </x:c>
    </x:row>
    <x:row r="10" ht="40" customHeight="1">
      <x:c r="A10" s="6" t="str">
        <x:v>R0253</x:v>
      </x:c>
      <x:c r="B10" s="6" t="str">
        <x:v>海能未来技术集团股份有限公司</x:v>
      </x:c>
      <x:c r="C10" s="6" t="str">
        <x:v>正式报告披露集团/子公司</x:v>
      </x:c>
      <x:c r="D10" s="6" t="str">
        <x:v>主体识别</x:v>
      </x:c>
      <x:c r="E10" s="6" t="str">
        <x:v>官网明示总部全称</x:v>
      </x:c>
      <x:c r="F10" s="6" t="str">
        <x:v>海能未来技术集团股份有限公司</x:v>
      </x:c>
      <x:c r="G10" s="6" t="str"/>
      <x:c r="H10" s="6" t="str">
        <x:v>2026-10-08</x:v>
      </x:c>
      <x:c r="I10" s="20"/>
      <x:c r="J10" s="6" t="str">
        <x:v>W004</x:v>
      </x:c>
      <x:c r="K10" s="6" t="str">
        <x:v>已核实（官网披露）</x:v>
      </x:c>
      <x:c r="L10" s="6" t="str">
        <x:v>；官网无发布日期;仅能表述为核查日可见内容；页面未注明发布日期；仅记录截至2026-10-08可见资料，不认定近一年发生变化</x:v>
      </x:c>
    </x:row>
    <x:row r="11" ht="40" customHeight="1">
      <x:c r="A11" s="6" t="str">
        <x:v>R0255</x:v>
      </x:c>
      <x:c r="B11" s="6" t="str">
        <x:v>海能未来技术集团股份有限公司</x:v>
      </x:c>
      <x:c r="C11" s="6" t="str">
        <x:v>正式报告披露集团/子公司</x:v>
      </x:c>
      <x:c r="D11" s="6" t="str">
        <x:v>主体识别</x:v>
      </x:c>
      <x:c r="E11" s="6" t="str">
        <x:v>证券代码</x:v>
      </x:c>
      <x:c r="F11" s="15" t="str">
        <x:v>920476</x:v>
      </x:c>
      <x:c r="G11" s="6" t="str"/>
      <x:c r="H11" s="6" t="str">
        <x:v>2026-10-08</x:v>
      </x:c>
      <x:c r="I11" s="20"/>
      <x:c r="J11" s="6" t="str">
        <x:v>W001</x:v>
      </x:c>
      <x:c r="K11" s="6" t="str">
        <x:v>已核实（官网披露）</x:v>
      </x:c>
      <x:c r="L11" s="6" t="str">
        <x:v>；官网无发布日期;仅能表述为核查日可见内容；页面未注明发布日期；仅记录截至2026-10-08可见资料，不认定近一年发生变化</x:v>
      </x:c>
    </x:row>
    <x:row r="12" ht="40" customHeight="1">
      <x:c r="A12" s="6" t="str">
        <x:v>R0254</x:v>
      </x:c>
      <x:c r="B12" s="6" t="str">
        <x:v>海能未来技术集团股份有限公司</x:v>
      </x:c>
      <x:c r="C12" s="6" t="str">
        <x:v>正式报告披露集团/子公司</x:v>
      </x:c>
      <x:c r="D12" s="6" t="str">
        <x:v>主体识别</x:v>
      </x:c>
      <x:c r="E12" s="6" t="str">
        <x:v>证券简称</x:v>
      </x:c>
      <x:c r="F12" s="6" t="str">
        <x:v>海能技术</x:v>
      </x:c>
      <x:c r="G12" s="6" t="str"/>
      <x:c r="H12" s="6" t="str">
        <x:v>2026-10-08</x:v>
      </x:c>
      <x:c r="I12" s="20"/>
      <x:c r="J12" s="6" t="str">
        <x:v>W001</x:v>
      </x:c>
      <x:c r="K12" s="6" t="str">
        <x:v>已核实（官网披露）</x:v>
      </x:c>
      <x:c r="L12" s="6" t="str">
        <x:v>；官网无发布日期;仅能表述为核查日可见内容；页面未注明发布日期；仅记录截至2026-10-08可见资料，不认定近一年发生变化</x:v>
      </x:c>
    </x:row>
    <x:row r="13" ht="40" customHeight="1">
      <x:c r="A13" s="6" t="str">
        <x:v>R0285</x:v>
      </x:c>
      <x:c r="B13" s="6" t="str">
        <x:v>海能未来技术集团股份有限公司</x:v>
      </x:c>
      <x:c r="C13" s="6" t="str">
        <x:v>正式报告披露集团/子公司</x:v>
      </x:c>
      <x:c r="D13" s="6" t="str">
        <x:v>产品能力</x:v>
      </x:c>
      <x:c r="E13" s="6" t="str">
        <x:v>产品系列-光谱系列</x:v>
      </x:c>
      <x:c r="F13" s="6" t="str">
        <x:v>光谱系列</x:v>
      </x:c>
      <x:c r="G13" s="6" t="str"/>
      <x:c r="H13" s="6" t="str">
        <x:v>2026-10-08</x:v>
      </x:c>
      <x:c r="I13" s="20"/>
      <x:c r="J13" s="6" t="str">
        <x:v>W003</x:v>
      </x:c>
      <x:c r="K13" s="6" t="str">
        <x:v>已核实（官网披露）</x:v>
      </x:c>
      <x:c r="L13" s="6" t="str">
        <x:v>；官网产品范围,不是交易记录；页面未注明发布日期；仅记录截至2026-10-08可见资料，不认定近一年发生变化</x:v>
      </x:c>
    </x:row>
    <x:row r="14" ht="40" customHeight="1">
      <x:c r="A14" s="6" t="str">
        <x:v>R0280</x:v>
      </x:c>
      <x:c r="B14" s="6" t="str">
        <x:v>海能未来技术集团股份有限公司</x:v>
      </x:c>
      <x:c r="C14" s="6" t="str">
        <x:v>正式报告披露集团/子公司</x:v>
      </x:c>
      <x:c r="D14" s="6" t="str">
        <x:v>产品能力</x:v>
      </x:c>
      <x:c r="E14" s="6" t="str">
        <x:v>产品系列-有机元素分析系列</x:v>
      </x:c>
      <x:c r="F14" s="6" t="str">
        <x:v>有机元素分析系列</x:v>
      </x:c>
      <x:c r="G14" s="6" t="str"/>
      <x:c r="H14" s="6" t="str">
        <x:v>2026-10-08</x:v>
      </x:c>
      <x:c r="I14" s="20"/>
      <x:c r="J14" s="6" t="str">
        <x:v>W003</x:v>
      </x:c>
      <x:c r="K14" s="6" t="str">
        <x:v>已核实（官网披露）</x:v>
      </x:c>
      <x:c r="L14" s="6" t="str">
        <x:v>；官网产品范围,不是交易记录；页面未注明发布日期；仅记录截至2026-10-08可见资料，不认定近一年发生变化</x:v>
      </x:c>
    </x:row>
    <x:row r="15" ht="40" customHeight="1">
      <x:c r="A15" s="6" t="str">
        <x:v>R0281</x:v>
      </x:c>
      <x:c r="B15" s="6" t="str">
        <x:v>海能未来技术集团股份有限公司</x:v>
      </x:c>
      <x:c r="C15" s="6" t="str">
        <x:v>正式报告披露集团/子公司</x:v>
      </x:c>
      <x:c r="D15" s="6" t="str">
        <x:v>产品能力</x:v>
      </x:c>
      <x:c r="E15" s="6" t="str">
        <x:v>产品系列-样品前处理系列</x:v>
      </x:c>
      <x:c r="F15" s="6" t="str">
        <x:v>样品前处理系列</x:v>
      </x:c>
      <x:c r="G15" s="6" t="str"/>
      <x:c r="H15" s="6" t="str">
        <x:v>2026-10-08</x:v>
      </x:c>
      <x:c r="I15" s="20"/>
      <x:c r="J15" s="6" t="str">
        <x:v>W003</x:v>
      </x:c>
      <x:c r="K15" s="6" t="str">
        <x:v>已核实（官网披露）</x:v>
      </x:c>
      <x:c r="L15" s="6" t="str">
        <x:v>；官网产品范围,不是交易记录；页面未注明发布日期；仅记录截至2026-10-08可见资料，不认定近一年发生变化</x:v>
      </x:c>
    </x:row>
    <x:row r="16" ht="40" customHeight="1">
      <x:c r="A16" s="6" t="str">
        <x:v>R0284</x:v>
      </x:c>
      <x:c r="B16" s="6" t="str">
        <x:v>海能未来技术集团股份有限公司</x:v>
      </x:c>
      <x:c r="C16" s="6" t="str">
        <x:v>正式报告披露集团/子公司</x:v>
      </x:c>
      <x:c r="D16" s="6" t="str">
        <x:v>产品能力</x:v>
      </x:c>
      <x:c r="E16" s="6" t="str">
        <x:v>产品系列-气相离子迁移谱系列</x:v>
      </x:c>
      <x:c r="F16" s="6" t="str">
        <x:v>气相离子迁移谱系列</x:v>
      </x:c>
      <x:c r="G16" s="6" t="str"/>
      <x:c r="H16" s="6" t="str">
        <x:v>2026-10-08</x:v>
      </x:c>
      <x:c r="I16" s="20"/>
      <x:c r="J16" s="6" t="str">
        <x:v>W003</x:v>
      </x:c>
      <x:c r="K16" s="6" t="str">
        <x:v>已核实（官网披露）</x:v>
      </x:c>
      <x:c r="L16" s="6" t="str">
        <x:v>；官网产品范围,不是交易记录；页面未注明发布日期；仅记录截至2026-10-08可见资料，不认定近一年发生变化</x:v>
      </x:c>
    </x:row>
    <x:row r="17" ht="40" customHeight="1">
      <x:c r="A17" s="6" t="str">
        <x:v>R0288</x:v>
      </x:c>
      <x:c r="B17" s="6" t="str">
        <x:v>海能未来技术集团股份有限公司</x:v>
      </x:c>
      <x:c r="C17" s="6" t="str">
        <x:v>正式报告披露集团/子公司</x:v>
      </x:c>
      <x:c r="D17" s="6" t="str">
        <x:v>产品能力</x:v>
      </x:c>
      <x:c r="E17" s="6" t="str">
        <x:v>产品系列-洗瓶机系列</x:v>
      </x:c>
      <x:c r="F17" s="6" t="str">
        <x:v>洗瓶机系列</x:v>
      </x:c>
      <x:c r="G17" s="6" t="str"/>
      <x:c r="H17" s="6" t="str">
        <x:v>2026-10-08</x:v>
      </x:c>
      <x:c r="I17" s="20"/>
      <x:c r="J17" s="6" t="str">
        <x:v>W003</x:v>
      </x:c>
      <x:c r="K17" s="6" t="str">
        <x:v>已核实（官网披露）</x:v>
      </x:c>
      <x:c r="L17" s="6" t="str">
        <x:v>；官网产品范围,不是交易记录；页面未注明发布日期；仅记录截至2026-10-08可见资料，不认定近一年发生变化</x:v>
      </x:c>
    </x:row>
    <x:row r="18" ht="40" customHeight="1">
      <x:c r="A18" s="6" t="str">
        <x:v>R0283</x:v>
      </x:c>
      <x:c r="B18" s="6" t="str">
        <x:v>海能未来技术集团股份有限公司</x:v>
      </x:c>
      <x:c r="C18" s="6" t="str">
        <x:v>正式报告披露集团/子公司</x:v>
      </x:c>
      <x:c r="D18" s="6" t="str">
        <x:v>产品能力</x:v>
      </x:c>
      <x:c r="E18" s="6" t="str">
        <x:v>产品系列-物理光学系列</x:v>
      </x:c>
      <x:c r="F18" s="6" t="str">
        <x:v>物理光学系列</x:v>
      </x:c>
      <x:c r="G18" s="6" t="str"/>
      <x:c r="H18" s="6" t="str">
        <x:v>2026-10-08</x:v>
      </x:c>
      <x:c r="I18" s="20"/>
      <x:c r="J18" s="6" t="str">
        <x:v>W003</x:v>
      </x:c>
      <x:c r="K18" s="6" t="str">
        <x:v>已核实（官网披露）</x:v>
      </x:c>
      <x:c r="L18" s="6" t="str">
        <x:v>；官网产品范围,不是交易记录；页面未注明发布日期；仅记录截至2026-10-08可见资料，不认定近一年发生变化</x:v>
      </x:c>
    </x:row>
    <x:row r="19" ht="40" customHeight="1">
      <x:c r="A19" s="6" t="str">
        <x:v>R0282</x:v>
      </x:c>
      <x:c r="B19" s="6" t="str">
        <x:v>海能未来技术集团股份有限公司</x:v>
      </x:c>
      <x:c r="C19" s="6" t="str">
        <x:v>正式报告披露集团/子公司</x:v>
      </x:c>
      <x:c r="D19" s="6" t="str">
        <x:v>产品能力</x:v>
      </x:c>
      <x:c r="E19" s="6" t="str">
        <x:v>产品系列-电化学系列</x:v>
      </x:c>
      <x:c r="F19" s="6" t="str">
        <x:v>电化学系列</x:v>
      </x:c>
      <x:c r="G19" s="6" t="str"/>
      <x:c r="H19" s="6" t="str">
        <x:v>2026-10-08</x:v>
      </x:c>
      <x:c r="I19" s="20"/>
      <x:c r="J19" s="6" t="str">
        <x:v>W003</x:v>
      </x:c>
      <x:c r="K19" s="6" t="str">
        <x:v>已核实（官网披露）</x:v>
      </x:c>
      <x:c r="L19" s="6" t="str">
        <x:v>；官网产品范围,不是交易记录；页面未注明发布日期；仅记录截至2026-10-08可见资料，不认定近一年发生变化</x:v>
      </x:c>
    </x:row>
    <x:row r="20" ht="40" customHeight="1">
      <x:c r="A20" s="6" t="str">
        <x:v>R0286</x:v>
      </x:c>
      <x:c r="B20" s="6" t="str">
        <x:v>海能未来技术集团股份有限公司</x:v>
      </x:c>
      <x:c r="C20" s="6" t="str">
        <x:v>正式报告披露集团/子公司</x:v>
      </x:c>
      <x:c r="D20" s="6" t="str">
        <x:v>产品能力</x:v>
      </x:c>
      <x:c r="E20" s="6" t="str">
        <x:v>产品系列-色谱系列</x:v>
      </x:c>
      <x:c r="F20" s="6" t="str">
        <x:v>色谱系列</x:v>
      </x:c>
      <x:c r="G20" s="6" t="str"/>
      <x:c r="H20" s="6" t="str">
        <x:v>2026-10-08</x:v>
      </x:c>
      <x:c r="I20" s="20"/>
      <x:c r="J20" s="6" t="str">
        <x:v>W003</x:v>
      </x:c>
      <x:c r="K20" s="6" t="str">
        <x:v>已核实（官网披露）</x:v>
      </x:c>
      <x:c r="L20" s="6" t="str">
        <x:v>；官网产品范围,不是交易记录；页面未注明发布日期；仅记录截至2026-10-08可见资料，不认定近一年发生变化</x:v>
      </x:c>
    </x:row>
    <x:row r="21" ht="40" customHeight="1">
      <x:c r="A21" s="6" t="str">
        <x:v>R0287</x:v>
      </x:c>
      <x:c r="B21" s="6" t="str">
        <x:v>海能未来技术集团股份有限公司</x:v>
      </x:c>
      <x:c r="C21" s="6" t="str">
        <x:v>正式报告披露集团/子公司</x:v>
      </x:c>
      <x:c r="D21" s="6" t="str">
        <x:v>产品能力</x:v>
      </x:c>
      <x:c r="E21" s="6" t="str">
        <x:v>产品系列-药品检验系列</x:v>
      </x:c>
      <x:c r="F21" s="6" t="str">
        <x:v>药品检验系列</x:v>
      </x:c>
      <x:c r="G21" s="6" t="str"/>
      <x:c r="H21" s="6" t="str">
        <x:v>2026-10-08</x:v>
      </x:c>
      <x:c r="I21" s="20"/>
      <x:c r="J21" s="6" t="str">
        <x:v>W003</x:v>
      </x:c>
      <x:c r="K21" s="6" t="str">
        <x:v>已核实（官网披露）</x:v>
      </x:c>
      <x:c r="L21" s="6" t="str">
        <x:v>；官网产品范围,不是交易记录；页面未注明发布日期；仅记录截至2026-10-08可见资料，不认定近一年发生变化</x:v>
      </x:c>
    </x:row>
    <x:row r="22" ht="40" customHeight="1">
      <x:c r="A22" s="6" t="str">
        <x:v>R0272</x:v>
      </x:c>
      <x:c r="B22" s="6" t="str">
        <x:v>海能未来技术集团股份有限公司</x:v>
      </x:c>
      <x:c r="C22" s="6" t="str">
        <x:v>正式报告披露集团/子公司</x:v>
      </x:c>
      <x:c r="D22" s="6" t="str">
        <x:v>产品能力</x:v>
      </x:c>
      <x:c r="E22" s="6" t="str">
        <x:v>产品规模</x:v>
      </x:c>
      <x:c r="F22" s="6" t="str">
        <x:v>近百款仪器</x:v>
      </x:c>
      <x:c r="G22" s="6" t="str"/>
      <x:c r="H22" s="6" t="str">
        <x:v>2026-10-08</x:v>
      </x:c>
      <x:c r="I22" s="20"/>
      <x:c r="J22" s="6" t="str">
        <x:v>W003</x:v>
      </x:c>
      <x:c r="K22" s="6" t="str">
        <x:v>已核实（官网披露）</x:v>
      </x:c>
      <x:c r="L22" s="6" t="str">
        <x:v>；产品组合规模,不是销售数量；页面未注明发布日期；仅记录截至2026-10-08可见资料，不认定近一年发生变化</x:v>
      </x:c>
    </x:row>
    <x:row r="23" ht="34" customHeight="1">
      <x:c r="A23" s="6" t="str">
        <x:v>R0021</x:v>
      </x:c>
      <x:c r="B23" s="6" t="str">
        <x:v>海能未来技术集团股份有限公司</x:v>
      </x:c>
      <x:c r="C23" s="6" t="str">
        <x:v>正式报告披露集团/子公司</x:v>
      </x:c>
      <x:c r="D23" s="6" t="str">
        <x:v>企业身份</x:v>
      </x:c>
      <x:c r="E23" s="6" t="str">
        <x:v>注册资本(元)</x:v>
      </x:c>
      <x:c r="F23" s="17" t="n">
        <x:v>85179800</x:v>
      </x:c>
      <x:c r="G23" s="6" t="str">
        <x:v>人民币元</x:v>
      </x:c>
      <x:c r="H23" s="6" t="str">
        <x:v>2025-12-31</x:v>
      </x:c>
      <x:c r="I23" s="20" t="d">
        <x:v>2026-03-16T00:00:00.000Z</x:v>
      </x:c>
      <x:c r="J23" s="6" t="str">
        <x:v>F002</x:v>
      </x:c>
      <x:c r="K23" s="6" t="str">
        <x:v>已核实原值</x:v>
      </x:c>
      <x:c r="L23" s="6" t="str">
        <x:v>；截至2025年末，不当作2026年8月增发后的最新注册资本。</x:v>
      </x:c>
    </x:row>
    <x:row r="24" ht="34" customHeight="1">
      <x:c r="A24" s="6" t="str">
        <x:v>R0020</x:v>
      </x:c>
      <x:c r="B24" s="6" t="str">
        <x:v>海能未来技术集团股份有限公司</x:v>
      </x:c>
      <x:c r="C24" s="6" t="str">
        <x:v>正式报告披露集团/子公司</x:v>
      </x:c>
      <x:c r="D24" s="6" t="str">
        <x:v>企业身份</x:v>
      </x:c>
      <x:c r="E24" s="6" t="str">
        <x:v>统一社会信用代码</x:v>
      </x:c>
      <x:c r="F24" s="15" t="str">
        <x:v>913701007926213730</x:v>
      </x:c>
      <x:c r="G24" s="6" t="str"/>
      <x:c r="H24" s="6" t="str">
        <x:v>2025-12-31</x:v>
      </x:c>
      <x:c r="I24" s="20" t="d">
        <x:v>2026-03-16T00:00:00.000Z</x:v>
      </x:c>
      <x:c r="J24" s="6" t="str">
        <x:v>F002</x:v>
      </x:c>
      <x:c r="K24" s="6" t="str">
        <x:v>已核实原值</x:v>
      </x:c>
      <x:c r="L24" s="6" t="str">
        <x:v>；</x:v>
      </x:c>
    </x:row>
    <x:row r="25" ht="34" customHeight="1">
      <x:c r="A25" s="6" t="str">
        <x:v>R0015</x:v>
      </x:c>
      <x:c r="B25" s="6" t="str">
        <x:v>海能未来技术集团股份有限公司</x:v>
      </x:c>
      <x:c r="C25" s="6" t="str">
        <x:v>正式报告披露集团/子公司</x:v>
      </x:c>
      <x:c r="D25" s="6" t="str">
        <x:v>企业身份</x:v>
      </x:c>
      <x:c r="E25" s="6" t="str">
        <x:v>上市时间</x:v>
      </x:c>
      <x:c r="F25" s="6" t="str">
        <x:v>2022-10-14</x:v>
      </x:c>
      <x:c r="G25" s="6" t="str"/>
      <x:c r="H25" s="6" t="str">
        <x:v>2026-06-30</x:v>
      </x:c>
      <x:c r="I25" s="20" t="d">
        <x:v>2026-08-17T00:00:00.000Z</x:v>
      </x:c>
      <x:c r="J25" s="6" t="str">
        <x:v>F001</x:v>
      </x:c>
      <x:c r="K25" s="6" t="str">
        <x:v>已核实原值</x:v>
      </x:c>
      <x:c r="L25" s="6" t="str">
        <x:v>；</x:v>
      </x:c>
    </x:row>
    <x:row r="26" ht="34" customHeight="1">
      <x:c r="A26" s="6" t="str">
        <x:v>R0001</x:v>
      </x:c>
      <x:c r="B26" s="6" t="str">
        <x:v>海能未来技术集团股份有限公司</x:v>
      </x:c>
      <x:c r="C26" s="6" t="str">
        <x:v>正式报告披露集团/子公司</x:v>
      </x:c>
      <x:c r="D26" s="6" t="str">
        <x:v>企业身份</x:v>
      </x:c>
      <x:c r="E26" s="6" t="str">
        <x:v>公司中文全称</x:v>
      </x:c>
      <x:c r="F26" s="6" t="str">
        <x:v>海能未来技术集团股份有限公司</x:v>
      </x:c>
      <x:c r="G26" s="6" t="str"/>
      <x:c r="H26" s="6" t="str">
        <x:v>2026-06-30</x:v>
      </x:c>
      <x:c r="I26" s="20" t="d">
        <x:v>2026-08-17T00:00:00.000Z</x:v>
      </x:c>
      <x:c r="J26" s="6" t="str">
        <x:v>F001</x:v>
      </x:c>
      <x:c r="K26" s="6" t="str">
        <x:v>已核实原值</x:v>
      </x:c>
      <x:c r="L26" s="6" t="str">
        <x:v>；</x:v>
      </x:c>
    </x:row>
    <x:row r="27" ht="34" customHeight="1">
      <x:c r="A27" s="6" t="str">
        <x:v>R0010</x:v>
      </x:c>
      <x:c r="B27" s="6" t="str">
        <x:v>海能未来技术集团股份有限公司</x:v>
      </x:c>
      <x:c r="C27" s="6" t="str">
        <x:v>正式报告披露集团/子公司</x:v>
      </x:c>
      <x:c r="D27" s="6" t="str">
        <x:v>企业身份</x:v>
      </x:c>
      <x:c r="E27" s="6" t="str">
        <x:v>公司网址</x:v>
      </x:c>
      <x:c r="F27" s="6" t="str">
        <x:v>www.hanon.cc</x:v>
      </x:c>
      <x:c r="G27" s="6" t="str"/>
      <x:c r="H27" s="6" t="str">
        <x:v>2026-06-30</x:v>
      </x:c>
      <x:c r="I27" s="20" t="d">
        <x:v>2026-08-17T00:00:00.000Z</x:v>
      </x:c>
      <x:c r="J27" s="6" t="str">
        <x:v>F001</x:v>
      </x:c>
      <x:c r="K27" s="6" t="str">
        <x:v>已核实原值</x:v>
      </x:c>
      <x:c r="L27" s="6" t="str">
        <x:v>；</x:v>
      </x:c>
    </x:row>
    <x:row r="28" ht="34" customHeight="1">
      <x:c r="A28" s="6" t="str">
        <x:v>R0014</x:v>
      </x:c>
      <x:c r="B28" s="6" t="str">
        <x:v>海能未来技术集团股份有限公司</x:v>
      </x:c>
      <x:c r="C28" s="6" t="str">
        <x:v>正式报告披露集团/子公司</x:v>
      </x:c>
      <x:c r="D28" s="6" t="str">
        <x:v>企业身份</x:v>
      </x:c>
      <x:c r="E28" s="6" t="str">
        <x:v>公司股票上市交易所</x:v>
      </x:c>
      <x:c r="F28" s="6" t="str">
        <x:v>北京证券交易所</x:v>
      </x:c>
      <x:c r="G28" s="6" t="str"/>
      <x:c r="H28" s="6" t="str">
        <x:v>2026-06-30</x:v>
      </x:c>
      <x:c r="I28" s="20" t="d">
        <x:v>2026-08-17T00:00:00.000Z</x:v>
      </x:c>
      <x:c r="J28" s="6" t="str">
        <x:v>F001</x:v>
      </x:c>
      <x:c r="K28" s="6" t="str">
        <x:v>已核实原值</x:v>
      </x:c>
      <x:c r="L28" s="6" t="str">
        <x:v>；</x:v>
      </x:c>
    </x:row>
    <x:row r="29" ht="34" customHeight="1">
      <x:c r="A29" s="6" t="str">
        <x:v>R0011</x:v>
      </x:c>
      <x:c r="B29" s="6" t="str">
        <x:v>海能未来技术集团股份有限公司</x:v>
      </x:c>
      <x:c r="C29" s="6" t="str">
        <x:v>正式报告披露集团/子公司</x:v>
      </x:c>
      <x:c r="D29" s="6" t="str">
        <x:v>企业身份</x:v>
      </x:c>
      <x:c r="E29" s="6" t="str">
        <x:v>办公地址</x:v>
      </x:c>
      <x:c r="F29" s="6" t="str">
        <x:v>山东省济南市高新区经十路7000号汉峪金谷A3地块1号楼第四层</x:v>
      </x:c>
      <x:c r="G29" s="6" t="str"/>
      <x:c r="H29" s="6" t="str">
        <x:v>2026-06-30</x:v>
      </x:c>
      <x:c r="I29" s="20" t="d">
        <x:v>2026-08-17T00:00:00.000Z</x:v>
      </x:c>
      <x:c r="J29" s="6" t="str">
        <x:v>F001</x:v>
      </x:c>
      <x:c r="K29" s="6" t="str">
        <x:v>已核实原值</x:v>
      </x:c>
      <x:c r="L29" s="6" t="str">
        <x:v>；</x:v>
      </x:c>
    </x:row>
    <x:row r="30" ht="34" customHeight="1">
      <x:c r="A30" s="6" t="str">
        <x:v>R0018</x:v>
      </x:c>
      <x:c r="B30" s="6" t="str">
        <x:v>海能未来技术集团股份有限公司</x:v>
      </x:c>
      <x:c r="C30" s="6" t="str">
        <x:v>正式报告披露集团/子公司</x:v>
      </x:c>
      <x:c r="D30" s="6" t="str">
        <x:v>企业身份</x:v>
      </x:c>
      <x:c r="E30" s="6" t="str">
        <x:v>实际控制人及其一致行动人</x:v>
      </x:c>
      <x:c r="F30" s="6" t="str">
        <x:v>王志刚;无一致行动人</x:v>
      </x:c>
      <x:c r="G30" s="6" t="str"/>
      <x:c r="H30" s="6" t="str">
        <x:v>2026-06-30</x:v>
      </x:c>
      <x:c r="I30" s="20" t="d">
        <x:v>2026-08-17T00:00:00.000Z</x:v>
      </x:c>
      <x:c r="J30" s="6" t="str">
        <x:v>F001</x:v>
      </x:c>
      <x:c r="K30" s="6" t="str">
        <x:v>已核实原值</x:v>
      </x:c>
      <x:c r="L30" s="6" t="str">
        <x:v>；</x:v>
      </x:c>
    </x:row>
    <x:row r="31" ht="34" customHeight="1">
      <x:c r="A31" s="6" t="str">
        <x:v>R0024</x:v>
      </x:c>
      <x:c r="B31" s="6" t="str">
        <x:v>海能未来技术集团股份有限公司</x:v>
      </x:c>
      <x:c r="C31" s="6" t="str">
        <x:v>正式报告披露集团/子公司</x:v>
      </x:c>
      <x:c r="D31" s="6" t="str">
        <x:v>企业身份</x:v>
      </x:c>
      <x:c r="E31" s="6" t="str">
        <x:v>总部办公地址(财务附注)</x:v>
      </x:c>
      <x:c r="F31" s="6" t="str">
        <x:v>山东省德州市临邑县邢侗街道花园东大街16号</x:v>
      </x:c>
      <x:c r="G31" s="6" t="str"/>
      <x:c r="H31" s="6" t="str">
        <x:v>2026-06-30</x:v>
      </x:c>
      <x:c r="I31" s="20" t="d">
        <x:v>2026-08-17T00:00:00.000Z</x:v>
      </x:c>
      <x:c r="J31" s="6" t="str">
        <x:v>F001</x:v>
      </x:c>
      <x:c r="K31" s="6" t="str">
        <x:v>已核实原值</x:v>
      </x:c>
      <x:c r="L31" s="6" t="str">
        <x:v>；与公司概况第6页办公地址不同，未擅自合并。</x:v>
      </x:c>
    </x:row>
    <x:row r="32" ht="34" customHeight="1">
      <x:c r="A32" s="6" t="str">
        <x:v>R0022</x:v>
      </x:c>
      <x:c r="B32" s="6" t="str">
        <x:v>海能未来技术集团股份有限公司</x:v>
      </x:c>
      <x:c r="C32" s="6" t="str">
        <x:v>正式报告披露集团/子公司</x:v>
      </x:c>
      <x:c r="D32" s="6" t="str">
        <x:v>企业身份</x:v>
      </x:c>
      <x:c r="E32" s="6" t="str">
        <x:v>成立日期</x:v>
      </x:c>
      <x:c r="F32" s="6" t="str">
        <x:v>2006-11-29</x:v>
      </x:c>
      <x:c r="G32" s="6" t="str"/>
      <x:c r="H32" s="6" t="str">
        <x:v>2026-06-30</x:v>
      </x:c>
      <x:c r="I32" s="20" t="d">
        <x:v>2026-08-17T00:00:00.000Z</x:v>
      </x:c>
      <x:c r="J32" s="6" t="str">
        <x:v>F001</x:v>
      </x:c>
      <x:c r="K32" s="6" t="str">
        <x:v>已核实原值</x:v>
      </x:c>
      <x:c r="L32" s="6" t="str">
        <x:v>；</x:v>
      </x:c>
    </x:row>
    <x:row r="33" ht="34" customHeight="1">
      <x:c r="A33" s="6" t="str">
        <x:v>R0017</x:v>
      </x:c>
      <x:c r="B33" s="6" t="str">
        <x:v>海能未来技术集团股份有限公司</x:v>
      </x:c>
      <x:c r="C33" s="6" t="str">
        <x:v>正式报告披露集团/子公司</x:v>
      </x:c>
      <x:c r="D33" s="6" t="str">
        <x:v>企业身份</x:v>
      </x:c>
      <x:c r="E33" s="6" t="str">
        <x:v>控股股东</x:v>
      </x:c>
      <x:c r="F33" s="6" t="str">
        <x:v>王志刚</x:v>
      </x:c>
      <x:c r="G33" s="6" t="str"/>
      <x:c r="H33" s="6" t="str">
        <x:v>2026-06-30</x:v>
      </x:c>
      <x:c r="I33" s="20" t="d">
        <x:v>2026-08-17T00:00:00.000Z</x:v>
      </x:c>
      <x:c r="J33" s="6" t="str">
        <x:v>F001</x:v>
      </x:c>
      <x:c r="K33" s="6" t="str">
        <x:v>已核实原值</x:v>
      </x:c>
      <x:c r="L33" s="6" t="str">
        <x:v>；</x:v>
      </x:c>
    </x:row>
    <x:row r="34" ht="34" customHeight="1">
      <x:c r="A34" s="6" t="str">
        <x:v>R0005</x:v>
      </x:c>
      <x:c r="B34" s="6" t="str">
        <x:v>海能未来技术集团股份有限公司</x:v>
      </x:c>
      <x:c r="C34" s="6" t="str">
        <x:v>正式报告披露集团/子公司</x:v>
      </x:c>
      <x:c r="D34" s="6" t="str">
        <x:v>企业身份</x:v>
      </x:c>
      <x:c r="E34" s="6" t="str">
        <x:v>法定代表人</x:v>
      </x:c>
      <x:c r="F34" s="6" t="str">
        <x:v>张振方</x:v>
      </x:c>
      <x:c r="G34" s="6" t="str"/>
      <x:c r="H34" s="6" t="str">
        <x:v>2026-06-30</x:v>
      </x:c>
      <x:c r="I34" s="20" t="d">
        <x:v>2026-08-17T00:00:00.000Z</x:v>
      </x:c>
      <x:c r="J34" s="6" t="str">
        <x:v>F001</x:v>
      </x:c>
      <x:c r="K34" s="6" t="str">
        <x:v>已核实原值</x:v>
      </x:c>
      <x:c r="L34" s="6" t="str">
        <x:v>；</x:v>
      </x:c>
    </x:row>
    <x:row r="35" ht="34" customHeight="1">
      <x:c r="A35" s="6" t="str">
        <x:v>R0023</x:v>
      </x:c>
      <x:c r="B35" s="6" t="str">
        <x:v>海能未来技术集团股份有限公司</x:v>
      </x:c>
      <x:c r="C35" s="6" t="str">
        <x:v>正式报告披露集团/子公司</x:v>
      </x:c>
      <x:c r="D35" s="6" t="str">
        <x:v>企业身份</x:v>
      </x:c>
      <x:c r="E35" s="6" t="str">
        <x:v>注册地址</x:v>
      </x:c>
      <x:c r="F35" s="6" t="str">
        <x:v>山东省济南市高新区经十路7000号汉峪金谷A3地块1号楼第四层</x:v>
      </x:c>
      <x:c r="G35" s="6" t="str"/>
      <x:c r="H35" s="6" t="str">
        <x:v>2026-06-30</x:v>
      </x:c>
      <x:c r="I35" s="20" t="d">
        <x:v>2026-08-17T00:00:00.000Z</x:v>
      </x:c>
      <x:c r="J35" s="6" t="str">
        <x:v>F001</x:v>
      </x:c>
      <x:c r="K35" s="6" t="str">
        <x:v>已核实原值</x:v>
      </x:c>
      <x:c r="L35" s="6" t="str">
        <x:v>；公司概况第6页办公地址为济南；财务附注总部办公地址为德州，保留两个原文口径。</x:v>
      </x:c>
    </x:row>
    <x:row r="36" ht="40" customHeight="1">
      <x:c r="A36" s="6" t="str">
        <x:v>R0004</x:v>
      </x:c>
      <x:c r="B36" s="6" t="str">
        <x:v>海能未来技术集团股份有限公司</x:v>
      </x:c>
      <x:c r="C36" s="6" t="str">
        <x:v>正式报告披露集团/子公司</x:v>
      </x:c>
      <x:c r="D36" s="6" t="str">
        <x:v>企业身份</x:v>
      </x:c>
      <x:c r="E36" s="6" t="str">
        <x:v>英文名称及缩写</x:v>
      </x:c>
      <x:c r="F36" s="6" t="str">
        <x:v>Hanon Advanced Technology Group Co., Ltd.</x:v>
      </x:c>
      <x:c r="G36" s="6" t="str"/>
      <x:c r="H36" s="6" t="str">
        <x:v>2026-06-30</x:v>
      </x:c>
      <x:c r="I36" s="20" t="d">
        <x:v>2026-08-17T00:00:00.000Z</x:v>
      </x:c>
      <x:c r="J36" s="6" t="str">
        <x:v>F001</x:v>
      </x:c>
      <x:c r="K36" s="6" t="str">
        <x:v>已核实原值</x:v>
      </x:c>
      <x:c r="L36" s="6" t="str">
        <x:v>；</x:v>
      </x:c>
    </x:row>
    <x:row r="37" ht="34" customHeight="1">
      <x:c r="A37" s="6" t="str">
        <x:v>R0016</x:v>
      </x:c>
      <x:c r="B37" s="6" t="str">
        <x:v>海能未来技术集团股份有限公司</x:v>
      </x:c>
      <x:c r="C37" s="6" t="str">
        <x:v>正式报告披露集团/子公司</x:v>
      </x:c>
      <x:c r="D37" s="6" t="str">
        <x:v>企业身份</x:v>
      </x:c>
      <x:c r="E37" s="6" t="str">
        <x:v>行业分类</x:v>
      </x:c>
      <x:c r="F37" s="6" t="str">
        <x:v>制造业-仪器、仪表-仪器仪表制造业</x:v>
      </x:c>
      <x:c r="G37" s="6" t="str"/>
      <x:c r="H37" s="6" t="str">
        <x:v>2026-06-30</x:v>
      </x:c>
      <x:c r="I37" s="20" t="d">
        <x:v>2026-08-17T00:00:00.000Z</x:v>
      </x:c>
      <x:c r="J37" s="6" t="str">
        <x:v>F001</x:v>
      </x:c>
      <x:c r="K37" s="6" t="str">
        <x:v>已核实原值</x:v>
      </x:c>
      <x:c r="L37" s="6" t="str">
        <x:v>；</x:v>
      </x:c>
    </x:row>
    <x:row r="38" ht="34" customHeight="1">
      <x:c r="A38" s="6" t="str">
        <x:v>R0003</x:v>
      </x:c>
      <x:c r="B38" s="6" t="str">
        <x:v>海能未来技术集团股份有限公司</x:v>
      </x:c>
      <x:c r="C38" s="6" t="str">
        <x:v>正式报告披露集团/子公司</x:v>
      </x:c>
      <x:c r="D38" s="6" t="str">
        <x:v>企业身份</x:v>
      </x:c>
      <x:c r="E38" s="6" t="str">
        <x:v>证券代码</x:v>
      </x:c>
      <x:c r="F38" s="15" t="str">
        <x:v>920476</x:v>
      </x:c>
      <x:c r="G38" s="6" t="str"/>
      <x:c r="H38" s="6" t="str">
        <x:v>2026-06-30</x:v>
      </x:c>
      <x:c r="I38" s="20" t="d">
        <x:v>2026-08-17T00:00:00.000Z</x:v>
      </x:c>
      <x:c r="J38" s="6" t="str">
        <x:v>F001</x:v>
      </x:c>
      <x:c r="K38" s="6" t="str">
        <x:v>已核实原值</x:v>
      </x:c>
      <x:c r="L38" s="6" t="str">
        <x:v>；</x:v>
      </x:c>
    </x:row>
    <x:row r="39" ht="34" customHeight="1">
      <x:c r="A39" s="6" t="str">
        <x:v>R0002</x:v>
      </x:c>
      <x:c r="B39" s="6" t="str">
        <x:v>海能未来技术集团股份有限公司</x:v>
      </x:c>
      <x:c r="C39" s="6" t="str">
        <x:v>正式报告披露集团/子公司</x:v>
      </x:c>
      <x:c r="D39" s="6" t="str">
        <x:v>企业身份</x:v>
      </x:c>
      <x:c r="E39" s="6" t="str">
        <x:v>证券简称</x:v>
      </x:c>
      <x:c r="F39" s="6" t="str">
        <x:v>海能技术</x:v>
      </x:c>
      <x:c r="G39" s="6" t="str"/>
      <x:c r="H39" s="6" t="str">
        <x:v>2026-06-30</x:v>
      </x:c>
      <x:c r="I39" s="20" t="d">
        <x:v>2026-08-17T00:00:00.000Z</x:v>
      </x:c>
      <x:c r="J39" s="6" t="str">
        <x:v>F001</x:v>
      </x:c>
      <x:c r="K39" s="6" t="str">
        <x:v>已核实原值</x:v>
      </x:c>
      <x:c r="L39" s="6" t="str">
        <x:v>；</x:v>
      </x:c>
    </x:row>
    <x:row r="40" ht="34" customHeight="1">
      <x:c r="A40" s="6" t="str">
        <x:v>R0012</x:v>
      </x:c>
      <x:c r="B40" s="6" t="str">
        <x:v>海能未来技术集团股份有限公司</x:v>
      </x:c>
      <x:c r="C40" s="6" t="str">
        <x:v>正式报告披露集团/子公司</x:v>
      </x:c>
      <x:c r="D40" s="6" t="str">
        <x:v>企业身份</x:v>
      </x:c>
      <x:c r="E40" s="6" t="str">
        <x:v>邮政编码</x:v>
      </x:c>
      <x:c r="F40" s="15" t="str">
        <x:v>250101</x:v>
      </x:c>
      <x:c r="G40" s="6" t="str"/>
      <x:c r="H40" s="6" t="str">
        <x:v>2026-06-30</x:v>
      </x:c>
      <x:c r="I40" s="20" t="d">
        <x:v>2026-08-17T00:00:00.000Z</x:v>
      </x:c>
      <x:c r="J40" s="6" t="str">
        <x:v>F001</x:v>
      </x:c>
      <x:c r="K40" s="6" t="str">
        <x:v>已核实原值</x:v>
      </x:c>
      <x:c r="L40" s="6" t="str">
        <x:v>；</x:v>
      </x:c>
    </x:row>
    <x:row r="41" ht="40" customHeight="1">
      <x:c r="A41" s="6" t="str">
        <x:v>R0270</x:v>
      </x:c>
      <x:c r="B41" s="6" t="str">
        <x:v>海能未来技术集团股份有限公司</x:v>
      </x:c>
      <x:c r="C41" s="6" t="str">
        <x:v>正式报告披露集团/子公司</x:v>
      </x:c>
      <x:c r="D41" s="6" t="str">
        <x:v>公司概况</x:v>
      </x:c>
      <x:c r="E41" s="6" t="str">
        <x:v>品牌数量</x:v>
      </x:c>
      <x:c r="F41" s="17" t="n">
        <x:v>6</x:v>
      </x:c>
      <x:c r="G41" s="6" t="str">
        <x:v>个</x:v>
      </x:c>
      <x:c r="H41" s="6" t="str">
        <x:v>2026-10-08</x:v>
      </x:c>
      <x:c r="I41" s="20"/>
      <x:c r="J41" s="6" t="str">
        <x:v>W003</x:v>
      </x:c>
      <x:c r="K41" s="6" t="str">
        <x:v>已核实（官网披露）</x:v>
      </x:c>
      <x:c r="L41" s="6" t="str">
        <x:v>；官网无发布日期;仅能表述为核查日可见内容；页面未注明发布日期；仅记录截至2026-10-08可见资料，不认定近一年发生变化</x:v>
      </x:c>
    </x:row>
    <x:row r="42" ht="40" customHeight="1">
      <x:c r="A42" s="6" t="str">
        <x:v>R0271</x:v>
      </x:c>
      <x:c r="B42" s="6" t="str">
        <x:v>海能未来技术集团股份有限公司</x:v>
      </x:c>
      <x:c r="C42" s="6" t="str">
        <x:v>正式报告披露集团/子公司</x:v>
      </x:c>
      <x:c r="D42" s="6" t="str">
        <x:v>公司概况</x:v>
      </x:c>
      <x:c r="E42" s="6" t="str">
        <x:v>品牌组合</x:v>
      </x:c>
      <x:c r="F42" s="6" t="str">
        <x:v>海能、新仪、G.A.S.、悟空仪器、海森仪器、白小白</x:v>
      </x:c>
      <x:c r="G42" s="6" t="str"/>
      <x:c r="H42" s="6" t="str">
        <x:v>2026-10-08</x:v>
      </x:c>
      <x:c r="I42" s="20"/>
      <x:c r="J42" s="6" t="str">
        <x:v>W003</x:v>
      </x:c>
      <x:c r="K42" s="6" t="str">
        <x:v>已核实（官网披露）</x:v>
      </x:c>
      <x:c r="L42" s="6" t="str">
        <x:v>；官网无发布日期;仅能表述为核查日可见内容；页面未注明发布日期；仅记录截至2026-10-08可见资料，不认定近一年发生变化</x:v>
      </x:c>
    </x:row>
    <x:row r="43" ht="40" customHeight="1">
      <x:c r="A43" s="6" t="str">
        <x:v>R0269</x:v>
      </x:c>
      <x:c r="B43" s="6" t="str">
        <x:v>海能未来技术集团股份有限公司</x:v>
      </x:c>
      <x:c r="C43" s="6" t="str">
        <x:v>正式报告披露集团/子公司</x:v>
      </x:c>
      <x:c r="D43" s="6" t="str">
        <x:v>公司概况</x:v>
      </x:c>
      <x:c r="E43" s="6" t="str">
        <x:v>成立年份</x:v>
      </x:c>
      <x:c r="F43" s="15" t="str">
        <x:v>2006</x:v>
      </x:c>
      <x:c r="G43" s="6" t="str"/>
      <x:c r="H43" s="6" t="str">
        <x:v>2026-10-08</x:v>
      </x:c>
      <x:c r="I43" s="20"/>
      <x:c r="J43" s="6" t="str">
        <x:v>W003</x:v>
      </x:c>
      <x:c r="K43" s="6" t="str">
        <x:v>已核实（官网披露）</x:v>
      </x:c>
      <x:c r="L43" s="6" t="str">
        <x:v>；官网无发布日期;仅能表述为核查日可见内容；页面未注明发布日期；仅记录截至2026-10-08可见资料，不认定近一年发生变化</x:v>
      </x:c>
    </x:row>
    <x:row r="44" ht="34" customHeight="1">
      <x:c r="A44" s="6" t="str">
        <x:v>R0008</x:v>
      </x:c>
      <x:c r="B44" s="6" t="str">
        <x:v>海能未来技术集团股份有限公司</x:v>
      </x:c>
      <x:c r="C44" s="6" t="str">
        <x:v>正式报告披露集团/子公司</x:v>
      </x:c>
      <x:c r="D44" s="6" t="str">
        <x:v>公开联系方式</x:v>
      </x:c>
      <x:c r="E44" s="6" t="str">
        <x:v>传真</x:v>
      </x:c>
      <x:c r="F44" s="6" t="str">
        <x:v>0531-88874445</x:v>
      </x:c>
      <x:c r="G44" s="6" t="str"/>
      <x:c r="H44" s="6" t="str">
        <x:v>2026-06-30</x:v>
      </x:c>
      <x:c r="I44" s="20" t="d">
        <x:v>2026-08-17T00:00:00.000Z</x:v>
      </x:c>
      <x:c r="J44" s="6" t="str">
        <x:v>F001</x:v>
      </x:c>
      <x:c r="K44" s="6" t="str">
        <x:v>已核实原值</x:v>
      </x:c>
      <x:c r="L44" s="6" t="str">
        <x:v>；董秘与证券事务公开联系方式，非项目采购联系人。</x:v>
      </x:c>
    </x:row>
    <x:row r="45" ht="34" customHeight="1">
      <x:c r="A45" s="6" t="str">
        <x:v>R0013</x:v>
      </x:c>
      <x:c r="B45" s="6" t="str">
        <x:v>海能未来技术集团股份有限公司</x:v>
      </x:c>
      <x:c r="C45" s="6" t="str">
        <x:v>正式报告披露集团/子公司</x:v>
      </x:c>
      <x:c r="D45" s="6" t="str">
        <x:v>公开联系方式</x:v>
      </x:c>
      <x:c r="E45" s="6" t="str">
        <x:v>公司邮箱</x:v>
      </x:c>
      <x:c r="F45" s="6" t="str">
        <x:v>hanonzqb@hanon.cc</x:v>
      </x:c>
      <x:c r="G45" s="6" t="str"/>
      <x:c r="H45" s="6" t="str">
        <x:v>2026-06-30</x:v>
      </x:c>
      <x:c r="I45" s="20" t="d">
        <x:v>2026-08-17T00:00:00.000Z</x:v>
      </x:c>
      <x:c r="J45" s="6" t="str">
        <x:v>F001</x:v>
      </x:c>
      <x:c r="K45" s="6" t="str">
        <x:v>已核实原值</x:v>
      </x:c>
      <x:c r="L45" s="6" t="str">
        <x:v>公开原文；未拨号或验证收信；董秘与证券事务公开联系方式，非项目采购联系人。</x:v>
      </x:c>
    </x:row>
    <x:row r="46" ht="34" customHeight="1">
      <x:c r="A46" s="6" t="str">
        <x:v>R0007</x:v>
      </x:c>
      <x:c r="B46" s="6" t="str">
        <x:v>海能未来技术集团股份有限公司</x:v>
      </x:c>
      <x:c r="C46" s="6" t="str">
        <x:v>正式报告披露集团/子公司</x:v>
      </x:c>
      <x:c r="D46" s="6" t="str">
        <x:v>公开联系方式</x:v>
      </x:c>
      <x:c r="E46" s="6" t="str">
        <x:v>电话</x:v>
      </x:c>
      <x:c r="F46" s="6" t="str">
        <x:v>0531-88874418</x:v>
      </x:c>
      <x:c r="G46" s="6" t="str"/>
      <x:c r="H46" s="6" t="str">
        <x:v>2026-06-30</x:v>
      </x:c>
      <x:c r="I46" s="20" t="d">
        <x:v>2026-08-17T00:00:00.000Z</x:v>
      </x:c>
      <x:c r="J46" s="6" t="str">
        <x:v>F001</x:v>
      </x:c>
      <x:c r="K46" s="6" t="str">
        <x:v>已核实原值</x:v>
      </x:c>
      <x:c r="L46" s="6" t="str">
        <x:v>公开原文；未拨号或验证收信；董秘与证券事务公开联系方式，非项目采购联系人。</x:v>
      </x:c>
    </x:row>
    <x:row r="47" ht="34" customHeight="1">
      <x:c r="A47" s="6" t="str">
        <x:v>R0006</x:v>
      </x:c>
      <x:c r="B47" s="6" t="str">
        <x:v>海能未来技术集团股份有限公司</x:v>
      </x:c>
      <x:c r="C47" s="6" t="str">
        <x:v>正式报告披露集团/子公司</x:v>
      </x:c>
      <x:c r="D47" s="6" t="str">
        <x:v>公开联系方式</x:v>
      </x:c>
      <x:c r="E47" s="6" t="str">
        <x:v>董事会秘书姓名</x:v>
      </x:c>
      <x:c r="F47" s="6" t="str">
        <x:v>宋晓东</x:v>
      </x:c>
      <x:c r="G47" s="6" t="str"/>
      <x:c r="H47" s="6" t="str">
        <x:v>2026-06-30</x:v>
      </x:c>
      <x:c r="I47" s="20" t="d">
        <x:v>2026-08-17T00:00:00.000Z</x:v>
      </x:c>
      <x:c r="J47" s="6" t="str">
        <x:v>F001</x:v>
      </x:c>
      <x:c r="K47" s="6" t="str">
        <x:v>已核实原值</x:v>
      </x:c>
      <x:c r="L47" s="6" t="str">
        <x:v>；董秘与证券事务公开联系方式，非项目采购联系人。</x:v>
      </x:c>
    </x:row>
    <x:row r="48" ht="34" customHeight="1">
      <x:c r="A48" s="6" t="str">
        <x:v>R0009</x:v>
      </x:c>
      <x:c r="B48" s="6" t="str">
        <x:v>海能未来技术集团股份有限公司</x:v>
      </x:c>
      <x:c r="C48" s="6" t="str">
        <x:v>正式报告披露集团/子公司</x:v>
      </x:c>
      <x:c r="D48" s="6" t="str">
        <x:v>公开联系方式</x:v>
      </x:c>
      <x:c r="E48" s="6" t="str">
        <x:v>董秘邮箱</x:v>
      </x:c>
      <x:c r="F48" s="6" t="str">
        <x:v>songxiaodong@hanon.cc</x:v>
      </x:c>
      <x:c r="G48" s="6" t="str"/>
      <x:c r="H48" s="6" t="str">
        <x:v>2026-06-30</x:v>
      </x:c>
      <x:c r="I48" s="20" t="d">
        <x:v>2026-08-17T00:00:00.000Z</x:v>
      </x:c>
      <x:c r="J48" s="6" t="str">
        <x:v>F001</x:v>
      </x:c>
      <x:c r="K48" s="6" t="str">
        <x:v>已核实原值</x:v>
      </x:c>
      <x:c r="L48" s="6" t="str">
        <x:v>公开原文；未拨号或验证收信；董秘与证券事务公开联系方式，非项目采购联系人。</x:v>
      </x:c>
    </x:row>
    <x:row r="49" ht="40" customHeight="1">
      <x:c r="A49" s="6" t="str">
        <x:v>R0258</x:v>
      </x:c>
      <x:c r="B49" s="6" t="str">
        <x:v>海能未来技术集团股份有限公司</x:v>
      </x:c>
      <x:c r="C49" s="6" t="str">
        <x:v>正式报告披露集团/子公司</x:v>
      </x:c>
      <x:c r="D49" s="6" t="str">
        <x:v>公开联系方式</x:v>
      </x:c>
      <x:c r="E49" s="6" t="str">
        <x:v>官网总部地址</x:v>
      </x:c>
      <x:c r="F49" s="6" t="str">
        <x:v>山东省济南市高新区经十路7000号汉峪金谷A3地块1号楼第四层</x:v>
      </x:c>
      <x:c r="G49" s="6" t="str"/>
      <x:c r="H49" s="6" t="str">
        <x:v>2026-10-08</x:v>
      </x:c>
      <x:c r="I49" s="20"/>
      <x:c r="J49" s="6" t="str">
        <x:v>W004</x:v>
      </x:c>
      <x:c r="K49" s="6" t="str">
        <x:v>已核实（官网披露）</x:v>
      </x:c>
      <x:c r="L49" s="6" t="str">
        <x:v>；总部联系地址,非工商注册地址证明；页面未注明发布日期；仅记录截至2026-10-08可见资料，不认定近一年发生变化</x:v>
      </x:c>
    </x:row>
    <x:row r="50" ht="40" customHeight="1">
      <x:c r="A50" s="6" t="str">
        <x:v>R0259</x:v>
      </x:c>
      <x:c r="B50" s="6" t="str">
        <x:v>海能未来技术集团股份有限公司</x:v>
      </x:c>
      <x:c r="C50" s="6" t="str">
        <x:v>正式报告披露集团/子公司</x:v>
      </x:c>
      <x:c r="D50" s="6" t="str">
        <x:v>公开联系方式</x:v>
      </x:c>
      <x:c r="E50" s="6" t="str">
        <x:v>官网综合服务热线</x:v>
      </x:c>
      <x:c r="F50" s="6" t="str">
        <x:v>400 618 6188</x:v>
      </x:c>
      <x:c r="G50" s="6" t="str"/>
      <x:c r="H50" s="6" t="str">
        <x:v>2026-10-08</x:v>
      </x:c>
      <x:c r="I50" s="20"/>
      <x:c r="J50" s="6" t="str">
        <x:v>W004</x:v>
      </x:c>
      <x:c r="K50" s="6" t="str">
        <x:v>已核实（官网披露）</x:v>
      </x:c>
      <x:c r="L50" s="6" t="str">
        <x:v>公开原文；未拨号或验证收信；公开综合联系渠道,未标专属销售或采购负责人；页面未注明发布日期；仅记录截至2026-10-08可见资料，不认定近一年发生变化</x:v>
      </x:c>
    </x:row>
    <x:row r="51" ht="40" customHeight="1">
      <x:c r="A51" s="6" t="str">
        <x:v>R0261</x:v>
      </x:c>
      <x:c r="B51" s="6" t="str">
        <x:v>海能未来技术集团股份有限公司</x:v>
      </x:c>
      <x:c r="C51" s="6" t="str">
        <x:v>正式报告披露集团/子公司</x:v>
      </x:c>
      <x:c r="D51" s="6" t="str">
        <x:v>公开联系方式</x:v>
      </x:c>
      <x:c r="E51" s="6" t="str">
        <x:v>总部电话</x:v>
      </x:c>
      <x:c r="F51" s="6" t="str">
        <x:v>0531-88874444</x:v>
      </x:c>
      <x:c r="G51" s="6" t="str"/>
      <x:c r="H51" s="6" t="str">
        <x:v>2026-10-08</x:v>
      </x:c>
      <x:c r="I51" s="20"/>
      <x:c r="J51" s="6" t="str">
        <x:v>W004</x:v>
      </x:c>
      <x:c r="K51" s="6" t="str">
        <x:v>已核实（官网披露）</x:v>
      </x:c>
      <x:c r="L51" s="6" t="str">
        <x:v>公开原文；未拨号或验证收信；集团官网总部联系方式；页面未注明发布日期；仅记录截至2026-10-08可见资料，不认定近一年发生变化</x:v>
      </x:c>
    </x:row>
    <x:row r="52" ht="40" customHeight="1">
      <x:c r="A52" s="6" t="str">
        <x:v>R0262</x:v>
      </x:c>
      <x:c r="B52" s="6" t="str">
        <x:v>海能未来技术集团股份有限公司</x:v>
      </x:c>
      <x:c r="C52" s="6" t="str">
        <x:v>正式报告披露集团/子公司</x:v>
      </x:c>
      <x:c r="D52" s="6" t="str">
        <x:v>公开联系方式</x:v>
      </x:c>
      <x:c r="E52" s="6" t="str">
        <x:v>总部邮箱</x:v>
      </x:c>
      <x:c r="F52" s="6" t="str">
        <x:v>China@hanon.cc</x:v>
      </x:c>
      <x:c r="G52" s="6" t="str"/>
      <x:c r="H52" s="6" t="str">
        <x:v>2026-10-08</x:v>
      </x:c>
      <x:c r="I52" s="20"/>
      <x:c r="J52" s="6" t="str">
        <x:v>W004</x:v>
      </x:c>
      <x:c r="K52" s="6" t="str">
        <x:v>已核实（官网披露）</x:v>
      </x:c>
      <x:c r="L52" s="6" t="str">
        <x:v>公开原文；未拨号或验证收信；集团官网总部公开综合邮箱；页面未注明发布日期；仅记录截至2026-10-08可见资料，不认定近一年发生变化</x:v>
      </x:c>
    </x:row>
    <x:row r="53" ht="40" customHeight="1">
      <x:c r="A53" s="6" t="str">
        <x:v>R0260</x:v>
      </x:c>
      <x:c r="B53" s="6" t="str">
        <x:v>海能未来技术集团股份有限公司</x:v>
      </x:c>
      <x:c r="C53" s="6" t="str">
        <x:v>正式报告披露集团/子公司</x:v>
      </x:c>
      <x:c r="D53" s="6" t="str">
        <x:v>公开联系方式</x:v>
      </x:c>
      <x:c r="E53" s="6" t="str">
        <x:v>监督电话</x:v>
      </x:c>
      <x:c r="F53" s="6" t="str">
        <x:v>400 006 5188</x:v>
      </x:c>
      <x:c r="G53" s="6" t="str"/>
      <x:c r="H53" s="6" t="str">
        <x:v>2026-10-08</x:v>
      </x:c>
      <x:c r="I53" s="20"/>
      <x:c r="J53" s="6" t="str">
        <x:v>W004</x:v>
      </x:c>
      <x:c r="K53" s="6" t="str">
        <x:v>已核实（官网披露）</x:v>
      </x:c>
      <x:c r="L53" s="6" t="str">
        <x:v>公开原文；未拨号或验证收信；监督用途,不作采购或销售联系人；页面未注明发布日期；仅记录截至2026-10-08可见资料，不认定近一年发生变化</x:v>
      </x:c>
    </x:row>
    <x:row r="54" ht="40" customHeight="1">
      <x:c r="A54" s="6" t="str">
        <x:v>R0317</x:v>
      </x:c>
      <x:c r="B54" s="6" t="str">
        <x:v>海能未来技术集团股份有限公司</x:v>
      </x:c>
      <x:c r="C54" s="6" t="str">
        <x:v>正式报告披露集团/子公司</x:v>
      </x:c>
      <x:c r="D54" s="6" t="str">
        <x:v>历史沿革</x:v>
      </x:c>
      <x:c r="E54" s="6" t="str">
        <x:v>G.A.S.控制权历史</x:v>
      </x:c>
      <x:c r="F54" s="6" t="str">
        <x:v>2021年12月取得德国G.A.S.控制权</x:v>
      </x:c>
      <x:c r="G54" s="6" t="str"/>
      <x:c r="H54" s="6" t="str">
        <x:v>2026-10-08</x:v>
      </x:c>
      <x:c r="I54" s="20"/>
      <x:c r="J54" s="6" t="str">
        <x:v>W003</x:v>
      </x:c>
      <x:c r="K54" s="6" t="str">
        <x:v>已核实（官网披露）</x:v>
      </x:c>
      <x:c r="L54" s="6" t="str">
        <x:v>；历史背景,非2025-10-08至2026-10-08新增事件;当前持股比例需公告补证；页面未注明发布日期；仅记录截至2026-10-08可见资料，不认定近一年发生变化</x:v>
      </x:c>
    </x:row>
    <x:row r="55" ht="40" customHeight="1">
      <x:c r="A55" s="6" t="str">
        <x:v>R0313</x:v>
      </x:c>
      <x:c r="B55" s="6" t="str">
        <x:v>海能未来技术集团股份有限公司</x:v>
      </x:c>
      <x:c r="C55" s="6" t="str">
        <x:v>正式报告披露集团/子公司</x:v>
      </x:c>
      <x:c r="D55" s="6" t="str">
        <x:v>历史沿革</x:v>
      </x:c>
      <x:c r="E55" s="6" t="str">
        <x:v>HPCE布局历史</x:v>
      </x:c>
      <x:c r="F55" s="6" t="str">
        <x:v>2017年12月获得HPCE相关专利技术</x:v>
      </x:c>
      <x:c r="G55" s="6" t="str"/>
      <x:c r="H55" s="6" t="str">
        <x:v>2026-10-08</x:v>
      </x:c>
      <x:c r="I55" s="20"/>
      <x:c r="J55" s="6" t="str">
        <x:v>W003</x:v>
      </x:c>
      <x:c r="K55" s="6" t="str">
        <x:v>已核实（官网披露）</x:v>
      </x:c>
      <x:c r="L55" s="6" t="str">
        <x:v>；历史背景,非2025-10-08至2026-10-08新增事件;当前持股比例需公告补证；页面未注明发布日期；仅记录截至2026-10-08可见资料，不认定近一年发生变化</x:v>
      </x:c>
    </x:row>
    <x:row r="56" ht="40" customHeight="1">
      <x:c r="A56" s="6" t="str">
        <x:v>R0312</x:v>
      </x:c>
      <x:c r="B56" s="6" t="str">
        <x:v>海能未来技术集团股份有限公司</x:v>
      </x:c>
      <x:c r="C56" s="6" t="str">
        <x:v>正式报告披露集团/子公司</x:v>
      </x:c>
      <x:c r="D56" s="6" t="str">
        <x:v>历史沿革</x:v>
      </x:c>
      <x:c r="E56" s="6" t="str">
        <x:v>上海新仪并购历史</x:v>
      </x:c>
      <x:c r="F56" s="6" t="str">
        <x:v>2015年8月并购上海新仪微波化学科技有限公司</x:v>
      </x:c>
      <x:c r="G56" s="6" t="str"/>
      <x:c r="H56" s="6" t="str">
        <x:v>2026-10-08</x:v>
      </x:c>
      <x:c r="I56" s="20"/>
      <x:c r="J56" s="6" t="str">
        <x:v>W003</x:v>
      </x:c>
      <x:c r="K56" s="6" t="str">
        <x:v>已核实（官网披露）</x:v>
      </x:c>
      <x:c r="L56" s="6" t="str">
        <x:v>；历史背景,非2025-10-08至2026-10-08新增事件;当前持股比例需公告补证；页面未注明发布日期；仅记录截至2026-10-08可见资料，不认定近一年发生变化</x:v>
      </x:c>
    </x:row>
    <x:row r="57" ht="40" customHeight="1">
      <x:c r="A57" s="6" t="str">
        <x:v>R0315</x:v>
      </x:c>
      <x:c r="B57" s="6" t="str">
        <x:v>海能未来技术集团股份有限公司</x:v>
      </x:c>
      <x:c r="C57" s="6" t="str">
        <x:v>正式报告披露集团/子公司</x:v>
      </x:c>
      <x:c r="D57" s="6" t="str">
        <x:v>历史沿革</x:v>
      </x:c>
      <x:c r="E57" s="6" t="str">
        <x:v>仪器学习网投资历史</x:v>
      </x:c>
      <x:c r="F57" s="6" t="str">
        <x:v>2021年6月投资EWG1990仪器学习网</x:v>
      </x:c>
      <x:c r="G57" s="6" t="str"/>
      <x:c r="H57" s="6" t="str">
        <x:v>2026-10-08</x:v>
      </x:c>
      <x:c r="I57" s="20"/>
      <x:c r="J57" s="6" t="str">
        <x:v>W003</x:v>
      </x:c>
      <x:c r="K57" s="6" t="str">
        <x:v>已核实（官网披露）</x:v>
      </x:c>
      <x:c r="L57" s="6" t="str">
        <x:v>；历史背景,非2025-10-08至2026-10-08新增事件;当前持股比例需公告补证；页面未注明发布日期；仅记录截至2026-10-08可见资料，不认定近一年发生变化</x:v>
      </x:c>
    </x:row>
    <x:row r="58" ht="40" customHeight="1">
      <x:c r="A58" s="6" t="str">
        <x:v>R0320</x:v>
      </x:c>
      <x:c r="B58" s="6" t="str">
        <x:v>海能未来技术集团股份有限公司</x:v>
      </x:c>
      <x:c r="C58" s="6" t="str">
        <x:v>正式报告披露集团/子公司</x:v>
      </x:c>
      <x:c r="D58" s="6" t="str">
        <x:v>历史沿革</x:v>
      </x:c>
      <x:c r="E58" s="6" t="str">
        <x:v>光芯控股历史</x:v>
      </x:c>
      <x:c r="F58" s="6" t="str">
        <x:v>2023年4月控股天津光芯科技</x:v>
      </x:c>
      <x:c r="G58" s="6" t="str"/>
      <x:c r="H58" s="6" t="str">
        <x:v>2026-10-08</x:v>
      </x:c>
      <x:c r="I58" s="20"/>
      <x:c r="J58" s="6" t="str">
        <x:v>W003</x:v>
      </x:c>
      <x:c r="K58" s="6" t="str">
        <x:v>已核实（官网披露）</x:v>
      </x:c>
      <x:c r="L58" s="6" t="str">
        <x:v>；历史背景,非2025-10-08至2026-10-08新增事件;当前持股比例需公告补证；页面未注明发布日期；仅记录截至2026-10-08可见资料，不认定近一年发生变化</x:v>
      </x:c>
    </x:row>
    <x:row r="59" ht="40" customHeight="1">
      <x:c r="A59" s="6" t="str">
        <x:v>R0318</x:v>
      </x:c>
      <x:c r="B59" s="6" t="str">
        <x:v>海能未来技术集团股份有限公司</x:v>
      </x:c>
      <x:c r="C59" s="6" t="str">
        <x:v>正式报告披露集团/子公司</x:v>
      </x:c>
      <x:c r="D59" s="6" t="str">
        <x:v>历史沿革</x:v>
      </x:c>
      <x:c r="E59" s="6" t="str">
        <x:v>北交所上市历史</x:v>
      </x:c>
      <x:c r="F59" s="6" t="str">
        <x:v>2022-10-14</x:v>
      </x:c>
      <x:c r="G59" s="6" t="str"/>
      <x:c r="H59" s="6" t="str">
        <x:v>2026-10-08</x:v>
      </x:c>
      <x:c r="I59" s="20"/>
      <x:c r="J59" s="6" t="str">
        <x:v>W003</x:v>
      </x:c>
      <x:c r="K59" s="6" t="str">
        <x:v>已核实（官网披露）</x:v>
      </x:c>
      <x:c r="L59" s="6" t="str">
        <x:v>；历史背景,非2025-10-08至2026-10-08新增事件;当前持股比例需公告补证；页面未注明发布日期；仅记录截至2026-10-08可见资料，不认定近一年发生变化</x:v>
      </x:c>
    </x:row>
    <x:row r="60" ht="40" customHeight="1">
      <x:c r="A60" s="6" t="str">
        <x:v>R0316</x:v>
      </x:c>
      <x:c r="B60" s="6" t="str">
        <x:v>海能未来技术集团股份有限公司</x:v>
      </x:c>
      <x:c r="C60" s="6" t="str">
        <x:v>正式报告披露集团/子公司</x:v>
      </x:c>
      <x:c r="D60" s="6" t="str">
        <x:v>历史沿革</x:v>
      </x:c>
      <x:c r="E60" s="6" t="str">
        <x:v>安杰投资历史</x:v>
      </x:c>
      <x:c r="F60" s="6" t="str">
        <x:v>2021年11月投资上海安杰环保科技股份有限公司</x:v>
      </x:c>
      <x:c r="G60" s="6" t="str"/>
      <x:c r="H60" s="6" t="str">
        <x:v>2026-10-08</x:v>
      </x:c>
      <x:c r="I60" s="20"/>
      <x:c r="J60" s="6" t="str">
        <x:v>W003</x:v>
      </x:c>
      <x:c r="K60" s="6" t="str">
        <x:v>已核实（官网披露）</x:v>
      </x:c>
      <x:c r="L60" s="6" t="str">
        <x:v>；历史背景,非2025-10-08至2026-10-08新增事件;当前持股比例需公告补证；页面未注明发布日期；仅记录截至2026-10-08可见资料，不认定近一年发生变化</x:v>
      </x:c>
    </x:row>
    <x:row r="61" ht="40" customHeight="1">
      <x:c r="A61" s="6" t="str">
        <x:v>R0314</x:v>
      </x:c>
      <x:c r="B61" s="6" t="str">
        <x:v>海能未来技术集团股份有限公司</x:v>
      </x:c>
      <x:c r="C61" s="6" t="str">
        <x:v>正式报告披露集团/子公司</x:v>
      </x:c>
      <x:c r="D61" s="6" t="str">
        <x:v>历史沿革</x:v>
      </x:c>
      <x:c r="E61" s="6" t="str">
        <x:v>悟空设立历史</x:v>
      </x:c>
      <x:c r="F61" s="6" t="str">
        <x:v>2018年4月设立山东悟空仪器有限公司</x:v>
      </x:c>
      <x:c r="G61" s="6" t="str"/>
      <x:c r="H61" s="6" t="str">
        <x:v>2026-10-08</x:v>
      </x:c>
      <x:c r="I61" s="20"/>
      <x:c r="J61" s="6" t="str">
        <x:v>W003</x:v>
      </x:c>
      <x:c r="K61" s="6" t="str">
        <x:v>已核实（官网披露）</x:v>
      </x:c>
      <x:c r="L61" s="6" t="str">
        <x:v>；历史背景,非2025-10-08至2026-10-08新增事件;当前持股比例需公告补证；页面未注明发布日期；仅记录截至2026-10-08可见资料，不认定近一年发生变化</x:v>
      </x:c>
    </x:row>
    <x:row r="62" ht="40" customHeight="1">
      <x:c r="A62" s="6" t="str">
        <x:v>R0319</x:v>
      </x:c>
      <x:c r="B62" s="6" t="str">
        <x:v>海能未来技术集团股份有限公司</x:v>
      </x:c>
      <x:c r="C62" s="6" t="str">
        <x:v>正式报告披露集团/子公司</x:v>
      </x:c>
      <x:c r="D62" s="6" t="str">
        <x:v>历史沿革</x:v>
      </x:c>
      <x:c r="E62" s="6" t="str">
        <x:v>海森控股历史</x:v>
      </x:c>
      <x:c r="F62" s="6" t="str">
        <x:v>2023年2月控股海森分析仪器有限公司</x:v>
      </x:c>
      <x:c r="G62" s="6" t="str"/>
      <x:c r="H62" s="6" t="str">
        <x:v>2026-10-08</x:v>
      </x:c>
      <x:c r="I62" s="20"/>
      <x:c r="J62" s="6" t="str">
        <x:v>W003</x:v>
      </x:c>
      <x:c r="K62" s="6" t="str">
        <x:v>已核实（官网披露）</x:v>
      </x:c>
      <x:c r="L62" s="6" t="str">
        <x:v>；历史背景,非2025-10-08至2026-10-08新增事件;当前持股比例需公告补证；页面未注明发布日期；仅记录截至2026-10-08可见资料，不认定近一年发生变化</x:v>
      </x:c>
    </x:row>
    <x:row r="63" ht="40" customHeight="1">
      <x:c r="A63" s="6" t="str">
        <x:v>R0321</x:v>
      </x:c>
      <x:c r="B63" s="6" t="str">
        <x:v>海能未来技术集团股份有限公司</x:v>
      </x:c>
      <x:c r="C63" s="6" t="str">
        <x:v>正式报告披露集团/子公司</x:v>
      </x:c>
      <x:c r="D63" s="6" t="str">
        <x:v>历史沿革</x:v>
      </x:c>
      <x:c r="E63" s="6" t="str">
        <x:v>白小白控股历史</x:v>
      </x:c>
      <x:c r="F63" s="6" t="str">
        <x:v>2024年5月控股白小白科技</x:v>
      </x:c>
      <x:c r="G63" s="6" t="str"/>
      <x:c r="H63" s="6" t="str">
        <x:v>2026-10-08</x:v>
      </x:c>
      <x:c r="I63" s="20"/>
      <x:c r="J63" s="6" t="str">
        <x:v>W003</x:v>
      </x:c>
      <x:c r="K63" s="6" t="str">
        <x:v>已核实（官网披露）</x:v>
      </x:c>
      <x:c r="L63" s="6" t="str">
        <x:v>；历史背景,非2025-10-08至2026-10-08新增事件;当前持股比例需公告补证；页面未注明发布日期；仅记录截至2026-10-08可见资料，不认定近一年发生变化</x:v>
      </x:c>
    </x:row>
    <x:row r="64" ht="34" customHeight="1">
      <x:c r="A64" s="6" t="str">
        <x:v>R0101</x:v>
      </x:c>
      <x:c r="B64" s="6" t="str">
        <x:v>海能未来技术集团股份有限公司</x:v>
      </x:c>
      <x:c r="C64" s="6" t="str">
        <x:v>正式报告披露集团/子公司</x:v>
      </x:c>
      <x:c r="D64" s="6" t="str">
        <x:v>员工变化</x:v>
      </x:c>
      <x:c r="E64" s="6" t="str">
        <x:v>在职员工净增人数</x:v>
      </x:c>
      <x:c r="F64" s="17" t="n">
        <x:v>1</x:v>
      </x:c>
      <x:c r="G64" s="6" t="str">
        <x:v>人</x:v>
      </x:c>
      <x:c r="H64" s="6" t="str">
        <x:v>2026-06-30</x:v>
      </x:c>
      <x:c r="I64" s="20" t="d">
        <x:v>2026-08-17T00:00:00.000Z</x:v>
      </x:c>
      <x:c r="J64" s="6" t="str">
        <x:v>F001</x:v>
      </x:c>
      <x:c r="K64" s="6" t="str">
        <x:v>由原值计算</x:v>
      </x:c>
      <x:c r="L64" s="6" t="str">
        <x:v>；48-47=1。</x:v>
      </x:c>
    </x:row>
    <x:row r="65" ht="34" customHeight="1">
      <x:c r="A65" s="6" t="str">
        <x:v>R0098</x:v>
      </x:c>
      <x:c r="B65" s="6" t="str">
        <x:v>海能未来技术集团股份有限公司</x:v>
      </x:c>
      <x:c r="C65" s="6" t="str">
        <x:v>正式报告披露集团/子公司</x:v>
      </x:c>
      <x:c r="D65" s="6" t="str">
        <x:v>员工变化</x:v>
      </x:c>
      <x:c r="E65" s="6" t="str">
        <x:v>期初在职员工</x:v>
      </x:c>
      <x:c r="F65" s="17" t="n">
        <x:v>565</x:v>
      </x:c>
      <x:c r="G65" s="6" t="str">
        <x:v>人</x:v>
      </x:c>
      <x:c r="H65" s="6" t="str">
        <x:v>2026-06-30</x:v>
      </x:c>
      <x:c r="I65" s="20" t="d">
        <x:v>2026-08-17T00:00:00.000Z</x:v>
      </x:c>
      <x:c r="J65" s="6" t="str">
        <x:v>F001</x:v>
      </x:c>
      <x:c r="K65" s="6" t="str">
        <x:v>已核实原值</x:v>
      </x:c>
      <x:c r="L65" s="6" t="str">
        <x:v>；</x:v>
      </x:c>
    </x:row>
    <x:row r="66" ht="34" customHeight="1">
      <x:c r="A66" s="6" t="str">
        <x:v>R0100</x:v>
      </x:c>
      <x:c r="B66" s="6" t="str">
        <x:v>海能未来技术集团股份有限公司</x:v>
      </x:c>
      <x:c r="C66" s="6" t="str">
        <x:v>正式报告披露集团/子公司</x:v>
      </x:c>
      <x:c r="D66" s="6" t="str">
        <x:v>员工变化</x:v>
      </x:c>
      <x:c r="E66" s="6" t="str">
        <x:v>本期减少在职员工</x:v>
      </x:c>
      <x:c r="F66" s="17" t="n">
        <x:v>47</x:v>
      </x:c>
      <x:c r="G66" s="6" t="str">
        <x:v>人</x:v>
      </x:c>
      <x:c r="H66" s="6" t="str">
        <x:v>2026-06-30</x:v>
      </x:c>
      <x:c r="I66" s="20" t="d">
        <x:v>2026-08-17T00:00:00.000Z</x:v>
      </x:c>
      <x:c r="J66" s="6" t="str">
        <x:v>F001</x:v>
      </x:c>
      <x:c r="K66" s="6" t="str">
        <x:v>已核实原值</x:v>
      </x:c>
      <x:c r="L66" s="6" t="str">
        <x:v>；</x:v>
      </x:c>
    </x:row>
    <x:row r="67" ht="34" customHeight="1">
      <x:c r="A67" s="6" t="str">
        <x:v>R0099</x:v>
      </x:c>
      <x:c r="B67" s="6" t="str">
        <x:v>海能未来技术集团股份有限公司</x:v>
      </x:c>
      <x:c r="C67" s="6" t="str">
        <x:v>正式报告披露集团/子公司</x:v>
      </x:c>
      <x:c r="D67" s="6" t="str">
        <x:v>员工变化</x:v>
      </x:c>
      <x:c r="E67" s="6" t="str">
        <x:v>本期新增在职员工</x:v>
      </x:c>
      <x:c r="F67" s="17" t="n">
        <x:v>48</x:v>
      </x:c>
      <x:c r="G67" s="6" t="str">
        <x:v>人</x:v>
      </x:c>
      <x:c r="H67" s="6" t="str">
        <x:v>2026-06-30</x:v>
      </x:c>
      <x:c r="I67" s="20" t="d">
        <x:v>2026-08-17T00:00:00.000Z</x:v>
      </x:c>
      <x:c r="J67" s="6" t="str">
        <x:v>F001</x:v>
      </x:c>
      <x:c r="K67" s="6" t="str">
        <x:v>已核实原值</x:v>
      </x:c>
      <x:c r="L67" s="6" t="str">
        <x:v>；</x:v>
      </x:c>
    </x:row>
    <x:row r="68" ht="34" customHeight="1">
      <x:c r="A68" s="6" t="str">
        <x:v>R0107</x:v>
      </x:c>
      <x:c r="B68" s="6" t="str">
        <x:v>海能未来技术集团股份有限公司</x:v>
      </x:c>
      <x:c r="C68" s="6" t="str">
        <x:v>正式报告披露集团/子公司</x:v>
      </x:c>
      <x:c r="D68" s="6" t="str">
        <x:v>员工教育</x:v>
      </x:c>
      <x:c r="E68" s="6" t="str">
        <x:v>专科以下学历员工期末人数</x:v>
      </x:c>
      <x:c r="F68" s="17" t="n">
        <x:v>101</x:v>
      </x:c>
      <x:c r="G68" s="6" t="str">
        <x:v>人</x:v>
      </x:c>
      <x:c r="H68" s="6" t="str">
        <x:v>2026-06-30</x:v>
      </x:c>
      <x:c r="I68" s="20" t="d">
        <x:v>2026-08-17T00:00:00.000Z</x:v>
      </x:c>
      <x:c r="J68" s="6" t="str">
        <x:v>F001</x:v>
      </x:c>
      <x:c r="K68" s="6" t="str">
        <x:v>已核实原值</x:v>
      </x:c>
      <x:c r="L68" s="6" t="str">
        <x:v>；</x:v>
      </x:c>
    </x:row>
    <x:row r="69" ht="34" customHeight="1">
      <x:c r="A69" s="6" t="str">
        <x:v>R0106</x:v>
      </x:c>
      <x:c r="B69" s="6" t="str">
        <x:v>海能未来技术集团股份有限公司</x:v>
      </x:c>
      <x:c r="C69" s="6" t="str">
        <x:v>正式报告披露集团/子公司</x:v>
      </x:c>
      <x:c r="D69" s="6" t="str">
        <x:v>员工教育</x:v>
      </x:c>
      <x:c r="E69" s="6" t="str">
        <x:v>专科学历员工期末人数</x:v>
      </x:c>
      <x:c r="F69" s="17" t="n">
        <x:v>127</x:v>
      </x:c>
      <x:c r="G69" s="6" t="str">
        <x:v>人</x:v>
      </x:c>
      <x:c r="H69" s="6" t="str">
        <x:v>2026-06-30</x:v>
      </x:c>
      <x:c r="I69" s="20" t="d">
        <x:v>2026-08-17T00:00:00.000Z</x:v>
      </x:c>
      <x:c r="J69" s="6" t="str">
        <x:v>F001</x:v>
      </x:c>
      <x:c r="K69" s="6" t="str">
        <x:v>已核实原值</x:v>
      </x:c>
      <x:c r="L69" s="6" t="str">
        <x:v>；</x:v>
      </x:c>
    </x:row>
    <x:row r="70" ht="34" customHeight="1">
      <x:c r="A70" s="6" t="str">
        <x:v>R0103</x:v>
      </x:c>
      <x:c r="B70" s="6" t="str">
        <x:v>海能未来技术集团股份有限公司</x:v>
      </x:c>
      <x:c r="C70" s="6" t="str">
        <x:v>正式报告披露集团/子公司</x:v>
      </x:c>
      <x:c r="D70" s="6" t="str">
        <x:v>员工教育</x:v>
      </x:c>
      <x:c r="E70" s="6" t="str">
        <x:v>博士学历员工期末人数</x:v>
      </x:c>
      <x:c r="F70" s="17" t="n">
        <x:v>4</x:v>
      </x:c>
      <x:c r="G70" s="6" t="str">
        <x:v>人</x:v>
      </x:c>
      <x:c r="H70" s="6" t="str">
        <x:v>2026-06-30</x:v>
      </x:c>
      <x:c r="I70" s="20" t="d">
        <x:v>2026-08-17T00:00:00.000Z</x:v>
      </x:c>
      <x:c r="J70" s="6" t="str">
        <x:v>F001</x:v>
      </x:c>
      <x:c r="K70" s="6" t="str">
        <x:v>已核实原值</x:v>
      </x:c>
      <x:c r="L70" s="6" t="str">
        <x:v>；</x:v>
      </x:c>
    </x:row>
    <x:row r="71" ht="34" customHeight="1">
      <x:c r="A71" s="6" t="str">
        <x:v>R0105</x:v>
      </x:c>
      <x:c r="B71" s="6" t="str">
        <x:v>海能未来技术集团股份有限公司</x:v>
      </x:c>
      <x:c r="C71" s="6" t="str">
        <x:v>正式报告披露集团/子公司</x:v>
      </x:c>
      <x:c r="D71" s="6" t="str">
        <x:v>员工教育</x:v>
      </x:c>
      <x:c r="E71" s="6" t="str">
        <x:v>本科学历员工期末人数</x:v>
      </x:c>
      <x:c r="F71" s="17" t="n">
        <x:v>246</x:v>
      </x:c>
      <x:c r="G71" s="6" t="str">
        <x:v>人</x:v>
      </x:c>
      <x:c r="H71" s="6" t="str">
        <x:v>2026-06-30</x:v>
      </x:c>
      <x:c r="I71" s="20" t="d">
        <x:v>2026-08-17T00:00:00.000Z</x:v>
      </x:c>
      <x:c r="J71" s="6" t="str">
        <x:v>F001</x:v>
      </x:c>
      <x:c r="K71" s="6" t="str">
        <x:v>已核实原值</x:v>
      </x:c>
      <x:c r="L71" s="6" t="str">
        <x:v>；</x:v>
      </x:c>
    </x:row>
    <x:row r="72" ht="34" customHeight="1">
      <x:c r="A72" s="6" t="str">
        <x:v>R0104</x:v>
      </x:c>
      <x:c r="B72" s="6" t="str">
        <x:v>海能未来技术集团股份有限公司</x:v>
      </x:c>
      <x:c r="C72" s="6" t="str">
        <x:v>正式报告披露集团/子公司</x:v>
      </x:c>
      <x:c r="D72" s="6" t="str">
        <x:v>员工教育</x:v>
      </x:c>
      <x:c r="E72" s="6" t="str">
        <x:v>硕士学历员工期末人数</x:v>
      </x:c>
      <x:c r="F72" s="17" t="n">
        <x:v>88</x:v>
      </x:c>
      <x:c r="G72" s="6" t="str">
        <x:v>人</x:v>
      </x:c>
      <x:c r="H72" s="6" t="str">
        <x:v>2026-06-30</x:v>
      </x:c>
      <x:c r="I72" s="20" t="d">
        <x:v>2026-08-17T00:00:00.000Z</x:v>
      </x:c>
      <x:c r="J72" s="6" t="str">
        <x:v>F001</x:v>
      </x:c>
      <x:c r="K72" s="6" t="str">
        <x:v>已核实原值</x:v>
      </x:c>
      <x:c r="L72" s="6" t="str">
        <x:v>；</x:v>
      </x:c>
    </x:row>
    <x:row r="73" ht="34" customHeight="1">
      <x:c r="A73" s="6" t="str">
        <x:v>R0109</x:v>
      </x:c>
      <x:c r="B73" s="6" t="str">
        <x:v>海能未来技术集团股份有限公司</x:v>
      </x:c>
      <x:c r="C73" s="6" t="str">
        <x:v>正式报告披露集团/子公司</x:v>
      </x:c>
      <x:c r="D73" s="6" t="str">
        <x:v>员工规模</x:v>
      </x:c>
      <x:c r="E73" s="6" t="str">
        <x:v>年度在职员工期末人数</x:v>
      </x:c>
      <x:c r="F73" s="17" t="n">
        <x:v>565</x:v>
      </x:c>
      <x:c r="G73" s="6" t="str">
        <x:v>人</x:v>
      </x:c>
      <x:c r="H73" s="6" t="str">
        <x:v>2025-12-31</x:v>
      </x:c>
      <x:c r="I73" s="20" t="d">
        <x:v>2026-03-16T00:00:00.000Z</x:v>
      </x:c>
      <x:c r="J73" s="6" t="str">
        <x:v>F002</x:v>
      </x:c>
      <x:c r="K73" s="6" t="str">
        <x:v>已核实原值</x:v>
      </x:c>
      <x:c r="L73" s="6" t="str">
        <x:v>；</x:v>
      </x:c>
    </x:row>
    <x:row r="74" ht="34" customHeight="1">
      <x:c r="A74" s="6" t="str">
        <x:v>R0114</x:v>
      </x:c>
      <x:c r="B74" s="6" t="str">
        <x:v>海能未来技术集团股份有限公司</x:v>
      </x:c>
      <x:c r="C74" s="6" t="str">
        <x:v>正式报告披露集团/子公司</x:v>
      </x:c>
      <x:c r="D74" s="6" t="str">
        <x:v>员工规模</x:v>
      </x:c>
      <x:c r="E74" s="6" t="str">
        <x:v>技术人员年度期末人数</x:v>
      </x:c>
      <x:c r="F74" s="17" t="n">
        <x:v>193</x:v>
      </x:c>
      <x:c r="G74" s="6" t="str">
        <x:v>人</x:v>
      </x:c>
      <x:c r="H74" s="6" t="str">
        <x:v>2025-12-31</x:v>
      </x:c>
      <x:c r="I74" s="20" t="d">
        <x:v>2026-03-16T00:00:00.000Z</x:v>
      </x:c>
      <x:c r="J74" s="6" t="str">
        <x:v>F002</x:v>
      </x:c>
      <x:c r="K74" s="6" t="str">
        <x:v>已核实原值</x:v>
      </x:c>
      <x:c r="L74" s="6" t="str">
        <x:v>；</x:v>
      </x:c>
    </x:row>
    <x:row r="75" ht="34" customHeight="1">
      <x:c r="A75" s="6" t="str">
        <x:v>R0112</x:v>
      </x:c>
      <x:c r="B75" s="6" t="str">
        <x:v>海能未来技术集团股份有限公司</x:v>
      </x:c>
      <x:c r="C75" s="6" t="str">
        <x:v>正式报告披露集团/子公司</x:v>
      </x:c>
      <x:c r="D75" s="6" t="str">
        <x:v>员工规模</x:v>
      </x:c>
      <x:c r="E75" s="6" t="str">
        <x:v>生产人员年度期末人数</x:v>
      </x:c>
      <x:c r="F75" s="17" t="n">
        <x:v>133</x:v>
      </x:c>
      <x:c r="G75" s="6" t="str">
        <x:v>人</x:v>
      </x:c>
      <x:c r="H75" s="6" t="str">
        <x:v>2025-12-31</x:v>
      </x:c>
      <x:c r="I75" s="20" t="d">
        <x:v>2026-03-16T00:00:00.000Z</x:v>
      </x:c>
      <x:c r="J75" s="6" t="str">
        <x:v>F002</x:v>
      </x:c>
      <x:c r="K75" s="6" t="str">
        <x:v>已核实原值</x:v>
      </x:c>
      <x:c r="L75" s="6" t="str">
        <x:v>；</x:v>
      </x:c>
    </x:row>
    <x:row r="76" ht="34" customHeight="1">
      <x:c r="A76" s="6" t="str">
        <x:v>R0110</x:v>
      </x:c>
      <x:c r="B76" s="6" t="str">
        <x:v>海能未来技术集团股份有限公司</x:v>
      </x:c>
      <x:c r="C76" s="6" t="str">
        <x:v>正式报告披露集团/子公司</x:v>
      </x:c>
      <x:c r="D76" s="6" t="str">
        <x:v>员工规模</x:v>
      </x:c>
      <x:c r="E76" s="6" t="str">
        <x:v>管理人员年度期末人数</x:v>
      </x:c>
      <x:c r="F76" s="17" t="n">
        <x:v>22</x:v>
      </x:c>
      <x:c r="G76" s="6" t="str">
        <x:v>人</x:v>
      </x:c>
      <x:c r="H76" s="6" t="str">
        <x:v>2025-12-31</x:v>
      </x:c>
      <x:c r="I76" s="20" t="d">
        <x:v>2026-03-16T00:00:00.000Z</x:v>
      </x:c>
      <x:c r="J76" s="6" t="str">
        <x:v>F002</x:v>
      </x:c>
      <x:c r="K76" s="6" t="str">
        <x:v>已核实原值</x:v>
      </x:c>
      <x:c r="L76" s="6" t="str">
        <x:v>；</x:v>
      </x:c>
    </x:row>
    <x:row r="77" ht="34" customHeight="1">
      <x:c r="A77" s="6" t="str">
        <x:v>R0111</x:v>
      </x:c>
      <x:c r="B77" s="6" t="str">
        <x:v>海能未来技术集团股份有限公司</x:v>
      </x:c>
      <x:c r="C77" s="6" t="str">
        <x:v>正式报告披露集团/子公司</x:v>
      </x:c>
      <x:c r="D77" s="6" t="str">
        <x:v>员工规模</x:v>
      </x:c>
      <x:c r="E77" s="6" t="str">
        <x:v>行政人员年度期末人数</x:v>
      </x:c>
      <x:c r="F77" s="17" t="n">
        <x:v>54</x:v>
      </x:c>
      <x:c r="G77" s="6" t="str">
        <x:v>人</x:v>
      </x:c>
      <x:c r="H77" s="6" t="str">
        <x:v>2025-12-31</x:v>
      </x:c>
      <x:c r="I77" s="20" t="d">
        <x:v>2026-03-16T00:00:00.000Z</x:v>
      </x:c>
      <x:c r="J77" s="6" t="str">
        <x:v>F002</x:v>
      </x:c>
      <x:c r="K77" s="6" t="str">
        <x:v>已核实原值</x:v>
      </x:c>
      <x:c r="L77" s="6" t="str">
        <x:v>；</x:v>
      </x:c>
    </x:row>
    <x:row r="78" ht="34" customHeight="1">
      <x:c r="A78" s="6" t="str">
        <x:v>R0115</x:v>
      </x:c>
      <x:c r="B78" s="6" t="str">
        <x:v>海能未来技术集团股份有限公司</x:v>
      </x:c>
      <x:c r="C78" s="6" t="str">
        <x:v>正式报告披露集团/子公司</x:v>
      </x:c>
      <x:c r="D78" s="6" t="str">
        <x:v>员工规模</x:v>
      </x:c>
      <x:c r="E78" s="6" t="str">
        <x:v>财务人员年度期末人数</x:v>
      </x:c>
      <x:c r="F78" s="17" t="n">
        <x:v>24</x:v>
      </x:c>
      <x:c r="G78" s="6" t="str">
        <x:v>人</x:v>
      </x:c>
      <x:c r="H78" s="6" t="str">
        <x:v>2025-12-31</x:v>
      </x:c>
      <x:c r="I78" s="20" t="d">
        <x:v>2026-03-16T00:00:00.000Z</x:v>
      </x:c>
      <x:c r="J78" s="6" t="str">
        <x:v>F002</x:v>
      </x:c>
      <x:c r="K78" s="6" t="str">
        <x:v>已核实原值</x:v>
      </x:c>
      <x:c r="L78" s="6" t="str">
        <x:v>；</x:v>
      </x:c>
    </x:row>
    <x:row r="79" ht="34" customHeight="1">
      <x:c r="A79" s="6" t="str">
        <x:v>R0113</x:v>
      </x:c>
      <x:c r="B79" s="6" t="str">
        <x:v>海能未来技术集团股份有限公司</x:v>
      </x:c>
      <x:c r="C79" s="6" t="str">
        <x:v>正式报告披露集团/子公司</x:v>
      </x:c>
      <x:c r="D79" s="6" t="str">
        <x:v>员工规模</x:v>
      </x:c>
      <x:c r="E79" s="6" t="str">
        <x:v>销售人员年度期末人数</x:v>
      </x:c>
      <x:c r="F79" s="17" t="n">
        <x:v>139</x:v>
      </x:c>
      <x:c r="G79" s="6" t="str">
        <x:v>人</x:v>
      </x:c>
      <x:c r="H79" s="6" t="str">
        <x:v>2025-12-31</x:v>
      </x:c>
      <x:c r="I79" s="20" t="d">
        <x:v>2026-03-16T00:00:00.000Z</x:v>
      </x:c>
      <x:c r="J79" s="6" t="str">
        <x:v>F002</x:v>
      </x:c>
      <x:c r="K79" s="6" t="str">
        <x:v>已核实原值</x:v>
      </x:c>
      <x:c r="L79" s="6" t="str">
        <x:v>；</x:v>
      </x:c>
    </x:row>
    <x:row r="80" ht="34" customHeight="1">
      <x:c r="A80" s="6" t="str">
        <x:v>R0097</x:v>
      </x:c>
      <x:c r="B80" s="6" t="str">
        <x:v>海能未来技术集团股份有限公司</x:v>
      </x:c>
      <x:c r="C80" s="6" t="str">
        <x:v>正式报告披露集团/子公司</x:v>
      </x:c>
      <x:c r="D80" s="6" t="str">
        <x:v>员工规模</x:v>
      </x:c>
      <x:c r="E80" s="6" t="str">
        <x:v>员工总计期末人数</x:v>
      </x:c>
      <x:c r="F80" s="17" t="n">
        <x:v>566</x:v>
      </x:c>
      <x:c r="G80" s="6" t="str">
        <x:v>人</x:v>
      </x:c>
      <x:c r="H80" s="6" t="str">
        <x:v>2026-06-30</x:v>
      </x:c>
      <x:c r="I80" s="20" t="d">
        <x:v>2026-08-17T00:00:00.000Z</x:v>
      </x:c>
      <x:c r="J80" s="6" t="str">
        <x:v>F001</x:v>
      </x:c>
      <x:c r="K80" s="6" t="str">
        <x:v>已核实原值</x:v>
      </x:c>
      <x:c r="L80" s="6" t="str">
        <x:v>；公司及控股子公司，非母公司单体。</x:v>
      </x:c>
    </x:row>
    <x:row r="81" ht="34" customHeight="1">
      <x:c r="A81" s="6" t="str">
        <x:v>R0102</x:v>
      </x:c>
      <x:c r="B81" s="6" t="str">
        <x:v>海能未来技术集团股份有限公司</x:v>
      </x:c>
      <x:c r="C81" s="6" t="str">
        <x:v>正式报告披露集团/子公司</x:v>
      </x:c>
      <x:c r="D81" s="6" t="str">
        <x:v>员工规模</x:v>
      </x:c>
      <x:c r="E81" s="6" t="str">
        <x:v>在职员工期末人数交叉核验</x:v>
      </x:c>
      <x:c r="F81" s="17" t="n">
        <x:v>566</x:v>
      </x:c>
      <x:c r="G81" s="6" t="str">
        <x:v>人</x:v>
      </x:c>
      <x:c r="H81" s="6" t="str">
        <x:v>2026-06-30</x:v>
      </x:c>
      <x:c r="I81" s="20" t="d">
        <x:v>2026-08-17T00:00:00.000Z</x:v>
      </x:c>
      <x:c r="J81" s="6" t="str">
        <x:v>F001</x:v>
      </x:c>
      <x:c r="K81" s="6" t="str">
        <x:v>由原值计算</x:v>
      </x:c>
      <x:c r="L81" s="6" t="str">
        <x:v>；565+48-47=566；与期末原值一致。</x:v>
      </x:c>
    </x:row>
    <x:row r="82" ht="34" customHeight="1">
      <x:c r="A82" s="6" t="str">
        <x:v>R0095</x:v>
      </x:c>
      <x:c r="B82" s="6" t="str">
        <x:v>海能未来技术集团股份有限公司</x:v>
      </x:c>
      <x:c r="C82" s="6" t="str">
        <x:v>正式报告披露集团/子公司</x:v>
      </x:c>
      <x:c r="D82" s="6" t="str">
        <x:v>员工规模</x:v>
      </x:c>
      <x:c r="E82" s="6" t="str">
        <x:v>技术人员期末人数</x:v>
      </x:c>
      <x:c r="F82" s="17" t="n">
        <x:v>188</x:v>
      </x:c>
      <x:c r="G82" s="6" t="str">
        <x:v>人</x:v>
      </x:c>
      <x:c r="H82" s="6" t="str">
        <x:v>2026-06-30</x:v>
      </x:c>
      <x:c r="I82" s="20" t="d">
        <x:v>2026-08-17T00:00:00.000Z</x:v>
      </x:c>
      <x:c r="J82" s="6" t="str">
        <x:v>F001</x:v>
      </x:c>
      <x:c r="K82" s="6" t="str">
        <x:v>已核实原值</x:v>
      </x:c>
      <x:c r="L82" s="6" t="str">
        <x:v>；公司及控股子公司，非母公司单体。</x:v>
      </x:c>
    </x:row>
    <x:row r="83" ht="34" customHeight="1">
      <x:c r="A83" s="6" t="str">
        <x:v>R0108</x:v>
      </x:c>
      <x:c r="B83" s="6" t="str">
        <x:v>海能未来技术集团股份有限公司</x:v>
      </x:c>
      <x:c r="C83" s="6" t="str">
        <x:v>正式报告披露集团/子公司</x:v>
      </x:c>
      <x:c r="D83" s="6" t="str">
        <x:v>员工规模</x:v>
      </x:c>
      <x:c r="E83" s="6" t="str">
        <x:v>核心员工期末人数</x:v>
      </x:c>
      <x:c r="F83" s="17" t="n">
        <x:v>78</x:v>
      </x:c>
      <x:c r="G83" s="6" t="str">
        <x:v>人</x:v>
      </x:c>
      <x:c r="H83" s="6" t="str">
        <x:v>2026-06-30</x:v>
      </x:c>
      <x:c r="I83" s="20" t="d">
        <x:v>2026-08-17T00:00:00.000Z</x:v>
      </x:c>
      <x:c r="J83" s="6" t="str">
        <x:v>F001</x:v>
      </x:c>
      <x:c r="K83" s="6" t="str">
        <x:v>已核实原值</x:v>
      </x:c>
      <x:c r="L83" s="6" t="str">
        <x:v>；</x:v>
      </x:c>
    </x:row>
    <x:row r="84" ht="34" customHeight="1">
      <x:c r="A84" s="6" t="str">
        <x:v>R0093</x:v>
      </x:c>
      <x:c r="B84" s="6" t="str">
        <x:v>海能未来技术集团股份有限公司</x:v>
      </x:c>
      <x:c r="C84" s="6" t="str">
        <x:v>正式报告披露集团/子公司</x:v>
      </x:c>
      <x:c r="D84" s="6" t="str">
        <x:v>员工规模</x:v>
      </x:c>
      <x:c r="E84" s="6" t="str">
        <x:v>生产人员期末人数</x:v>
      </x:c>
      <x:c r="F84" s="17" t="n">
        <x:v>127</x:v>
      </x:c>
      <x:c r="G84" s="6" t="str">
        <x:v>人</x:v>
      </x:c>
      <x:c r="H84" s="6" t="str">
        <x:v>2026-06-30</x:v>
      </x:c>
      <x:c r="I84" s="20" t="d">
        <x:v>2026-08-17T00:00:00.000Z</x:v>
      </x:c>
      <x:c r="J84" s="6" t="str">
        <x:v>F001</x:v>
      </x:c>
      <x:c r="K84" s="6" t="str">
        <x:v>已核实原值</x:v>
      </x:c>
      <x:c r="L84" s="6" t="str">
        <x:v>；公司及控股子公司，非母公司单体。</x:v>
      </x:c>
    </x:row>
    <x:row r="85" ht="34" customHeight="1">
      <x:c r="A85" s="6" t="str">
        <x:v>R0091</x:v>
      </x:c>
      <x:c r="B85" s="6" t="str">
        <x:v>海能未来技术集团股份有限公司</x:v>
      </x:c>
      <x:c r="C85" s="6" t="str">
        <x:v>正式报告披露集团/子公司</x:v>
      </x:c>
      <x:c r="D85" s="6" t="str">
        <x:v>员工规模</x:v>
      </x:c>
      <x:c r="E85" s="6" t="str">
        <x:v>管理人员期末人数</x:v>
      </x:c>
      <x:c r="F85" s="17" t="n">
        <x:v>25</x:v>
      </x:c>
      <x:c r="G85" s="6" t="str">
        <x:v>人</x:v>
      </x:c>
      <x:c r="H85" s="6" t="str">
        <x:v>2026-06-30</x:v>
      </x:c>
      <x:c r="I85" s="20" t="d">
        <x:v>2026-08-17T00:00:00.000Z</x:v>
      </x:c>
      <x:c r="J85" s="6" t="str">
        <x:v>F001</x:v>
      </x:c>
      <x:c r="K85" s="6" t="str">
        <x:v>已核实原值</x:v>
      </x:c>
      <x:c r="L85" s="6" t="str">
        <x:v>；公司及控股子公司，非母公司单体。</x:v>
      </x:c>
    </x:row>
    <x:row r="86" ht="34" customHeight="1">
      <x:c r="A86" s="6" t="str">
        <x:v>R0092</x:v>
      </x:c>
      <x:c r="B86" s="6" t="str">
        <x:v>海能未来技术集团股份有限公司</x:v>
      </x:c>
      <x:c r="C86" s="6" t="str">
        <x:v>正式报告披露集团/子公司</x:v>
      </x:c>
      <x:c r="D86" s="6" t="str">
        <x:v>员工规模</x:v>
      </x:c>
      <x:c r="E86" s="6" t="str">
        <x:v>行政人员期末人数</x:v>
      </x:c>
      <x:c r="F86" s="17" t="n">
        <x:v>59</x:v>
      </x:c>
      <x:c r="G86" s="6" t="str">
        <x:v>人</x:v>
      </x:c>
      <x:c r="H86" s="6" t="str">
        <x:v>2026-06-30</x:v>
      </x:c>
      <x:c r="I86" s="20" t="d">
        <x:v>2026-08-17T00:00:00.000Z</x:v>
      </x:c>
      <x:c r="J86" s="6" t="str">
        <x:v>F001</x:v>
      </x:c>
      <x:c r="K86" s="6" t="str">
        <x:v>已核实原值</x:v>
      </x:c>
      <x:c r="L86" s="6" t="str">
        <x:v>；公司及控股子公司，非母公司单体。</x:v>
      </x:c>
    </x:row>
    <x:row r="87" ht="34" customHeight="1">
      <x:c r="A87" s="6" t="str">
        <x:v>R0096</x:v>
      </x:c>
      <x:c r="B87" s="6" t="str">
        <x:v>海能未来技术集团股份有限公司</x:v>
      </x:c>
      <x:c r="C87" s="6" t="str">
        <x:v>正式报告披露集团/子公司</x:v>
      </x:c>
      <x:c r="D87" s="6" t="str">
        <x:v>员工规模</x:v>
      </x:c>
      <x:c r="E87" s="6" t="str">
        <x:v>财务人员期末人数</x:v>
      </x:c>
      <x:c r="F87" s="17" t="n">
        <x:v>24</x:v>
      </x:c>
      <x:c r="G87" s="6" t="str">
        <x:v>人</x:v>
      </x:c>
      <x:c r="H87" s="6" t="str">
        <x:v>2026-06-30</x:v>
      </x:c>
      <x:c r="I87" s="20" t="d">
        <x:v>2026-08-17T00:00:00.000Z</x:v>
      </x:c>
      <x:c r="J87" s="6" t="str">
        <x:v>F001</x:v>
      </x:c>
      <x:c r="K87" s="6" t="str">
        <x:v>已核实原值</x:v>
      </x:c>
      <x:c r="L87" s="6" t="str">
        <x:v>；公司及控股子公司，非母公司单体。</x:v>
      </x:c>
    </x:row>
    <x:row r="88" ht="34" customHeight="1">
      <x:c r="A88" s="6" t="str">
        <x:v>R0094</x:v>
      </x:c>
      <x:c r="B88" s="6" t="str">
        <x:v>海能未来技术集团股份有限公司</x:v>
      </x:c>
      <x:c r="C88" s="6" t="str">
        <x:v>正式报告披露集团/子公司</x:v>
      </x:c>
      <x:c r="D88" s="6" t="str">
        <x:v>员工规模</x:v>
      </x:c>
      <x:c r="E88" s="6" t="str">
        <x:v>销售人员期末人数</x:v>
      </x:c>
      <x:c r="F88" s="17" t="n">
        <x:v>143</x:v>
      </x:c>
      <x:c r="G88" s="6" t="str">
        <x:v>人</x:v>
      </x:c>
      <x:c r="H88" s="6" t="str">
        <x:v>2026-06-30</x:v>
      </x:c>
      <x:c r="I88" s="20" t="d">
        <x:v>2026-08-17T00:00:00.000Z</x:v>
      </x:c>
      <x:c r="J88" s="6" t="str">
        <x:v>F001</x:v>
      </x:c>
      <x:c r="K88" s="6" t="str">
        <x:v>已核实原值</x:v>
      </x:c>
      <x:c r="L88" s="6" t="str">
        <x:v>；公司及控股子公司，非母公司单体。</x:v>
      </x:c>
    </x:row>
    <x:row r="89" ht="34" customHeight="1">
      <x:c r="A89" s="6" t="str">
        <x:v>R0155</x:v>
      </x:c>
      <x:c r="B89" s="6" t="str">
        <x:v>海能未来技术集团股份有限公司</x:v>
      </x:c>
      <x:c r="C89" s="6" t="str">
        <x:v>正式报告披露集团/子公司</x:v>
      </x:c>
      <x:c r="D89" s="6" t="str">
        <x:v>客户供应商</x:v>
      </x:c>
      <x:c r="E89" s="6" t="str">
        <x:v>2025年前五供应商第1名</x:v>
      </x:c>
      <x:c r="F89" s="6" t="str">
        <x:v>CTC Analytics AG</x:v>
      </x:c>
      <x:c r="G89" s="6" t="str"/>
      <x:c r="H89" s="6" t="str">
        <x:v>2025-12-31</x:v>
      </x:c>
      <x:c r="I89" s="20" t="d">
        <x:v>2026-03-16T00:00:00.000Z</x:v>
      </x:c>
      <x:c r="J89" s="6" t="str">
        <x:v>F002</x:v>
      </x:c>
      <x:c r="K89" s="6" t="str">
        <x:v>已核实原值</x:v>
      </x:c>
      <x:c r="L89" s="6" t="str">
        <x:v>；</x:v>
      </x:c>
    </x:row>
    <x:row r="90" ht="34" customHeight="1">
      <x:c r="A90" s="6" t="str">
        <x:v>R0158</x:v>
      </x:c>
      <x:c r="B90" s="6" t="str">
        <x:v>海能未来技术集团股份有限公司</x:v>
      </x:c>
      <x:c r="C90" s="6" t="str">
        <x:v>正式报告披露集团/子公司</x:v>
      </x:c>
      <x:c r="D90" s="6" t="str">
        <x:v>客户供应商</x:v>
      </x:c>
      <x:c r="E90" s="6" t="str">
        <x:v>2025年前五供应商第2名</x:v>
      </x:c>
      <x:c r="F90" s="6" t="str">
        <x:v>江苏沃凯氟精密智造有限公司</x:v>
      </x:c>
      <x:c r="G90" s="6" t="str"/>
      <x:c r="H90" s="6" t="str">
        <x:v>2025-12-31</x:v>
      </x:c>
      <x:c r="I90" s="20" t="d">
        <x:v>2026-03-16T00:00:00.000Z</x:v>
      </x:c>
      <x:c r="J90" s="6" t="str">
        <x:v>F002</x:v>
      </x:c>
      <x:c r="K90" s="6" t="str">
        <x:v>已核实原值</x:v>
      </x:c>
      <x:c r="L90" s="6" t="str">
        <x:v>；</x:v>
      </x:c>
    </x:row>
    <x:row r="91" ht="34" customHeight="1">
      <x:c r="A91" s="6" t="str">
        <x:v>R0161</x:v>
      </x:c>
      <x:c r="B91" s="6" t="str">
        <x:v>海能未来技术集团股份有限公司</x:v>
      </x:c>
      <x:c r="C91" s="6" t="str">
        <x:v>正式报告披露集团/子公司</x:v>
      </x:c>
      <x:c r="D91" s="6" t="str">
        <x:v>客户供应商</x:v>
      </x:c>
      <x:c r="E91" s="6" t="str">
        <x:v>2025年前五供应商第3名</x:v>
      </x:c>
      <x:c r="F91" s="6" t="str">
        <x:v>河北磐仪分析仪器有限责任公司</x:v>
      </x:c>
      <x:c r="G91" s="6" t="str"/>
      <x:c r="H91" s="6" t="str">
        <x:v>2025-12-31</x:v>
      </x:c>
      <x:c r="I91" s="20" t="d">
        <x:v>2026-03-16T00:00:00.000Z</x:v>
      </x:c>
      <x:c r="J91" s="6" t="str">
        <x:v>F002</x:v>
      </x:c>
      <x:c r="K91" s="6" t="str">
        <x:v>已核实原值</x:v>
      </x:c>
      <x:c r="L91" s="6" t="str">
        <x:v>；</x:v>
      </x:c>
    </x:row>
    <x:row r="92" ht="34" customHeight="1">
      <x:c r="A92" s="6" t="str">
        <x:v>R0164</x:v>
      </x:c>
      <x:c r="B92" s="6" t="str">
        <x:v>海能未来技术集团股份有限公司</x:v>
      </x:c>
      <x:c r="C92" s="6" t="str">
        <x:v>正式报告披露集团/子公司</x:v>
      </x:c>
      <x:c r="D92" s="6" t="str">
        <x:v>客户供应商</x:v>
      </x:c>
      <x:c r="E92" s="6" t="str">
        <x:v>2025年前五供应商第4名</x:v>
      </x:c>
      <x:c r="F92" s="6" t="str">
        <x:v>石家庄莱博瑞分析仪器有限公司</x:v>
      </x:c>
      <x:c r="G92" s="6" t="str"/>
      <x:c r="H92" s="6" t="str">
        <x:v>2025-12-31</x:v>
      </x:c>
      <x:c r="I92" s="20" t="d">
        <x:v>2026-03-16T00:00:00.000Z</x:v>
      </x:c>
      <x:c r="J92" s="6" t="str">
        <x:v>F002</x:v>
      </x:c>
      <x:c r="K92" s="6" t="str">
        <x:v>已核实原值</x:v>
      </x:c>
      <x:c r="L92" s="6" t="str">
        <x:v>；</x:v>
      </x:c>
    </x:row>
    <x:row r="93" ht="34" customHeight="1">
      <x:c r="A93" s="6" t="str">
        <x:v>R0167</x:v>
      </x:c>
      <x:c r="B93" s="6" t="str">
        <x:v>海能未来技术集团股份有限公司</x:v>
      </x:c>
      <x:c r="C93" s="6" t="str">
        <x:v>正式报告披露集团/子公司</x:v>
      </x:c>
      <x:c r="D93" s="6" t="str">
        <x:v>客户供应商</x:v>
      </x:c>
      <x:c r="E93" s="6" t="str">
        <x:v>2025年前五供应商第5名</x:v>
      </x:c>
      <x:c r="F93" s="6" t="str">
        <x:v>上海侃达机电设备有限公司</x:v>
      </x:c>
      <x:c r="G93" s="6" t="str"/>
      <x:c r="H93" s="6" t="str">
        <x:v>2025-12-31</x:v>
      </x:c>
      <x:c r="I93" s="20" t="d">
        <x:v>2026-03-16T00:00:00.000Z</x:v>
      </x:c>
      <x:c r="J93" s="6" t="str">
        <x:v>F002</x:v>
      </x:c>
      <x:c r="K93" s="6" t="str">
        <x:v>已核实原值</x:v>
      </x:c>
      <x:c r="L93" s="6" t="str">
        <x:v>；</x:v>
      </x:c>
    </x:row>
    <x:row r="94" ht="34" customHeight="1">
      <x:c r="A94" s="6" t="str">
        <x:v>R0140</x:v>
      </x:c>
      <x:c r="B94" s="6" t="str">
        <x:v>海能未来技术集团股份有限公司</x:v>
      </x:c>
      <x:c r="C94" s="6" t="str">
        <x:v>正式报告披露集团/子公司</x:v>
      </x:c>
      <x:c r="D94" s="6" t="str">
        <x:v>客户供应商</x:v>
      </x:c>
      <x:c r="E94" s="6" t="str">
        <x:v>2025年前五客户第1名</x:v>
      </x:c>
      <x:c r="F94" s="6" t="str">
        <x:v>杭州国迈进出口有限公司</x:v>
      </x:c>
      <x:c r="G94" s="6" t="str"/>
      <x:c r="H94" s="6" t="str">
        <x:v>2025-12-31</x:v>
      </x:c>
      <x:c r="I94" s="20" t="d">
        <x:v>2026-03-16T00:00:00.000Z</x:v>
      </x:c>
      <x:c r="J94" s="6" t="str">
        <x:v>F002</x:v>
      </x:c>
      <x:c r="K94" s="6" t="str">
        <x:v>已核实原值</x:v>
      </x:c>
      <x:c r="L94" s="6" t="str">
        <x:v>；</x:v>
      </x:c>
    </x:row>
    <x:row r="95" ht="34" customHeight="1">
      <x:c r="A95" s="6" t="str">
        <x:v>R0143</x:v>
      </x:c>
      <x:c r="B95" s="6" t="str">
        <x:v>海能未来技术集团股份有限公司</x:v>
      </x:c>
      <x:c r="C95" s="6" t="str">
        <x:v>正式报告披露集团/子公司</x:v>
      </x:c>
      <x:c r="D95" s="6" t="str">
        <x:v>客户供应商</x:v>
      </x:c>
      <x:c r="E95" s="6" t="str">
        <x:v>2025年前五客户第2名</x:v>
      </x:c>
      <x:c r="F95" s="6" t="str">
        <x:v>浙江省科学器材进出口有限责任公司</x:v>
      </x:c>
      <x:c r="G95" s="6" t="str"/>
      <x:c r="H95" s="6" t="str">
        <x:v>2025-12-31</x:v>
      </x:c>
      <x:c r="I95" s="20" t="d">
        <x:v>2026-03-16T00:00:00.000Z</x:v>
      </x:c>
      <x:c r="J95" s="6" t="str">
        <x:v>F002</x:v>
      </x:c>
      <x:c r="K95" s="6" t="str">
        <x:v>已核实原值</x:v>
      </x:c>
      <x:c r="L95" s="6" t="str">
        <x:v>；</x:v>
      </x:c>
    </x:row>
    <x:row r="96" ht="34" customHeight="1">
      <x:c r="A96" s="6" t="str">
        <x:v>R0146</x:v>
      </x:c>
      <x:c r="B96" s="6" t="str">
        <x:v>海能未来技术集团股份有限公司</x:v>
      </x:c>
      <x:c r="C96" s="6" t="str">
        <x:v>正式报告披露集团/子公司</x:v>
      </x:c>
      <x:c r="D96" s="6" t="str">
        <x:v>客户供应商</x:v>
      </x:c>
      <x:c r="E96" s="6" t="str">
        <x:v>2025年前五客户第3名</x:v>
      </x:c>
      <x:c r="F96" s="6" t="str">
        <x:v>华测检测认证集团股份有限公司及其关联企业</x:v>
      </x:c>
      <x:c r="G96" s="6" t="str"/>
      <x:c r="H96" s="6" t="str">
        <x:v>2025-12-31</x:v>
      </x:c>
      <x:c r="I96" s="20" t="d">
        <x:v>2026-03-16T00:00:00.000Z</x:v>
      </x:c>
      <x:c r="J96" s="6" t="str">
        <x:v>F002</x:v>
      </x:c>
      <x:c r="K96" s="6" t="str">
        <x:v>已核实原值</x:v>
      </x:c>
      <x:c r="L96" s="6" t="str">
        <x:v>；</x:v>
      </x:c>
    </x:row>
    <x:row r="97" ht="34" customHeight="1">
      <x:c r="A97" s="6" t="str">
        <x:v>R0149</x:v>
      </x:c>
      <x:c r="B97" s="6" t="str">
        <x:v>海能未来技术集团股份有限公司</x:v>
      </x:c>
      <x:c r="C97" s="6" t="str">
        <x:v>正式报告披露集团/子公司</x:v>
      </x:c>
      <x:c r="D97" s="6" t="str">
        <x:v>客户供应商</x:v>
      </x:c>
      <x:c r="E97" s="6" t="str">
        <x:v>2025年前五客户第4名</x:v>
      </x:c>
      <x:c r="F97" s="6" t="str">
        <x:v>Lab Service Analytica s.r.l.</x:v>
      </x:c>
      <x:c r="G97" s="6" t="str"/>
      <x:c r="H97" s="6" t="str">
        <x:v>2025-12-31</x:v>
      </x:c>
      <x:c r="I97" s="20" t="d">
        <x:v>2026-03-16T00:00:00.000Z</x:v>
      </x:c>
      <x:c r="J97" s="6" t="str">
        <x:v>F002</x:v>
      </x:c>
      <x:c r="K97" s="6" t="str">
        <x:v>已核实原值</x:v>
      </x:c>
      <x:c r="L97" s="6" t="str">
        <x:v>；</x:v>
      </x:c>
    </x:row>
    <x:row r="98" ht="34" customHeight="1">
      <x:c r="A98" s="6" t="str">
        <x:v>R0152</x:v>
      </x:c>
      <x:c r="B98" s="6" t="str">
        <x:v>海能未来技术集团股份有限公司</x:v>
      </x:c>
      <x:c r="C98" s="6" t="str">
        <x:v>正式报告披露集团/子公司</x:v>
      </x:c>
      <x:c r="D98" s="6" t="str">
        <x:v>客户供应商</x:v>
      </x:c>
      <x:c r="E98" s="6" t="str">
        <x:v>2025年前五客户第5名</x:v>
      </x:c>
      <x:c r="F98" s="6" t="str">
        <x:v>杭州汉一科学仪器有限公司</x:v>
      </x:c>
      <x:c r="G98" s="6" t="str"/>
      <x:c r="H98" s="6" t="str">
        <x:v>2025-12-31</x:v>
      </x:c>
      <x:c r="I98" s="20" t="d">
        <x:v>2026-03-16T00:00:00.000Z</x:v>
      </x:c>
      <x:c r="J98" s="6" t="str">
        <x:v>F002</x:v>
      </x:c>
      <x:c r="K98" s="6" t="str">
        <x:v>已核实原值</x:v>
      </x:c>
      <x:c r="L98" s="6" t="str">
        <x:v>；</x:v>
      </x:c>
    </x:row>
    <x:row r="99" ht="34" customHeight="1">
      <x:c r="A99" s="6" t="str">
        <x:v>R0157</x:v>
      </x:c>
      <x:c r="B99" s="6" t="str">
        <x:v>海能未来技术集团股份有限公司</x:v>
      </x:c>
      <x:c r="C99" s="6" t="str">
        <x:v>正式报告披露集团/子公司</x:v>
      </x:c>
      <x:c r="D99" s="6" t="str">
        <x:v>客户供应商</x:v>
      </x:c>
      <x:c r="E99" s="6" t="str">
        <x:v>CTC Analytics AG对应年度占比</x:v>
      </x:c>
      <x:c r="F99" s="19" t="n">
        <x:v>4.83</x:v>
      </x:c>
      <x:c r="G99" s="6" t="str">
        <x:v>%</x:v>
      </x:c>
      <x:c r="H99" s="6" t="str">
        <x:v>2025-12-31</x:v>
      </x:c>
      <x:c r="I99" s="20" t="d">
        <x:v>2026-03-16T00:00:00.000Z</x:v>
      </x:c>
      <x:c r="J99" s="6" t="str">
        <x:v>F002</x:v>
      </x:c>
      <x:c r="K99" s="6" t="str">
        <x:v>已核实原值</x:v>
      </x:c>
      <x:c r="L99" s="6" t="str">
        <x:v>；</x:v>
      </x:c>
    </x:row>
    <x:row r="100" ht="40" customHeight="1">
      <x:c r="A100" s="6" t="str">
        <x:v>R0156</x:v>
      </x:c>
      <x:c r="B100" s="6" t="str">
        <x:v>海能未来技术集团股份有限公司</x:v>
      </x:c>
      <x:c r="C100" s="6" t="str">
        <x:v>正式报告披露集团/子公司</x:v>
      </x:c>
      <x:c r="D100" s="6" t="str">
        <x:v>客户供应商</x:v>
      </x:c>
      <x:c r="E100" s="6" t="str">
        <x:v>CTC Analytics AG对应年度采购金额</x:v>
      </x:c>
      <x:c r="F100" s="19" t="n">
        <x:v>4289389.84</x:v>
      </x:c>
      <x:c r="G100" s="6" t="str">
        <x:v>人民币元</x:v>
      </x:c>
      <x:c r="H100" s="6" t="str">
        <x:v>2025-12-31</x:v>
      </x:c>
      <x:c r="I100" s="20" t="d">
        <x:v>2026-03-16T00:00:00.000Z</x:v>
      </x:c>
      <x:c r="J100" s="6" t="str">
        <x:v>F002</x:v>
      </x:c>
      <x:c r="K100" s="6" t="str">
        <x:v>已核实原值</x:v>
      </x:c>
      <x:c r="L100" s="6" t="str">
        <x:v>；集团与该客户/供应商的交易额，非该主体自身营业收入。</x:v>
      </x:c>
    </x:row>
    <x:row r="101" ht="40" customHeight="1">
      <x:c r="A101" s="6" t="str">
        <x:v>R0151</x:v>
      </x:c>
      <x:c r="B101" s="6" t="str">
        <x:v>海能未来技术集团股份有限公司</x:v>
      </x:c>
      <x:c r="C101" s="6" t="str">
        <x:v>正式报告披露集团/子公司</x:v>
      </x:c>
      <x:c r="D101" s="6" t="str">
        <x:v>客户供应商</x:v>
      </x:c>
      <x:c r="E101" s="6" t="str">
        <x:v>Lab Service Analytica s.r.l.对应年度占比</x:v>
      </x:c>
      <x:c r="F101" s="19" t="n">
        <x:v>1.04</x:v>
      </x:c>
      <x:c r="G101" s="6" t="str">
        <x:v>%</x:v>
      </x:c>
      <x:c r="H101" s="6" t="str">
        <x:v>2025-12-31</x:v>
      </x:c>
      <x:c r="I101" s="20" t="d">
        <x:v>2026-03-16T00:00:00.000Z</x:v>
      </x:c>
      <x:c r="J101" s="6" t="str">
        <x:v>F002</x:v>
      </x:c>
      <x:c r="K101" s="6" t="str">
        <x:v>已核实原值</x:v>
      </x:c>
      <x:c r="L101" s="6" t="str">
        <x:v>；</x:v>
      </x:c>
    </x:row>
    <x:row r="102" ht="40" customHeight="1">
      <x:c r="A102" s="6" t="str">
        <x:v>R0150</x:v>
      </x:c>
      <x:c r="B102" s="6" t="str">
        <x:v>海能未来技术集团股份有限公司</x:v>
      </x:c>
      <x:c r="C102" s="6" t="str">
        <x:v>正式报告披露集团/子公司</x:v>
      </x:c>
      <x:c r="D102" s="6" t="str">
        <x:v>客户供应商</x:v>
      </x:c>
      <x:c r="E102" s="6" t="str">
        <x:v>Lab Service Analytica s.r.l.对应年度销售金额</x:v>
      </x:c>
      <x:c r="F102" s="19" t="n">
        <x:v>3765881.82</x:v>
      </x:c>
      <x:c r="G102" s="6" t="str">
        <x:v>人民币元</x:v>
      </x:c>
      <x:c r="H102" s="6" t="str">
        <x:v>2025-12-31</x:v>
      </x:c>
      <x:c r="I102" s="20" t="d">
        <x:v>2026-03-16T00:00:00.000Z</x:v>
      </x:c>
      <x:c r="J102" s="6" t="str">
        <x:v>F002</x:v>
      </x:c>
      <x:c r="K102" s="6" t="str">
        <x:v>已核实原值</x:v>
      </x:c>
      <x:c r="L102" s="6" t="str">
        <x:v>；集团与该客户/供应商的交易额，非该主体自身营业收入。</x:v>
      </x:c>
    </x:row>
    <x:row r="103" ht="34" customHeight="1">
      <x:c r="A103" s="6" t="str">
        <x:v>R0169</x:v>
      </x:c>
      <x:c r="B103" s="6" t="str">
        <x:v>海能未来技术集团股份有限公司</x:v>
      </x:c>
      <x:c r="C103" s="6" t="str">
        <x:v>正式报告披露集团/子公司</x:v>
      </x:c>
      <x:c r="D103" s="6" t="str">
        <x:v>客户供应商</x:v>
      </x:c>
      <x:c r="E103" s="6" t="str">
        <x:v>上海侃达机电设备有限公司对应年度占比</x:v>
      </x:c>
      <x:c r="F103" s="19" t="n">
        <x:v>2.17</x:v>
      </x:c>
      <x:c r="G103" s="6" t="str">
        <x:v>%</x:v>
      </x:c>
      <x:c r="H103" s="6" t="str">
        <x:v>2025-12-31</x:v>
      </x:c>
      <x:c r="I103" s="20" t="d">
        <x:v>2026-03-16T00:00:00.000Z</x:v>
      </x:c>
      <x:c r="J103" s="6" t="str">
        <x:v>F002</x:v>
      </x:c>
      <x:c r="K103" s="6" t="str">
        <x:v>已核实原值</x:v>
      </x:c>
      <x:c r="L103" s="6" t="str">
        <x:v>；</x:v>
      </x:c>
    </x:row>
    <x:row r="104" ht="34" customHeight="1">
      <x:c r="A104" s="6" t="str">
        <x:v>R0168</x:v>
      </x:c>
      <x:c r="B104" s="6" t="str">
        <x:v>海能未来技术集团股份有限公司</x:v>
      </x:c>
      <x:c r="C104" s="6" t="str">
        <x:v>正式报告披露集团/子公司</x:v>
      </x:c>
      <x:c r="D104" s="6" t="str">
        <x:v>客户供应商</x:v>
      </x:c>
      <x:c r="E104" s="6" t="str">
        <x:v>上海侃达机电设备有限公司对应年度采购金额</x:v>
      </x:c>
      <x:c r="F104" s="19" t="n">
        <x:v>1929727.27</x:v>
      </x:c>
      <x:c r="G104" s="6" t="str">
        <x:v>人民币元</x:v>
      </x:c>
      <x:c r="H104" s="6" t="str">
        <x:v>2025-12-31</x:v>
      </x:c>
      <x:c r="I104" s="20" t="d">
        <x:v>2026-03-16T00:00:00.000Z</x:v>
      </x:c>
      <x:c r="J104" s="6" t="str">
        <x:v>F002</x:v>
      </x:c>
      <x:c r="K104" s="6" t="str">
        <x:v>已核实原值</x:v>
      </x:c>
      <x:c r="L104" s="6" t="str">
        <x:v>；集团与该客户/供应商的交易额，非该主体自身营业收入。</x:v>
      </x:c>
    </x:row>
    <x:row r="105" ht="34" customHeight="1">
      <x:c r="A105" s="6" t="str">
        <x:v>R0173</x:v>
      </x:c>
      <x:c r="B105" s="6" t="str">
        <x:v>海能未来技术集团股份有限公司</x:v>
      </x:c>
      <x:c r="C105" s="6" t="str">
        <x:v>正式报告披露集团/子公司</x:v>
      </x:c>
      <x:c r="D105" s="6" t="str">
        <x:v>客户供应商</x:v>
      </x:c>
      <x:c r="E105" s="6" t="str">
        <x:v>前五供应商采购占比合计</x:v>
      </x:c>
      <x:c r="F105" s="19" t="n">
        <x:v>17.24</x:v>
      </x:c>
      <x:c r="G105" s="6" t="str">
        <x:v>%</x:v>
      </x:c>
      <x:c r="H105" s="6" t="str">
        <x:v>2025-12-31</x:v>
      </x:c>
      <x:c r="I105" s="20" t="d">
        <x:v>2026-03-16T00:00:00.000Z</x:v>
      </x:c>
      <x:c r="J105" s="6" t="str">
        <x:v>F002</x:v>
      </x:c>
      <x:c r="K105" s="6" t="str">
        <x:v>已核实原值</x:v>
      </x:c>
      <x:c r="L105" s="6" t="str">
        <x:v>；</x:v>
      </x:c>
    </x:row>
    <x:row r="106" ht="34" customHeight="1">
      <x:c r="A106" s="6" t="str">
        <x:v>R0172</x:v>
      </x:c>
      <x:c r="B106" s="6" t="str">
        <x:v>海能未来技术集团股份有限公司</x:v>
      </x:c>
      <x:c r="C106" s="6" t="str">
        <x:v>正式报告披露集团/子公司</x:v>
      </x:c>
      <x:c r="D106" s="6" t="str">
        <x:v>客户供应商</x:v>
      </x:c>
      <x:c r="E106" s="6" t="str">
        <x:v>前五供应商采购金额合计</x:v>
      </x:c>
      <x:c r="F106" s="19" t="n">
        <x:v>15320813.62</x:v>
      </x:c>
      <x:c r="G106" s="6" t="str">
        <x:v>人民币元</x:v>
      </x:c>
      <x:c r="H106" s="6" t="str">
        <x:v>2025-12-31</x:v>
      </x:c>
      <x:c r="I106" s="20" t="d">
        <x:v>2026-03-16T00:00:00.000Z</x:v>
      </x:c>
      <x:c r="J106" s="6" t="str">
        <x:v>F002</x:v>
      </x:c>
      <x:c r="K106" s="6" t="str">
        <x:v>已核实原值</x:v>
      </x:c>
      <x:c r="L106" s="6" t="str">
        <x:v>；</x:v>
      </x:c>
    </x:row>
    <x:row r="107" ht="34" customHeight="1">
      <x:c r="A107" s="6" t="str">
        <x:v>R0171</x:v>
      </x:c>
      <x:c r="B107" s="6" t="str">
        <x:v>海能未来技术集团股份有限公司</x:v>
      </x:c>
      <x:c r="C107" s="6" t="str">
        <x:v>正式报告披露集团/子公司</x:v>
      </x:c>
      <x:c r="D107" s="6" t="str">
        <x:v>客户供应商</x:v>
      </x:c>
      <x:c r="E107" s="6" t="str">
        <x:v>前五客户销售占比合计</x:v>
      </x:c>
      <x:c r="F107" s="19" t="n">
        <x:v>12.36</x:v>
      </x:c>
      <x:c r="G107" s="6" t="str">
        <x:v>%</x:v>
      </x:c>
      <x:c r="H107" s="6" t="str">
        <x:v>2025-12-31</x:v>
      </x:c>
      <x:c r="I107" s="20" t="d">
        <x:v>2026-03-16T00:00:00.000Z</x:v>
      </x:c>
      <x:c r="J107" s="6" t="str">
        <x:v>F002</x:v>
      </x:c>
      <x:c r="K107" s="6" t="str">
        <x:v>已核实原值</x:v>
      </x:c>
      <x:c r="L107" s="6" t="str">
        <x:v>；</x:v>
      </x:c>
    </x:row>
    <x:row r="108" ht="34" customHeight="1">
      <x:c r="A108" s="6" t="str">
        <x:v>R0170</x:v>
      </x:c>
      <x:c r="B108" s="6" t="str">
        <x:v>海能未来技术集团股份有限公司</x:v>
      </x:c>
      <x:c r="C108" s="6" t="str">
        <x:v>正式报告披露集团/子公司</x:v>
      </x:c>
      <x:c r="D108" s="6" t="str">
        <x:v>客户供应商</x:v>
      </x:c>
      <x:c r="E108" s="6" t="str">
        <x:v>前五客户销售金额合计</x:v>
      </x:c>
      <x:c r="F108" s="19" t="n">
        <x:v>44696738.97</x:v>
      </x:c>
      <x:c r="G108" s="6" t="str">
        <x:v>人民币元</x:v>
      </x:c>
      <x:c r="H108" s="6" t="str">
        <x:v>2025-12-31</x:v>
      </x:c>
      <x:c r="I108" s="20" t="d">
        <x:v>2026-03-16T00:00:00.000Z</x:v>
      </x:c>
      <x:c r="J108" s="6" t="str">
        <x:v>F002</x:v>
      </x:c>
      <x:c r="K108" s="6" t="str">
        <x:v>已核实原值</x:v>
      </x:c>
      <x:c r="L108" s="6" t="str">
        <x:v>；</x:v>
      </x:c>
    </x:row>
    <x:row r="109" ht="40" customHeight="1">
      <x:c r="A109" s="6" t="str">
        <x:v>R0148</x:v>
      </x:c>
      <x:c r="B109" s="6" t="str">
        <x:v>海能未来技术集团股份有限公司</x:v>
      </x:c>
      <x:c r="C109" s="6" t="str">
        <x:v>正式报告披露集团/子公司</x:v>
      </x:c>
      <x:c r="D109" s="6" t="str">
        <x:v>客户供应商</x:v>
      </x:c>
      <x:c r="E109" s="6" t="str">
        <x:v>华测检测认证集团股份有限公司及其关联企业对应年度占比</x:v>
      </x:c>
      <x:c r="F109" s="19" t="n">
        <x:v>1.23</x:v>
      </x:c>
      <x:c r="G109" s="6" t="str">
        <x:v>%</x:v>
      </x:c>
      <x:c r="H109" s="6" t="str">
        <x:v>2025-12-31</x:v>
      </x:c>
      <x:c r="I109" s="20" t="d">
        <x:v>2026-03-16T00:00:00.000Z</x:v>
      </x:c>
      <x:c r="J109" s="6" t="str">
        <x:v>F002</x:v>
      </x:c>
      <x:c r="K109" s="6" t="str">
        <x:v>已核实原值</x:v>
      </x:c>
      <x:c r="L109" s="6" t="str">
        <x:v>；</x:v>
      </x:c>
    </x:row>
    <x:row r="110" ht="40" customHeight="1">
      <x:c r="A110" s="6" t="str">
        <x:v>R0147</x:v>
      </x:c>
      <x:c r="B110" s="6" t="str">
        <x:v>海能未来技术集团股份有限公司</x:v>
      </x:c>
      <x:c r="C110" s="6" t="str">
        <x:v>正式报告披露集团/子公司</x:v>
      </x:c>
      <x:c r="D110" s="6" t="str">
        <x:v>客户供应商</x:v>
      </x:c>
      <x:c r="E110" s="6" t="str">
        <x:v>华测检测认证集团股份有限公司及其关联企业对应年度销售金额</x:v>
      </x:c>
      <x:c r="F110" s="19" t="n">
        <x:v>4456627.92</x:v>
      </x:c>
      <x:c r="G110" s="6" t="str">
        <x:v>人民币元</x:v>
      </x:c>
      <x:c r="H110" s="6" t="str">
        <x:v>2025-12-31</x:v>
      </x:c>
      <x:c r="I110" s="20" t="d">
        <x:v>2026-03-16T00:00:00.000Z</x:v>
      </x:c>
      <x:c r="J110" s="6" t="str">
        <x:v>F002</x:v>
      </x:c>
      <x:c r="K110" s="6" t="str">
        <x:v>已核实原值</x:v>
      </x:c>
      <x:c r="L110" s="6" t="str">
        <x:v>；集团与该客户/供应商的交易额，非该主体自身营业收入。</x:v>
      </x:c>
    </x:row>
    <x:row r="111" ht="34" customHeight="1">
      <x:c r="A111" s="6" t="str">
        <x:v>R0142</x:v>
      </x:c>
      <x:c r="B111" s="6" t="str">
        <x:v>海能未来技术集团股份有限公司</x:v>
      </x:c>
      <x:c r="C111" s="6" t="str">
        <x:v>正式报告披露集团/子公司</x:v>
      </x:c>
      <x:c r="D111" s="6" t="str">
        <x:v>客户供应商</x:v>
      </x:c>
      <x:c r="E111" s="6" t="str">
        <x:v>杭州国迈进出口有限公司对应年度占比</x:v>
      </x:c>
      <x:c r="F111" s="19" t="n">
        <x:v>6.6</x:v>
      </x:c>
      <x:c r="G111" s="6" t="str">
        <x:v>%</x:v>
      </x:c>
      <x:c r="H111" s="6" t="str">
        <x:v>2025-12-31</x:v>
      </x:c>
      <x:c r="I111" s="20" t="d">
        <x:v>2026-03-16T00:00:00.000Z</x:v>
      </x:c>
      <x:c r="J111" s="6" t="str">
        <x:v>F002</x:v>
      </x:c>
      <x:c r="K111" s="6" t="str">
        <x:v>已核实原值</x:v>
      </x:c>
      <x:c r="L111" s="6" t="str">
        <x:v>；</x:v>
      </x:c>
    </x:row>
    <x:row r="112" ht="34" customHeight="1">
      <x:c r="A112" s="6" t="str">
        <x:v>R0141</x:v>
      </x:c>
      <x:c r="B112" s="6" t="str">
        <x:v>海能未来技术集团股份有限公司</x:v>
      </x:c>
      <x:c r="C112" s="6" t="str">
        <x:v>正式报告披露集团/子公司</x:v>
      </x:c>
      <x:c r="D112" s="6" t="str">
        <x:v>客户供应商</x:v>
      </x:c>
      <x:c r="E112" s="6" t="str">
        <x:v>杭州国迈进出口有限公司对应年度销售金额</x:v>
      </x:c>
      <x:c r="F112" s="19" t="n">
        <x:v>23866523.02</x:v>
      </x:c>
      <x:c r="G112" s="6" t="str">
        <x:v>人民币元</x:v>
      </x:c>
      <x:c r="H112" s="6" t="str">
        <x:v>2025-12-31</x:v>
      </x:c>
      <x:c r="I112" s="20" t="d">
        <x:v>2026-03-16T00:00:00.000Z</x:v>
      </x:c>
      <x:c r="J112" s="6" t="str">
        <x:v>F002</x:v>
      </x:c>
      <x:c r="K112" s="6" t="str">
        <x:v>已核实原值</x:v>
      </x:c>
      <x:c r="L112" s="6" t="str">
        <x:v>；集团与该客户/供应商的交易额，非该主体自身营业收入。</x:v>
      </x:c>
    </x:row>
    <x:row r="113" ht="34" customHeight="1">
      <x:c r="A113" s="6" t="str">
        <x:v>R0154</x:v>
      </x:c>
      <x:c r="B113" s="6" t="str">
        <x:v>海能未来技术集团股份有限公司</x:v>
      </x:c>
      <x:c r="C113" s="6" t="str">
        <x:v>正式报告披露集团/子公司</x:v>
      </x:c>
      <x:c r="D113" s="6" t="str">
        <x:v>客户供应商</x:v>
      </x:c>
      <x:c r="E113" s="6" t="str">
        <x:v>杭州汉一科学仪器有限公司对应年度占比</x:v>
      </x:c>
      <x:c r="F113" s="19" t="n">
        <x:v>1.01</x:v>
      </x:c>
      <x:c r="G113" s="6" t="str">
        <x:v>%</x:v>
      </x:c>
      <x:c r="H113" s="6" t="str">
        <x:v>2025-12-31</x:v>
      </x:c>
      <x:c r="I113" s="20" t="d">
        <x:v>2026-03-16T00:00:00.000Z</x:v>
      </x:c>
      <x:c r="J113" s="6" t="str">
        <x:v>F002</x:v>
      </x:c>
      <x:c r="K113" s="6" t="str">
        <x:v>已核实原值</x:v>
      </x:c>
      <x:c r="L113" s="6" t="str">
        <x:v>；</x:v>
      </x:c>
    </x:row>
    <x:row r="114" ht="34" customHeight="1">
      <x:c r="A114" s="6" t="str">
        <x:v>R0153</x:v>
      </x:c>
      <x:c r="B114" s="6" t="str">
        <x:v>海能未来技术集团股份有限公司</x:v>
      </x:c>
      <x:c r="C114" s="6" t="str">
        <x:v>正式报告披露集团/子公司</x:v>
      </x:c>
      <x:c r="D114" s="6" t="str">
        <x:v>客户供应商</x:v>
      </x:c>
      <x:c r="E114" s="6" t="str">
        <x:v>杭州汉一科学仪器有限公司对应年度销售金额</x:v>
      </x:c>
      <x:c r="F114" s="19" t="n">
        <x:v>3644320.3</x:v>
      </x:c>
      <x:c r="G114" s="6" t="str">
        <x:v>人民币元</x:v>
      </x:c>
      <x:c r="H114" s="6" t="str">
        <x:v>2025-12-31</x:v>
      </x:c>
      <x:c r="I114" s="20" t="d">
        <x:v>2026-03-16T00:00:00.000Z</x:v>
      </x:c>
      <x:c r="J114" s="6" t="str">
        <x:v>F002</x:v>
      </x:c>
      <x:c r="K114" s="6" t="str">
        <x:v>已核实原值</x:v>
      </x:c>
      <x:c r="L114" s="6" t="str">
        <x:v>；集团与该客户/供应商的交易额，非该主体自身营业收入。</x:v>
      </x:c>
    </x:row>
    <x:row r="115" ht="34" customHeight="1">
      <x:c r="A115" s="6" t="str">
        <x:v>R0160</x:v>
      </x:c>
      <x:c r="B115" s="6" t="str">
        <x:v>海能未来技术集团股份有限公司</x:v>
      </x:c>
      <x:c r="C115" s="6" t="str">
        <x:v>正式报告披露集团/子公司</x:v>
      </x:c>
      <x:c r="D115" s="6" t="str">
        <x:v>客户供应商</x:v>
      </x:c>
      <x:c r="E115" s="6" t="str">
        <x:v>江苏沃凯氟精密智造有限公司对应年度占比</x:v>
      </x:c>
      <x:c r="F115" s="19" t="n">
        <x:v>4.5</x:v>
      </x:c>
      <x:c r="G115" s="6" t="str">
        <x:v>%</x:v>
      </x:c>
      <x:c r="H115" s="6" t="str">
        <x:v>2025-12-31</x:v>
      </x:c>
      <x:c r="I115" s="20" t="d">
        <x:v>2026-03-16T00:00:00.000Z</x:v>
      </x:c>
      <x:c r="J115" s="6" t="str">
        <x:v>F002</x:v>
      </x:c>
      <x:c r="K115" s="6" t="str">
        <x:v>已核实原值</x:v>
      </x:c>
      <x:c r="L115" s="6" t="str">
        <x:v>；</x:v>
      </x:c>
    </x:row>
    <x:row r="116" ht="34" customHeight="1">
      <x:c r="A116" s="6" t="str">
        <x:v>R0159</x:v>
      </x:c>
      <x:c r="B116" s="6" t="str">
        <x:v>海能未来技术集团股份有限公司</x:v>
      </x:c>
      <x:c r="C116" s="6" t="str">
        <x:v>正式报告披露集团/子公司</x:v>
      </x:c>
      <x:c r="D116" s="6" t="str">
        <x:v>客户供应商</x:v>
      </x:c>
      <x:c r="E116" s="6" t="str">
        <x:v>江苏沃凯氟精密智造有限公司对应年度采购金额</x:v>
      </x:c>
      <x:c r="F116" s="19" t="n">
        <x:v>3997682.2</x:v>
      </x:c>
      <x:c r="G116" s="6" t="str">
        <x:v>人民币元</x:v>
      </x:c>
      <x:c r="H116" s="6" t="str">
        <x:v>2025-12-31</x:v>
      </x:c>
      <x:c r="I116" s="20" t="d">
        <x:v>2026-03-16T00:00:00.000Z</x:v>
      </x:c>
      <x:c r="J116" s="6" t="str">
        <x:v>F002</x:v>
      </x:c>
      <x:c r="K116" s="6" t="str">
        <x:v>已核实原值</x:v>
      </x:c>
      <x:c r="L116" s="6" t="str">
        <x:v>；集团与该客户/供应商的交易额，非该主体自身营业收入。</x:v>
      </x:c>
    </x:row>
    <x:row r="117" ht="34" customHeight="1">
      <x:c r="A117" s="6" t="str">
        <x:v>R0163</x:v>
      </x:c>
      <x:c r="B117" s="6" t="str">
        <x:v>海能未来技术集团股份有限公司</x:v>
      </x:c>
      <x:c r="C117" s="6" t="str">
        <x:v>正式报告披露集团/子公司</x:v>
      </x:c>
      <x:c r="D117" s="6" t="str">
        <x:v>客户供应商</x:v>
      </x:c>
      <x:c r="E117" s="6" t="str">
        <x:v>河北磐仪分析仪器有限责任公司对应年度占比</x:v>
      </x:c>
      <x:c r="F117" s="19" t="n">
        <x:v>3.26</x:v>
      </x:c>
      <x:c r="G117" s="6" t="str">
        <x:v>%</x:v>
      </x:c>
      <x:c r="H117" s="6" t="str">
        <x:v>2025-12-31</x:v>
      </x:c>
      <x:c r="I117" s="20" t="d">
        <x:v>2026-03-16T00:00:00.000Z</x:v>
      </x:c>
      <x:c r="J117" s="6" t="str">
        <x:v>F002</x:v>
      </x:c>
      <x:c r="K117" s="6" t="str">
        <x:v>已核实原值</x:v>
      </x:c>
      <x:c r="L117" s="6" t="str">
        <x:v>；</x:v>
      </x:c>
    </x:row>
    <x:row r="118" ht="34" customHeight="1">
      <x:c r="A118" s="6" t="str">
        <x:v>R0162</x:v>
      </x:c>
      <x:c r="B118" s="6" t="str">
        <x:v>海能未来技术集团股份有限公司</x:v>
      </x:c>
      <x:c r="C118" s="6" t="str">
        <x:v>正式报告披露集团/子公司</x:v>
      </x:c>
      <x:c r="D118" s="6" t="str">
        <x:v>客户供应商</x:v>
      </x:c>
      <x:c r="E118" s="6" t="str">
        <x:v>河北磐仪分析仪器有限责任公司对应年度采购金额</x:v>
      </x:c>
      <x:c r="F118" s="17" t="n">
        <x:v>2898032</x:v>
      </x:c>
      <x:c r="G118" s="6" t="str">
        <x:v>人民币元</x:v>
      </x:c>
      <x:c r="H118" s="6" t="str">
        <x:v>2025-12-31</x:v>
      </x:c>
      <x:c r="I118" s="20" t="d">
        <x:v>2026-03-16T00:00:00.000Z</x:v>
      </x:c>
      <x:c r="J118" s="6" t="str">
        <x:v>F002</x:v>
      </x:c>
      <x:c r="K118" s="6" t="str">
        <x:v>已核实原值</x:v>
      </x:c>
      <x:c r="L118" s="6" t="str">
        <x:v>；集团与该客户/供应商的交易额，非该主体自身营业收入。</x:v>
      </x:c>
    </x:row>
    <x:row r="119" ht="34" customHeight="1">
      <x:c r="A119" s="6" t="str">
        <x:v>R0145</x:v>
      </x:c>
      <x:c r="B119" s="6" t="str">
        <x:v>海能未来技术集团股份有限公司</x:v>
      </x:c>
      <x:c r="C119" s="6" t="str">
        <x:v>正式报告披露集团/子公司</x:v>
      </x:c>
      <x:c r="D119" s="6" t="str">
        <x:v>客户供应商</x:v>
      </x:c>
      <x:c r="E119" s="6" t="str">
        <x:v>浙江省科学器材进出口有限责任公司对应年度占比</x:v>
      </x:c>
      <x:c r="F119" s="19" t="n">
        <x:v>2.48</x:v>
      </x:c>
      <x:c r="G119" s="6" t="str">
        <x:v>%</x:v>
      </x:c>
      <x:c r="H119" s="6" t="str">
        <x:v>2025-12-31</x:v>
      </x:c>
      <x:c r="I119" s="20" t="d">
        <x:v>2026-03-16T00:00:00.000Z</x:v>
      </x:c>
      <x:c r="J119" s="6" t="str">
        <x:v>F002</x:v>
      </x:c>
      <x:c r="K119" s="6" t="str">
        <x:v>已核实原值</x:v>
      </x:c>
      <x:c r="L119" s="6" t="str">
        <x:v>；</x:v>
      </x:c>
    </x:row>
    <x:row r="120" ht="40" customHeight="1">
      <x:c r="A120" s="6" t="str">
        <x:v>R0144</x:v>
      </x:c>
      <x:c r="B120" s="6" t="str">
        <x:v>海能未来技术集团股份有限公司</x:v>
      </x:c>
      <x:c r="C120" s="6" t="str">
        <x:v>正式报告披露集团/子公司</x:v>
      </x:c>
      <x:c r="D120" s="6" t="str">
        <x:v>客户供应商</x:v>
      </x:c>
      <x:c r="E120" s="6" t="str">
        <x:v>浙江省科学器材进出口有限责任公司对应年度销售金额</x:v>
      </x:c>
      <x:c r="F120" s="19" t="n">
        <x:v>8963385.91</x:v>
      </x:c>
      <x:c r="G120" s="6" t="str">
        <x:v>人民币元</x:v>
      </x:c>
      <x:c r="H120" s="6" t="str">
        <x:v>2025-12-31</x:v>
      </x:c>
      <x:c r="I120" s="20" t="d">
        <x:v>2026-03-16T00:00:00.000Z</x:v>
      </x:c>
      <x:c r="J120" s="6" t="str">
        <x:v>F002</x:v>
      </x:c>
      <x:c r="K120" s="6" t="str">
        <x:v>已核实原值</x:v>
      </x:c>
      <x:c r="L120" s="6" t="str">
        <x:v>；集团与该客户/供应商的交易额，非该主体自身营业收入。</x:v>
      </x:c>
    </x:row>
    <x:row r="121" ht="34" customHeight="1">
      <x:c r="A121" s="6" t="str">
        <x:v>R0166</x:v>
      </x:c>
      <x:c r="B121" s="6" t="str">
        <x:v>海能未来技术集团股份有限公司</x:v>
      </x:c>
      <x:c r="C121" s="6" t="str">
        <x:v>正式报告披露集团/子公司</x:v>
      </x:c>
      <x:c r="D121" s="6" t="str">
        <x:v>客户供应商</x:v>
      </x:c>
      <x:c r="E121" s="6" t="str">
        <x:v>石家庄莱博瑞分析仪器有限公司对应年度占比</x:v>
      </x:c>
      <x:c r="F121" s="19" t="n">
        <x:v>2.48</x:v>
      </x:c>
      <x:c r="G121" s="6" t="str">
        <x:v>%</x:v>
      </x:c>
      <x:c r="H121" s="6" t="str">
        <x:v>2025-12-31</x:v>
      </x:c>
      <x:c r="I121" s="20" t="d">
        <x:v>2026-03-16T00:00:00.000Z</x:v>
      </x:c>
      <x:c r="J121" s="6" t="str">
        <x:v>F002</x:v>
      </x:c>
      <x:c r="K121" s="6" t="str">
        <x:v>已核实原值</x:v>
      </x:c>
      <x:c r="L121" s="6" t="str">
        <x:v>；</x:v>
      </x:c>
    </x:row>
    <x:row r="122" ht="34" customHeight="1">
      <x:c r="A122" s="6" t="str">
        <x:v>R0165</x:v>
      </x:c>
      <x:c r="B122" s="6" t="str">
        <x:v>海能未来技术集团股份有限公司</x:v>
      </x:c>
      <x:c r="C122" s="6" t="str">
        <x:v>正式报告披露集团/子公司</x:v>
      </x:c>
      <x:c r="D122" s="6" t="str">
        <x:v>客户供应商</x:v>
      </x:c>
      <x:c r="E122" s="6" t="str">
        <x:v>石家庄莱博瑞分析仪器有限公司对应年度采购金额</x:v>
      </x:c>
      <x:c r="F122" s="19" t="n">
        <x:v>2205982.31</x:v>
      </x:c>
      <x:c r="G122" s="6" t="str">
        <x:v>人民币元</x:v>
      </x:c>
      <x:c r="H122" s="6" t="str">
        <x:v>2025-12-31</x:v>
      </x:c>
      <x:c r="I122" s="20" t="d">
        <x:v>2026-03-16T00:00:00.000Z</x:v>
      </x:c>
      <x:c r="J122" s="6" t="str">
        <x:v>F002</x:v>
      </x:c>
      <x:c r="K122" s="6" t="str">
        <x:v>已核实原值</x:v>
      </x:c>
      <x:c r="L122" s="6" t="str">
        <x:v>；集团与该客户/供应商的交易额，非该主体自身营业收入。</x:v>
      </x:c>
    </x:row>
    <x:row r="123" ht="34" customHeight="1">
      <x:c r="A123" s="6" t="str">
        <x:v>R0237</x:v>
      </x:c>
      <x:c r="B123" s="6" t="str">
        <x:v>海能未来技术集团股份有限公司</x:v>
      </x:c>
      <x:c r="C123" s="6" t="str">
        <x:v>正式报告披露集团/子公司</x:v>
      </x:c>
      <x:c r="D123" s="6" t="str">
        <x:v>建设项目</x:v>
      </x:c>
      <x:c r="E123" s="6" t="str">
        <x:v>生产基地升级改造报告期项目进度</x:v>
      </x:c>
      <x:c r="F123" s="19" t="n">
        <x:v>65.21</x:v>
      </x:c>
      <x:c r="G123" s="6" t="str">
        <x:v>%</x:v>
      </x:c>
      <x:c r="H123" s="6" t="str">
        <x:v>2025-12-31</x:v>
      </x:c>
      <x:c r="I123" s="20" t="d">
        <x:v>2026-03-16T00:00:00.000Z</x:v>
      </x:c>
      <x:c r="J123" s="6" t="str">
        <x:v>F002</x:v>
      </x:c>
      <x:c r="K123" s="6" t="str">
        <x:v>已核实原值</x:v>
      </x:c>
      <x:c r="L123" s="6" t="str">
        <x:v>；与上海海能基石项目是不同项目；保留报告表格进度。年报大事记记载2025年12月结项。</x:v>
      </x:c>
    </x:row>
    <x:row r="124" ht="34" customHeight="1">
      <x:c r="A124" s="6" t="str">
        <x:v>R0235</x:v>
      </x:c>
      <x:c r="B124" s="6" t="str">
        <x:v>海能未来技术集团股份有限公司</x:v>
      </x:c>
      <x:c r="C124" s="6" t="str">
        <x:v>正式报告披露集团/子公司</x:v>
      </x:c>
      <x:c r="D124" s="6" t="str">
        <x:v>建设项目</x:v>
      </x:c>
      <x:c r="E124" s="6" t="str">
        <x:v>生产基地升级改造本期投入</x:v>
      </x:c>
      <x:c r="F124" s="19" t="n">
        <x:v>11356573.78</x:v>
      </x:c>
      <x:c r="G124" s="6" t="str">
        <x:v>人民币元</x:v>
      </x:c>
      <x:c r="H124" s="6" t="str">
        <x:v>2025-12-31</x:v>
      </x:c>
      <x:c r="I124" s="20" t="d">
        <x:v>2026-03-16T00:00:00.000Z</x:v>
      </x:c>
      <x:c r="J124" s="6" t="str">
        <x:v>F002</x:v>
      </x:c>
      <x:c r="K124" s="6" t="str">
        <x:v>已核实原值</x:v>
      </x:c>
      <x:c r="L124" s="6" t="str">
        <x:v>；与上海海能基石项目是不同项目；保留报告表格进度。年报大事记记载2025年12月结项。</x:v>
      </x:c>
    </x:row>
    <x:row r="125" ht="34" customHeight="1">
      <x:c r="A125" s="6" t="str">
        <x:v>R0236</x:v>
      </x:c>
      <x:c r="B125" s="6" t="str">
        <x:v>海能未来技术集团股份有限公司</x:v>
      </x:c>
      <x:c r="C125" s="6" t="str">
        <x:v>正式报告披露集团/子公司</x:v>
      </x:c>
      <x:c r="D125" s="6" t="str">
        <x:v>建设项目</x:v>
      </x:c>
      <x:c r="E125" s="6" t="str">
        <x:v>生产基地升级改造累计实际投入</x:v>
      </x:c>
      <x:c r="F125" s="19" t="n">
        <x:v>51239260.76</x:v>
      </x:c>
      <x:c r="G125" s="6" t="str">
        <x:v>人民币元</x:v>
      </x:c>
      <x:c r="H125" s="6" t="str">
        <x:v>2025-12-31</x:v>
      </x:c>
      <x:c r="I125" s="20" t="d">
        <x:v>2026-03-16T00:00:00.000Z</x:v>
      </x:c>
      <x:c r="J125" s="6" t="str">
        <x:v>F002</x:v>
      </x:c>
      <x:c r="K125" s="6" t="str">
        <x:v>已核实原值</x:v>
      </x:c>
      <x:c r="L125" s="6" t="str">
        <x:v>；与上海海能基石项目是不同项目；保留报告表格进度。年报大事记记载2025年12月结项。</x:v>
      </x:c>
    </x:row>
    <x:row r="126" ht="34" customHeight="1">
      <x:c r="A126" s="6" t="str">
        <x:v>R0222</x:v>
      </x:c>
      <x:c r="B126" s="6" t="str">
        <x:v>海能未来技术集团股份有限公司</x:v>
      </x:c>
      <x:c r="C126" s="6" t="str">
        <x:v>正式报告披露集团/子公司</x:v>
      </x:c>
      <x:c r="D126" s="6" t="str">
        <x:v>战略投资</x:v>
      </x:c>
      <x:c r="E126" s="6" t="str">
        <x:v>投资安益谱金额</x:v>
      </x:c>
      <x:c r="F126" s="17" t="n">
        <x:v>21000000</x:v>
      </x:c>
      <x:c r="G126" s="6" t="str">
        <x:v>人民币元</x:v>
      </x:c>
      <x:c r="H126" s="6" t="str">
        <x:v>2026-06-30</x:v>
      </x:c>
      <x:c r="I126" s="20" t="d">
        <x:v>2026-08-17T00:00:00.000Z</x:v>
      </x:c>
      <x:c r="J126" s="6" t="str">
        <x:v>F001</x:v>
      </x:c>
      <x:c r="K126" s="6" t="str">
        <x:v>已核实原值</x:v>
      </x:c>
      <x:c r="L126" s="6" t="str">
        <x:v>；交易于2025-11-13审议，2026-02-05完成股权变更登记。</x:v>
      </x:c>
    </x:row>
    <x:row r="127" ht="34" customHeight="1">
      <x:c r="A127" s="6" t="str">
        <x:v>R0223</x:v>
      </x:c>
      <x:c r="B127" s="6" t="str">
        <x:v>海能未来技术集团股份有限公司</x:v>
      </x:c>
      <x:c r="C127" s="6" t="str">
        <x:v>正式报告披露集团/子公司</x:v>
      </x:c>
      <x:c r="D127" s="6" t="str">
        <x:v>战略投资</x:v>
      </x:c>
      <x:c r="E127" s="6" t="str">
        <x:v>持有安益谱股权比例</x:v>
      </x:c>
      <x:c r="F127" s="19" t="n">
        <x:v>3.85</x:v>
      </x:c>
      <x:c r="G127" s="6" t="str">
        <x:v>%</x:v>
      </x:c>
      <x:c r="H127" s="6" t="str">
        <x:v>2026-06-30</x:v>
      </x:c>
      <x:c r="I127" s="20" t="d">
        <x:v>2026-08-17T00:00:00.000Z</x:v>
      </x:c>
      <x:c r="J127" s="6" t="str">
        <x:v>F001</x:v>
      </x:c>
      <x:c r="K127" s="6" t="str">
        <x:v>已核实原值</x:v>
      </x:c>
      <x:c r="L127" s="6" t="str">
        <x:v>；目标安益谱（苏州）医疗科技有限公司；参股，不当作控股子公司。</x:v>
      </x:c>
    </x:row>
    <x:row r="128" ht="40" customHeight="1">
      <x:c r="A128" s="6" t="str">
        <x:v>R0265</x:v>
      </x:c>
      <x:c r="B128" s="6" t="str">
        <x:v>海能未来技术集团股份有限公司</x:v>
      </x:c>
      <x:c r="C128" s="6" t="str">
        <x:v>正式报告披露集团/子公司</x:v>
      </x:c>
      <x:c r="D128" s="6" t="str">
        <x:v>投资者关系</x:v>
      </x:c>
      <x:c r="E128" s="6" t="str">
        <x:v>投资者关系传真</x:v>
      </x:c>
      <x:c r="F128" s="6" t="str">
        <x:v>0531-88874445</x:v>
      </x:c>
      <x:c r="G128" s="6" t="str"/>
      <x:c r="H128" s="6" t="str">
        <x:v>2026-10-08</x:v>
      </x:c>
      <x:c r="I128" s="20"/>
      <x:c r="J128" s="6" t="str">
        <x:v>W005</x:v>
      </x:c>
      <x:c r="K128" s="6" t="str">
        <x:v>已核实（官网披露）</x:v>
      </x:c>
      <x:c r="L128" s="6" t="str">
        <x:v>；用途为投资者服务,不标作采购或销售；页面未注明发布日期；仅记录截至2026-10-08可见资料，不认定近一年发生变化</x:v>
      </x:c>
    </x:row>
    <x:row r="129" ht="40" customHeight="1">
      <x:c r="A129" s="6" t="str">
        <x:v>R0264</x:v>
      </x:c>
      <x:c r="B129" s="6" t="str">
        <x:v>海能未来技术集团股份有限公司</x:v>
      </x:c>
      <x:c r="C129" s="6" t="str">
        <x:v>正式报告披露集团/子公司</x:v>
      </x:c>
      <x:c r="D129" s="6" t="str">
        <x:v>投资者关系</x:v>
      </x:c>
      <x:c r="E129" s="6" t="str">
        <x:v>投资者关系电话</x:v>
      </x:c>
      <x:c r="F129" s="6" t="str">
        <x:v>0531-88874418</x:v>
      </x:c>
      <x:c r="G129" s="6" t="str"/>
      <x:c r="H129" s="6" t="str">
        <x:v>2026-10-08</x:v>
      </x:c>
      <x:c r="I129" s="20"/>
      <x:c r="J129" s="6" t="str">
        <x:v>W005</x:v>
      </x:c>
      <x:c r="K129" s="6" t="str">
        <x:v>已核实（官网披露）</x:v>
      </x:c>
      <x:c r="L129" s="6" t="str">
        <x:v>公开原文；未拨号或验证收信；用途为投资者服务,不标作采购或销售；页面未注明发布日期；仅记录截至2026-10-08可见资料，不认定近一年发生变化</x:v>
      </x:c>
    </x:row>
    <x:row r="130" ht="40" customHeight="1">
      <x:c r="A130" s="6" t="str">
        <x:v>R0267</x:v>
      </x:c>
      <x:c r="B130" s="6" t="str">
        <x:v>海能未来技术集团股份有限公司</x:v>
      </x:c>
      <x:c r="C130" s="6" t="str">
        <x:v>正式报告披露集团/子公司</x:v>
      </x:c>
      <x:c r="D130" s="6" t="str">
        <x:v>投资者关系</x:v>
      </x:c>
      <x:c r="E130" s="6" t="str">
        <x:v>投资者关系联系地址</x:v>
      </x:c>
      <x:c r="F130" s="6" t="str">
        <x:v>山东省济南市经十路7000号汉峪金谷A3地块1号楼第四层</x:v>
      </x:c>
      <x:c r="G130" s="6" t="str"/>
      <x:c r="H130" s="6" t="str">
        <x:v>2026-10-08</x:v>
      </x:c>
      <x:c r="I130" s="20"/>
      <x:c r="J130" s="6" t="str">
        <x:v>W005</x:v>
      </x:c>
      <x:c r="K130" s="6" t="str">
        <x:v>已核实（官网披露）</x:v>
      </x:c>
      <x:c r="L130" s="6" t="str">
        <x:v>；用途为投资者服务,不标作采购或销售；页面未注明发布日期；仅记录截至2026-10-08可见资料，不认定近一年发生变化</x:v>
      </x:c>
    </x:row>
    <x:row r="131" ht="40" customHeight="1">
      <x:c r="A131" s="6" t="str">
        <x:v>R0266</x:v>
      </x:c>
      <x:c r="B131" s="6" t="str">
        <x:v>海能未来技术集团股份有限公司</x:v>
      </x:c>
      <x:c r="C131" s="6" t="str">
        <x:v>正式报告披露集团/子公司</x:v>
      </x:c>
      <x:c r="D131" s="6" t="str">
        <x:v>投资者关系</x:v>
      </x:c>
      <x:c r="E131" s="6" t="str">
        <x:v>投资者关系邮箱</x:v>
      </x:c>
      <x:c r="F131" s="6" t="str">
        <x:v>songxiaodong@hanon.cc</x:v>
      </x:c>
      <x:c r="G131" s="6" t="str"/>
      <x:c r="H131" s="6" t="str">
        <x:v>2026-10-08</x:v>
      </x:c>
      <x:c r="I131" s="20"/>
      <x:c r="J131" s="6" t="str">
        <x:v>W005</x:v>
      </x:c>
      <x:c r="K131" s="6" t="str">
        <x:v>已核实（官网披露）</x:v>
      </x:c>
      <x:c r="L131" s="6" t="str">
        <x:v>公开原文；未拨号或验证收信；用途为投资者服务,不标作采购或销售；页面未注明发布日期；仅记录截至2026-10-08可见资料，不认定近一年发生变化</x:v>
      </x:c>
    </x:row>
    <x:row r="132" ht="40" customHeight="1">
      <x:c r="A132" s="6" t="str">
        <x:v>R0268</x:v>
      </x:c>
      <x:c r="B132" s="6" t="str">
        <x:v>海能未来技术集团股份有限公司</x:v>
      </x:c>
      <x:c r="C132" s="6" t="str">
        <x:v>正式报告披露集团/子公司</x:v>
      </x:c>
      <x:c r="D132" s="6" t="str">
        <x:v>投资者关系</x:v>
      </x:c>
      <x:c r="E132" s="6" t="str">
        <x:v>投资者关系邮编</x:v>
      </x:c>
      <x:c r="F132" s="15" t="str">
        <x:v>250101</x:v>
      </x:c>
      <x:c r="G132" s="6" t="str"/>
      <x:c r="H132" s="6" t="str">
        <x:v>2026-10-08</x:v>
      </x:c>
      <x:c r="I132" s="20"/>
      <x:c r="J132" s="6" t="str">
        <x:v>W005</x:v>
      </x:c>
      <x:c r="K132" s="6" t="str">
        <x:v>已核实（官网披露）</x:v>
      </x:c>
      <x:c r="L132" s="6" t="str">
        <x:v>；用途为投资者服务,不标作采购或销售；页面未注明发布日期；仅记录截至2026-10-08可见资料，不认定近一年发生变化</x:v>
      </x:c>
    </x:row>
    <x:row r="133" ht="40" customHeight="1">
      <x:c r="A133" s="6" t="str">
        <x:v>R0263</x:v>
      </x:c>
      <x:c r="B133" s="6" t="str">
        <x:v>海能未来技术集团股份有限公司</x:v>
      </x:c>
      <x:c r="C133" s="6" t="str">
        <x:v>正式报告披露集团/子公司</x:v>
      </x:c>
      <x:c r="D133" s="6" t="str">
        <x:v>投资者关系</x:v>
      </x:c>
      <x:c r="E133" s="6" t="str">
        <x:v>投资者服务联系人</x:v>
      </x:c>
      <x:c r="F133" s="6" t="str">
        <x:v>宋晓东</x:v>
      </x:c>
      <x:c r="G133" s="6" t="str"/>
      <x:c r="H133" s="6" t="str">
        <x:v>2026-10-08</x:v>
      </x:c>
      <x:c r="I133" s="20"/>
      <x:c r="J133" s="6" t="str">
        <x:v>W005</x:v>
      </x:c>
      <x:c r="K133" s="6" t="str">
        <x:v>已核实（官网披露）</x:v>
      </x:c>
      <x:c r="L133" s="6" t="str">
        <x:v>；用途为投资者服务,不标作采购或销售；页面未注明发布日期；仅记录截至2026-10-08可见资料，不认定近一年发生变化</x:v>
      </x:c>
    </x:row>
    <x:row r="134" ht="34" customHeight="1">
      <x:c r="A134" s="6" t="str">
        <x:v>R0025</x:v>
      </x:c>
      <x:c r="B134" s="6" t="str">
        <x:v>海能未来技术集团股份有限公司</x:v>
      </x:c>
      <x:c r="C134" s="6" t="str">
        <x:v>正式报告披露集团/子公司</x:v>
      </x:c>
      <x:c r="D134" s="6" t="str">
        <x:v>报告口径</x:v>
      </x:c>
      <x:c r="E134" s="6" t="str">
        <x:v>半年度财务报告审计状态</x:v>
      </x:c>
      <x:c r="F134" s="6" t="str">
        <x:v>未经会计师事务所审计</x:v>
      </x:c>
      <x:c r="G134" s="6" t="str"/>
      <x:c r="H134" s="6" t="str">
        <x:v>2026-06-30</x:v>
      </x:c>
      <x:c r="I134" s="20" t="d">
        <x:v>2026-08-17T00:00:00.000Z</x:v>
      </x:c>
      <x:c r="J134" s="6" t="str">
        <x:v>F001</x:v>
      </x:c>
      <x:c r="K134" s="6" t="str">
        <x:v>已核实原值</x:v>
      </x:c>
      <x:c r="L134" s="6" t="str">
        <x:v>；</x:v>
      </x:c>
    </x:row>
    <x:row r="135" ht="34" customHeight="1">
      <x:c r="A135" s="6" t="str">
        <x:v>R0026</x:v>
      </x:c>
      <x:c r="B135" s="6" t="str">
        <x:v>海能未来技术集团股份有限公司</x:v>
      </x:c>
      <x:c r="C135" s="6" t="str">
        <x:v>正式报告披露集团/子公司</x:v>
      </x:c>
      <x:c r="D135" s="6" t="str">
        <x:v>报告口径</x:v>
      </x:c>
      <x:c r="E135" s="6" t="str">
        <x:v>金额单位定义</x:v>
      </x:c>
      <x:c r="F135" s="6" t="str">
        <x:v>元/千元/万元指人民币元/千元/万元</x:v>
      </x:c>
      <x:c r="G135" s="6" t="str"/>
      <x:c r="H135" s="6" t="str">
        <x:v>2026-06-30</x:v>
      </x:c>
      <x:c r="I135" s="20" t="d">
        <x:v>2026-08-17T00:00:00.000Z</x:v>
      </x:c>
      <x:c r="J135" s="6" t="str">
        <x:v>F001</x:v>
      </x:c>
      <x:c r="K135" s="6" t="str">
        <x:v>已核实原值</x:v>
      </x:c>
      <x:c r="L135" s="6" t="str">
        <x:v>；</x:v>
      </x:c>
    </x:row>
    <x:row r="136" ht="34" customHeight="1">
      <x:c r="A136" s="6" t="str">
        <x:v>R0228</x:v>
      </x:c>
      <x:c r="B136" s="6" t="str">
        <x:v>海能未来技术集团股份有限公司</x:v>
      </x:c>
      <x:c r="C136" s="6" t="str">
        <x:v>正式报告披露集团/子公司</x:v>
      </x:c>
      <x:c r="D136" s="6" t="str">
        <x:v>股权治理</x:v>
      </x:c>
      <x:c r="E136" s="6" t="str">
        <x:v>治理变化</x:v>
      </x:c>
      <x:c r="F136" s="6" t="str">
        <x:v>取消监事会,由董事会审计委员会行使监事会职权</x:v>
      </x:c>
      <x:c r="G136" s="6" t="str"/>
      <x:c r="H136" s="6" t="str">
        <x:v>2025-12-31</x:v>
      </x:c>
      <x:c r="I136" s="20" t="d">
        <x:v>2026-03-16T00:00:00.000Z</x:v>
      </x:c>
      <x:c r="J136" s="6" t="str">
        <x:v>F002</x:v>
      </x:c>
      <x:c r="K136" s="6" t="str">
        <x:v>已核实原值</x:v>
      </x:c>
      <x:c r="L136" s="6" t="str">
        <x:v>；</x:v>
      </x:c>
    </x:row>
    <x:row r="137" ht="34" customHeight="1">
      <x:c r="A137" s="6" t="str">
        <x:v>R0019</x:v>
      </x:c>
      <x:c r="B137" s="6" t="str">
        <x:v>海能未来技术集团股份有限公司</x:v>
      </x:c>
      <x:c r="C137" s="6" t="str">
        <x:v>正式报告披露集团/子公司</x:v>
      </x:c>
      <x:c r="D137" s="6" t="str">
        <x:v>股权治理</x:v>
      </x:c>
      <x:c r="E137" s="6" t="str">
        <x:v>普通股总股本(股)</x:v>
      </x:c>
      <x:c r="F137" s="17" t="n">
        <x:v>85179800</x:v>
      </x:c>
      <x:c r="G137" s="6" t="str">
        <x:v>股</x:v>
      </x:c>
      <x:c r="H137" s="6" t="str">
        <x:v>2026-06-30</x:v>
      </x:c>
      <x:c r="I137" s="20" t="d">
        <x:v>2026-08-17T00:00:00.000Z</x:v>
      </x:c>
      <x:c r="J137" s="6" t="str">
        <x:v>F001</x:v>
      </x:c>
      <x:c r="K137" s="6" t="str">
        <x:v>已核实原值</x:v>
      </x:c>
      <x:c r="L137" s="6" t="str">
        <x:v>；</x:v>
      </x:c>
    </x:row>
    <x:row r="138" ht="34" customHeight="1">
      <x:c r="A138" s="6" t="str">
        <x:v>R0224</x:v>
      </x:c>
      <x:c r="B138" s="6" t="str">
        <x:v>海能未来技术集团股份有限公司</x:v>
      </x:c>
      <x:c r="C138" s="6" t="str">
        <x:v>正式报告披露集团/子公司</x:v>
      </x:c>
      <x:c r="D138" s="6" t="str">
        <x:v>股权治理</x:v>
      </x:c>
      <x:c r="E138" s="6" t="str">
        <x:v>王志刚期末持股数</x:v>
      </x:c>
      <x:c r="F138" s="17" t="n">
        <x:v>16250000</x:v>
      </x:c>
      <x:c r="G138" s="6" t="str">
        <x:v>股</x:v>
      </x:c>
      <x:c r="H138" s="6" t="str">
        <x:v>2026-06-30</x:v>
      </x:c>
      <x:c r="I138" s="20" t="d">
        <x:v>2026-08-17T00:00:00.000Z</x:v>
      </x:c>
      <x:c r="J138" s="6" t="str">
        <x:v>F001</x:v>
      </x:c>
      <x:c r="K138" s="6" t="str">
        <x:v>已核实原值</x:v>
      </x:c>
      <x:c r="L138" s="6" t="str">
        <x:v>；</x:v>
      </x:c>
    </x:row>
    <x:row r="139" ht="34" customHeight="1">
      <x:c r="A139" s="6" t="str">
        <x:v>R0225</x:v>
      </x:c>
      <x:c r="B139" s="6" t="str">
        <x:v>海能未来技术集团股份有限公司</x:v>
      </x:c>
      <x:c r="C139" s="6" t="str">
        <x:v>正式报告披露集团/子公司</x:v>
      </x:c>
      <x:c r="D139" s="6" t="str">
        <x:v>股权治理</x:v>
      </x:c>
      <x:c r="E139" s="6" t="str">
        <x:v>王志刚期末持股比例</x:v>
      </x:c>
      <x:c r="F139" s="19" t="n">
        <x:v>19.08</x:v>
      </x:c>
      <x:c r="G139" s="6" t="str">
        <x:v>%</x:v>
      </x:c>
      <x:c r="H139" s="6" t="str">
        <x:v>2026-06-30</x:v>
      </x:c>
      <x:c r="I139" s="20" t="d">
        <x:v>2026-08-17T00:00:00.000Z</x:v>
      </x:c>
      <x:c r="J139" s="6" t="str">
        <x:v>F001</x:v>
      </x:c>
      <x:c r="K139" s="6" t="str">
        <x:v>已核实原值</x:v>
      </x:c>
      <x:c r="L139" s="6" t="str">
        <x:v>；</x:v>
      </x:c>
    </x:row>
    <x:row r="140" ht="34" customHeight="1">
      <x:c r="A140" s="6" t="str">
        <x:v>R0226</x:v>
      </x:c>
      <x:c r="B140" s="6" t="str">
        <x:v>海能未来技术集团股份有限公司</x:v>
      </x:c>
      <x:c r="C140" s="6" t="str">
        <x:v>正式报告披露集团/子公司</x:v>
      </x:c>
      <x:c r="D140" s="6" t="str">
        <x:v>股权治理</x:v>
      </x:c>
      <x:c r="E140" s="6" t="str">
        <x:v>增发后总股本</x:v>
      </x:c>
      <x:c r="F140" s="17" t="n">
        <x:v>89585740</x:v>
      </x:c>
      <x:c r="G140" s="6" t="str">
        <x:v>股</x:v>
      </x:c>
      <x:c r="H140" s="6" t="str">
        <x:v>2026-08-17</x:v>
      </x:c>
      <x:c r="I140" s="20" t="d">
        <x:v>2026-08-17T00:00:00.000Z</x:v>
      </x:c>
      <x:c r="J140" s="6" t="str">
        <x:v>F001</x:v>
      </x:c>
      <x:c r="K140" s="6" t="str">
        <x:v>已核实原值</x:v>
      </x:c>
      <x:c r="L140" s="6" t="str">
        <x:v>；</x:v>
      </x:c>
    </x:row>
    <x:row r="141" ht="34" customHeight="1">
      <x:c r="A141" s="6" t="str">
        <x:v>R0227</x:v>
      </x:c>
      <x:c r="B141" s="6" t="str">
        <x:v>海能未来技术集团股份有限公司</x:v>
      </x:c>
      <x:c r="C141" s="6" t="str">
        <x:v>正式报告披露集团/子公司</x:v>
      </x:c>
      <x:c r="D141" s="6" t="str">
        <x:v>融资建设</x:v>
      </x:c>
      <x:c r="E141" s="6" t="str">
        <x:v>简易程序定增募集资金总额</x:v>
      </x:c>
      <x:c r="F141" s="17" t="n">
        <x:v>88999988</x:v>
      </x:c>
      <x:c r="G141" s="6" t="str">
        <x:v>人民币元</x:v>
      </x:c>
      <x:c r="H141" s="6" t="str">
        <x:v>2026-08-17</x:v>
      </x:c>
      <x:c r="I141" s="20" t="d">
        <x:v>2026-08-17T00:00:00.000Z</x:v>
      </x:c>
      <x:c r="J141" s="6" t="str">
        <x:v>F001</x:v>
      </x:c>
      <x:c r="K141" s="6" t="str">
        <x:v>已核实原值</x:v>
      </x:c>
      <x:c r="L141" s="6" t="str">
        <x:v>；募集资金总额，非工程招标金额。</x:v>
      </x:c>
    </x:row>
    <x:row r="142" ht="34" customHeight="1">
      <x:c r="A142" s="6" t="str">
        <x:v>R0363</x:v>
      </x:c>
      <x:c r="B142" s="6" t="str">
        <x:v>海能未来技术集团股份有限公司</x:v>
      </x:c>
      <x:c r="C142" s="6" t="str">
        <x:v>正式报告披露集团/子公司</x:v>
      </x:c>
      <x:c r="D142" s="6" t="str">
        <x:v>行业应用</x:v>
      </x:c>
      <x:c r="E142" s="6" t="str">
        <x:v>PFAS应用方向</x:v>
      </x:c>
      <x:c r="F142" s="6" t="str">
        <x:v>新材料、半导体、食品</x:v>
      </x:c>
      <x:c r="G142" s="6" t="str"/>
      <x:c r="H142" s="6" t="str">
        <x:v>2026-10-08</x:v>
      </x:c>
      <x:c r="I142" s="20" t="d">
        <x:v>2026-09-10T00:00:00.000Z</x:v>
      </x:c>
      <x:c r="J142" s="6" t="str">
        <x:v>W019</x:v>
      </x:c>
      <x:c r="K142" s="6" t="str">
        <x:v>已核实（官网披露）</x:v>
      </x:c>
      <x:c r="L142" s="6" t="str">
        <x:v>；官网应用能力陈述，不据此推断实际合同</x:v>
      </x:c>
    </x:row>
    <x:row r="143" ht="40" customHeight="1">
      <x:c r="A143" s="6" t="str">
        <x:v>R0276</x:v>
      </x:c>
      <x:c r="B143" s="6" t="str">
        <x:v>海能未来技术集团股份有限公司</x:v>
      </x:c>
      <x:c r="C143" s="6" t="str">
        <x:v>正式报告披露集团/子公司</x:v>
      </x:c>
      <x:c r="D143" s="6" t="str">
        <x:v>行业应用</x:v>
      </x:c>
      <x:c r="E143" s="6" t="str">
        <x:v>服务领域-农业</x:v>
      </x:c>
      <x:c r="F143" s="6" t="str">
        <x:v>农业</x:v>
      </x:c>
      <x:c r="G143" s="6" t="str"/>
      <x:c r="H143" s="6" t="str">
        <x:v>2026-10-08</x:v>
      </x:c>
      <x:c r="I143" s="20"/>
      <x:c r="J143" s="6" t="str">
        <x:v>W003</x:v>
      </x:c>
      <x:c r="K143" s="6" t="str">
        <x:v>已核实（官网披露）</x:v>
      </x:c>
      <x:c r="L143" s="6" t="str">
        <x:v>；服务领域披露,不是已完成项目证明；页面未注明发布日期；仅记录截至2026-10-08可见资料，不认定近一年发生变化</x:v>
      </x:c>
    </x:row>
    <x:row r="144" ht="40" customHeight="1">
      <x:c r="A144" s="6" t="str">
        <x:v>R0279</x:v>
      </x:c>
      <x:c r="B144" s="6" t="str">
        <x:v>海能未来技术集团股份有限公司</x:v>
      </x:c>
      <x:c r="C144" s="6" t="str">
        <x:v>正式报告披露集团/子公司</x:v>
      </x:c>
      <x:c r="D144" s="6" t="str">
        <x:v>行业应用</x:v>
      </x:c>
      <x:c r="E144" s="6" t="str">
        <x:v>服务领域-化工</x:v>
      </x:c>
      <x:c r="F144" s="6" t="str">
        <x:v>化工</x:v>
      </x:c>
      <x:c r="G144" s="6" t="str"/>
      <x:c r="H144" s="6" t="str">
        <x:v>2026-10-08</x:v>
      </x:c>
      <x:c r="I144" s="20"/>
      <x:c r="J144" s="6" t="str">
        <x:v>W003</x:v>
      </x:c>
      <x:c r="K144" s="6" t="str">
        <x:v>已核实（官网披露）</x:v>
      </x:c>
      <x:c r="L144" s="6" t="str">
        <x:v>；服务领域披露,不是已完成项目证明；页面未注明发布日期；仅记录截至2026-10-08可见资料，不认定近一年发生变化</x:v>
      </x:c>
    </x:row>
    <x:row r="145" ht="40" customHeight="1">
      <x:c r="A145" s="6" t="str">
        <x:v>R0275</x:v>
      </x:c>
      <x:c r="B145" s="6" t="str">
        <x:v>海能未来技术集团股份有限公司</x:v>
      </x:c>
      <x:c r="C145" s="6" t="str">
        <x:v>正式报告披露集团/子公司</x:v>
      </x:c>
      <x:c r="D145" s="6" t="str">
        <x:v>行业应用</x:v>
      </x:c>
      <x:c r="E145" s="6" t="str">
        <x:v>服务领域-医疗</x:v>
      </x:c>
      <x:c r="F145" s="6" t="str">
        <x:v>医疗</x:v>
      </x:c>
      <x:c r="G145" s="6" t="str"/>
      <x:c r="H145" s="6" t="str">
        <x:v>2026-10-08</x:v>
      </x:c>
      <x:c r="I145" s="20"/>
      <x:c r="J145" s="6" t="str">
        <x:v>W003</x:v>
      </x:c>
      <x:c r="K145" s="6" t="str">
        <x:v>已核实（官网披露）</x:v>
      </x:c>
      <x:c r="L145" s="6" t="str">
        <x:v>；服务领域披露,不是已完成项目证明；页面未注明发布日期；仅记录截至2026-10-08可见资料，不认定近一年发生变化</x:v>
      </x:c>
    </x:row>
    <x:row r="146" ht="40" customHeight="1">
      <x:c r="A146" s="6" t="str">
        <x:v>R0278</x:v>
      </x:c>
      <x:c r="B146" s="6" t="str">
        <x:v>海能未来技术集团股份有限公司</x:v>
      </x:c>
      <x:c r="C146" s="6" t="str">
        <x:v>正式报告披露集团/子公司</x:v>
      </x:c>
      <x:c r="D146" s="6" t="str">
        <x:v>行业应用</x:v>
      </x:c>
      <x:c r="E146" s="6" t="str">
        <x:v>服务领域-地质</x:v>
      </x:c>
      <x:c r="F146" s="6" t="str">
        <x:v>地质</x:v>
      </x:c>
      <x:c r="G146" s="6" t="str"/>
      <x:c r="H146" s="6" t="str">
        <x:v>2026-10-08</x:v>
      </x:c>
      <x:c r="I146" s="20"/>
      <x:c r="J146" s="6" t="str">
        <x:v>W003</x:v>
      </x:c>
      <x:c r="K146" s="6" t="str">
        <x:v>已核实（官网披露）</x:v>
      </x:c>
      <x:c r="L146" s="6" t="str">
        <x:v>；服务领域披露,不是已完成项目证明；页面未注明发布日期；仅记录截至2026-10-08可见资料，不认定近一年发生变化</x:v>
      </x:c>
    </x:row>
    <x:row r="147" ht="40" customHeight="1">
      <x:c r="A147" s="6" t="str">
        <x:v>R0277</x:v>
      </x:c>
      <x:c r="B147" s="6" t="str">
        <x:v>海能未来技术集团股份有限公司</x:v>
      </x:c>
      <x:c r="C147" s="6" t="str">
        <x:v>正式报告披露集团/子公司</x:v>
      </x:c>
      <x:c r="D147" s="6" t="str">
        <x:v>行业应用</x:v>
      </x:c>
      <x:c r="E147" s="6" t="str">
        <x:v>服务领域-环保</x:v>
      </x:c>
      <x:c r="F147" s="6" t="str">
        <x:v>环保</x:v>
      </x:c>
      <x:c r="G147" s="6" t="str"/>
      <x:c r="H147" s="6" t="str">
        <x:v>2026-10-08</x:v>
      </x:c>
      <x:c r="I147" s="20"/>
      <x:c r="J147" s="6" t="str">
        <x:v>W003</x:v>
      </x:c>
      <x:c r="K147" s="6" t="str">
        <x:v>已核实（官网披露）</x:v>
      </x:c>
      <x:c r="L147" s="6" t="str">
        <x:v>；服务领域披露,不是已完成项目证明；页面未注明发布日期；仅记录截至2026-10-08可见资料，不认定近一年发生变化</x:v>
      </x:c>
    </x:row>
    <x:row r="148" ht="40" customHeight="1">
      <x:c r="A148" s="6" t="str">
        <x:v>R0274</x:v>
      </x:c>
      <x:c r="B148" s="6" t="str">
        <x:v>海能未来技术集团股份有限公司</x:v>
      </x:c>
      <x:c r="C148" s="6" t="str">
        <x:v>正式报告披露集团/子公司</x:v>
      </x:c>
      <x:c r="D148" s="6" t="str">
        <x:v>行业应用</x:v>
      </x:c>
      <x:c r="E148" s="6" t="str">
        <x:v>服务领域-药品</x:v>
      </x:c>
      <x:c r="F148" s="6" t="str">
        <x:v>药品</x:v>
      </x:c>
      <x:c r="G148" s="6" t="str"/>
      <x:c r="H148" s="6" t="str">
        <x:v>2026-10-08</x:v>
      </x:c>
      <x:c r="I148" s="20"/>
      <x:c r="J148" s="6" t="str">
        <x:v>W003</x:v>
      </x:c>
      <x:c r="K148" s="6" t="str">
        <x:v>已核实（官网披露）</x:v>
      </x:c>
      <x:c r="L148" s="6" t="str">
        <x:v>；服务领域披露,不是已完成项目证明；页面未注明发布日期；仅记录截至2026-10-08可见资料，不认定近一年发生变化</x:v>
      </x:c>
    </x:row>
    <x:row r="149" ht="40" customHeight="1">
      <x:c r="A149" s="6" t="str">
        <x:v>R0273</x:v>
      </x:c>
      <x:c r="B149" s="6" t="str">
        <x:v>海能未来技术集团股份有限公司</x:v>
      </x:c>
      <x:c r="C149" s="6" t="str">
        <x:v>正式报告披露集团/子公司</x:v>
      </x:c>
      <x:c r="D149" s="6" t="str">
        <x:v>行业应用</x:v>
      </x:c>
      <x:c r="E149" s="6" t="str">
        <x:v>服务领域-食品</x:v>
      </x:c>
      <x:c r="F149" s="6" t="str">
        <x:v>食品</x:v>
      </x:c>
      <x:c r="G149" s="6" t="str"/>
      <x:c r="H149" s="6" t="str">
        <x:v>2026-10-08</x:v>
      </x:c>
      <x:c r="I149" s="20"/>
      <x:c r="J149" s="6" t="str">
        <x:v>W003</x:v>
      </x:c>
      <x:c r="K149" s="6" t="str">
        <x:v>已核实（官网披露）</x:v>
      </x:c>
      <x:c r="L149" s="6" t="str">
        <x:v>；服务领域披露,不是已完成项目证明；页面未注明发布日期；仅记录截至2026-10-08可见资料，不认定近一年发生变化</x:v>
      </x:c>
    </x:row>
    <x:row r="150" ht="40" customHeight="1">
      <x:c r="A150" s="6" t="str">
        <x:v>R0293</x:v>
      </x:c>
      <x:c r="B150" s="6" t="str">
        <x:v>海能未来技术集团股份有限公司</x:v>
      </x:c>
      <x:c r="C150" s="6" t="str">
        <x:v>正式报告披露集团/子公司</x:v>
      </x:c>
      <x:c r="D150" s="6" t="str">
        <x:v>资质与经营设施</x:v>
      </x:c>
      <x:c r="E150" s="6" t="str">
        <x:v>发明专利</x:v>
      </x:c>
      <x:c r="F150" s="17" t="n">
        <x:v>56</x:v>
      </x:c>
      <x:c r="G150" s="6" t="str">
        <x:v>项</x:v>
      </x:c>
      <x:c r="H150" s="6" t="str">
        <x:v>2026-10-08</x:v>
      </x:c>
      <x:c r="I150" s="20"/>
      <x:c r="J150" s="6" t="str">
        <x:v>W003</x:v>
      </x:c>
      <x:c r="K150" s="6" t="str">
        <x:v>已核实（官网披露）</x:v>
      </x:c>
      <x:c r="L150" s="6" t="str">
        <x:v>；官网静态概况披露,无发布日期;不代表2026-06-30报告口径。资质证书适用实体、范围及有效期未核实；页面未注明发布日期；仅记录截至2026-10-08可见资料，不认定近一年发生变化</x:v>
      </x:c>
    </x:row>
    <x:row r="151" ht="40" customHeight="1">
      <x:c r="A151" s="6" t="str">
        <x:v>R0301</x:v>
      </x:c>
      <x:c r="B151" s="6" t="str">
        <x:v>海能未来技术集团股份有限公司</x:v>
      </x:c>
      <x:c r="C151" s="6" t="str">
        <x:v>正式报告披露集团/子公司</x:v>
      </x:c>
      <x:c r="D151" s="6" t="str">
        <x:v>资质与经营设施</x:v>
      </x:c>
      <x:c r="E151" s="6" t="str">
        <x:v>售后网点规模</x:v>
      </x:c>
      <x:c r="F151" s="6" t="str">
        <x:v>20余个</x:v>
      </x:c>
      <x:c r="G151" s="6" t="str">
        <x:v>个</x:v>
      </x:c>
      <x:c r="H151" s="6" t="str">
        <x:v>2026-10-08</x:v>
      </x:c>
      <x:c r="I151" s="20"/>
      <x:c r="J151" s="6" t="str">
        <x:v>W003</x:v>
      </x:c>
      <x:c r="K151" s="6" t="str">
        <x:v>已核实（官网披露）</x:v>
      </x:c>
      <x:c r="L151" s="6" t="str">
        <x:v>；官网静态概况披露,无发布日期;不代表2026-06-30报告口径。资质证书适用实体、范围及有效期未核实；页面未注明发布日期；仅记录截至2026-10-08可见资料，不认定近一年发生变化</x:v>
      </x:c>
    </x:row>
    <x:row r="152" ht="40" customHeight="1">
      <x:c r="A152" s="6" t="str">
        <x:v>R0289</x:v>
      </x:c>
      <x:c r="B152" s="6" t="str">
        <x:v>海能未来技术集团股份有限公司</x:v>
      </x:c>
      <x:c r="C152" s="6" t="str">
        <x:v>正式报告披露集团/子公司</x:v>
      </x:c>
      <x:c r="D152" s="6" t="str">
        <x:v>资质与经营设施</x:v>
      </x:c>
      <x:c r="E152" s="6" t="str">
        <x:v>国家专精特新资质</x:v>
      </x:c>
      <x:c r="F152" s="6" t="str">
        <x:v>国家专精特新“小巨人”企业</x:v>
      </x:c>
      <x:c r="G152" s="6" t="str"/>
      <x:c r="H152" s="6" t="str">
        <x:v>2026-10-08</x:v>
      </x:c>
      <x:c r="I152" s="20"/>
      <x:c r="J152" s="6" t="str">
        <x:v>W003</x:v>
      </x:c>
      <x:c r="K152" s="6" t="str">
        <x:v>已核实（官网披露）</x:v>
      </x:c>
      <x:c r="L152" s="6" t="str">
        <x:v>；官网静态概况披露,无发布日期;不代表2026-06-30报告口径。资质证书适用实体、范围及有效期未核实；页面未注明发布日期；仅记录截至2026-10-08可见资料，不认定近一年发生变化</x:v>
      </x:c>
    </x:row>
    <x:row r="153" ht="40" customHeight="1">
      <x:c r="A153" s="6" t="str">
        <x:v>R0297</x:v>
      </x:c>
      <x:c r="B153" s="6" t="str">
        <x:v>海能未来技术集团股份有限公司</x:v>
      </x:c>
      <x:c r="C153" s="6" t="str">
        <x:v>正式报告披露集团/子公司</x:v>
      </x:c>
      <x:c r="D153" s="6" t="str">
        <x:v>资质与经营设施</x:v>
      </x:c>
      <x:c r="E153" s="6" t="str">
        <x:v>国家标准</x:v>
      </x:c>
      <x:c r="F153" s="17" t="n">
        <x:v>6</x:v>
      </x:c>
      <x:c r="G153" s="6" t="str">
        <x:v>项</x:v>
      </x:c>
      <x:c r="H153" s="6" t="str">
        <x:v>2026-10-08</x:v>
      </x:c>
      <x:c r="I153" s="20"/>
      <x:c r="J153" s="6" t="str">
        <x:v>W003</x:v>
      </x:c>
      <x:c r="K153" s="6" t="str">
        <x:v>已核实（官网披露）</x:v>
      </x:c>
      <x:c r="L153" s="6" t="str">
        <x:v>；官网静态概况披露,无发布日期;不代表2026-06-30报告口径。资质证书适用实体、范围及有效期未核实；页面未注明发布日期；仅记录截至2026-10-08可见资料，不认定近一年发生变化</x:v>
      </x:c>
    </x:row>
    <x:row r="154" ht="40" customHeight="1">
      <x:c r="A154" s="6" t="str">
        <x:v>R0295</x:v>
      </x:c>
      <x:c r="B154" s="6" t="str">
        <x:v>海能未来技术集团股份有限公司</x:v>
      </x:c>
      <x:c r="C154" s="6" t="str">
        <x:v>正式报告披露集团/子公司</x:v>
      </x:c>
      <x:c r="D154" s="6" t="str">
        <x:v>资质与经营设施</x:v>
      </x:c>
      <x:c r="E154" s="6" t="str">
        <x:v>外观设计专利</x:v>
      </x:c>
      <x:c r="F154" s="17" t="n">
        <x:v>6</x:v>
      </x:c>
      <x:c r="G154" s="6" t="str">
        <x:v>项</x:v>
      </x:c>
      <x:c r="H154" s="6" t="str">
        <x:v>2026-10-08</x:v>
      </x:c>
      <x:c r="I154" s="20"/>
      <x:c r="J154" s="6" t="str">
        <x:v>W003</x:v>
      </x:c>
      <x:c r="K154" s="6" t="str">
        <x:v>已核实（官网披露）</x:v>
      </x:c>
      <x:c r="L154" s="6" t="str">
        <x:v>；官网静态概况披露,无发布日期;不代表2026-06-30报告口径。资质证书适用实体、范围及有效期未核实；页面未注明发布日期；仅记录截至2026-10-08可见资料，不认定近一年发生变化</x:v>
      </x:c>
    </x:row>
    <x:row r="155" ht="40" customHeight="1">
      <x:c r="A155" s="6" t="str">
        <x:v>R0294</x:v>
      </x:c>
      <x:c r="B155" s="6" t="str">
        <x:v>海能未来技术集团股份有限公司</x:v>
      </x:c>
      <x:c r="C155" s="6" t="str">
        <x:v>正式报告披露集团/子公司</x:v>
      </x:c>
      <x:c r="D155" s="6" t="str">
        <x:v>资质与经营设施</x:v>
      </x:c>
      <x:c r="E155" s="6" t="str">
        <x:v>实用新型专利</x:v>
      </x:c>
      <x:c r="F155" s="17" t="n">
        <x:v>128</x:v>
      </x:c>
      <x:c r="G155" s="6" t="str">
        <x:v>项</x:v>
      </x:c>
      <x:c r="H155" s="6" t="str">
        <x:v>2026-10-08</x:v>
      </x:c>
      <x:c r="I155" s="20"/>
      <x:c r="J155" s="6" t="str">
        <x:v>W003</x:v>
      </x:c>
      <x:c r="K155" s="6" t="str">
        <x:v>已核实（官网披露）</x:v>
      </x:c>
      <x:c r="L155" s="6" t="str">
        <x:v>；官网静态概况披露,无发布日期;不代表2026-06-30报告口径。资质证书适用实体、范围及有效期未核实；页面未注明发布日期；仅记录截至2026-10-08可见资料，不认定近一年发生变化</x:v>
      </x:c>
    </x:row>
    <x:row r="156" ht="40" customHeight="1">
      <x:c r="A156" s="6" t="str">
        <x:v>R0303</x:v>
      </x:c>
      <x:c r="B156" s="6" t="str">
        <x:v>海能未来技术集团股份有限公司</x:v>
      </x:c>
      <x:c r="C156" s="6" t="str">
        <x:v>正式报告披露集团/子公司</x:v>
      </x:c>
      <x:c r="D156" s="6" t="str">
        <x:v>资质与经营设施</x:v>
      </x:c>
      <x:c r="E156" s="6" t="str">
        <x:v>服务响应体系</x:v>
      </x:c>
      <x:c r="F156" s="6" t="str">
        <x:v>7天×10小时</x:v>
      </x:c>
      <x:c r="G156" s="6" t="str"/>
      <x:c r="H156" s="6" t="str">
        <x:v>2026-10-08</x:v>
      </x:c>
      <x:c r="I156" s="20"/>
      <x:c r="J156" s="6" t="str">
        <x:v>W003</x:v>
      </x:c>
      <x:c r="K156" s="6" t="str">
        <x:v>已核实（官网披露）</x:v>
      </x:c>
      <x:c r="L156" s="6" t="str">
        <x:v>；官网静态概况披露,无发布日期;不代表2026-06-30报告口径。资质证书适用实体、范围及有效期未核实；页面未注明发布日期；仅记录截至2026-10-08可见资料，不认定近一年发生变化</x:v>
      </x:c>
    </x:row>
    <x:row r="157" ht="40" customHeight="1">
      <x:c r="A157" s="6" t="str">
        <x:v>R0291</x:v>
      </x:c>
      <x:c r="B157" s="6" t="str">
        <x:v>海能未来技术集团股份有限公司</x:v>
      </x:c>
      <x:c r="C157" s="6" t="str">
        <x:v>正式报告披露集团/子公司</x:v>
      </x:c>
      <x:c r="D157" s="6" t="str">
        <x:v>资质与经营设施</x:v>
      </x:c>
      <x:c r="E157" s="6" t="str">
        <x:v>欧盟认证</x:v>
      </x:c>
      <x:c r="F157" s="6" t="str">
        <x:v>欧盟CE认证</x:v>
      </x:c>
      <x:c r="G157" s="6" t="str"/>
      <x:c r="H157" s="6" t="str">
        <x:v>2026-10-08</x:v>
      </x:c>
      <x:c r="I157" s="20"/>
      <x:c r="J157" s="6" t="str">
        <x:v>W003</x:v>
      </x:c>
      <x:c r="K157" s="6" t="str">
        <x:v>已核实（官网披露）</x:v>
      </x:c>
      <x:c r="L157" s="6" t="str">
        <x:v>；官网静态概况披露,无发布日期;不代表2026-06-30报告口径。资质证书适用实体、范围及有效期未核实；页面未注明发布日期；仅记录截至2026-10-08可见资料，不认定近一年发生变化</x:v>
      </x:c>
    </x:row>
    <x:row r="158" ht="40" customHeight="1">
      <x:c r="A158" s="6" t="str">
        <x:v>R0290</x:v>
      </x:c>
      <x:c r="B158" s="6" t="str">
        <x:v>海能未来技术集团股份有限公司</x:v>
      </x:c>
      <x:c r="C158" s="6" t="str">
        <x:v>正式报告披露集团/子公司</x:v>
      </x:c>
      <x:c r="D158" s="6" t="str">
        <x:v>资质与经营设施</x:v>
      </x:c>
      <x:c r="E158" s="6" t="str">
        <x:v>瞪羚企业资质</x:v>
      </x:c>
      <x:c r="F158" s="6" t="str">
        <x:v>国家高新区瞪羚企业</x:v>
      </x:c>
      <x:c r="G158" s="6" t="str"/>
      <x:c r="H158" s="6" t="str">
        <x:v>2026-10-08</x:v>
      </x:c>
      <x:c r="I158" s="20"/>
      <x:c r="J158" s="6" t="str">
        <x:v>W003</x:v>
      </x:c>
      <x:c r="K158" s="6" t="str">
        <x:v>已核实（官网披露）</x:v>
      </x:c>
      <x:c r="L158" s="6" t="str">
        <x:v>；官网静态概况披露,无发布日期;不代表2026-06-30报告口径。资质证书适用实体、范围及有效期未核实；页面未注明发布日期；仅记录截至2026-10-08可见资料，不认定近一年发生变化</x:v>
      </x:c>
    </x:row>
    <x:row r="159" ht="40" customHeight="1">
      <x:c r="A159" s="6" t="str">
        <x:v>R0300</x:v>
      </x:c>
      <x:c r="B159" s="6" t="str">
        <x:v>海能未来技术集团股份有限公司</x:v>
      </x:c>
      <x:c r="C159" s="6" t="str">
        <x:v>正式报告披露集团/子公司</x:v>
      </x:c>
      <x:c r="D159" s="6" t="str">
        <x:v>资质与经营设施</x:v>
      </x:c>
      <x:c r="E159" s="6" t="str">
        <x:v>研发中心分布</x:v>
      </x:c>
      <x:c r="F159" s="6" t="str">
        <x:v>北京、上海、山东、苏州、天津、多特蒙德</x:v>
      </x:c>
      <x:c r="G159" s="6" t="str"/>
      <x:c r="H159" s="6" t="str">
        <x:v>2026-10-08</x:v>
      </x:c>
      <x:c r="I159" s="20"/>
      <x:c r="J159" s="6" t="str">
        <x:v>W003</x:v>
      </x:c>
      <x:c r="K159" s="6" t="str">
        <x:v>已核实（官网披露）</x:v>
      </x:c>
      <x:c r="L159" s="6" t="str">
        <x:v>；官网静态概况披露,无发布日期;不代表2026-06-30报告口径。资质证书适用实体、范围及有效期未核实；页面未注明发布日期；仅记录截至2026-10-08可见资料，不认定近一年发生变化</x:v>
      </x:c>
    </x:row>
    <x:row r="160" ht="40" customHeight="1">
      <x:c r="A160" s="6" t="str">
        <x:v>R0299</x:v>
      </x:c>
      <x:c r="B160" s="6" t="str">
        <x:v>海能未来技术集团股份有限公司</x:v>
      </x:c>
      <x:c r="C160" s="6" t="str">
        <x:v>正式报告披露集团/子公司</x:v>
      </x:c>
      <x:c r="D160" s="6" t="str">
        <x:v>资质与经营设施</x:v>
      </x:c>
      <x:c r="E160" s="6" t="str">
        <x:v>研发中心数量</x:v>
      </x:c>
      <x:c r="F160" s="17" t="n">
        <x:v>6</x:v>
      </x:c>
      <x:c r="G160" s="6" t="str">
        <x:v>个</x:v>
      </x:c>
      <x:c r="H160" s="6" t="str">
        <x:v>2026-10-08</x:v>
      </x:c>
      <x:c r="I160" s="20"/>
      <x:c r="J160" s="6" t="str">
        <x:v>W003</x:v>
      </x:c>
      <x:c r="K160" s="6" t="str">
        <x:v>已核实（官网披露）</x:v>
      </x:c>
      <x:c r="L160" s="6" t="str">
        <x:v>；官网静态概况披露,无发布日期;不代表2026-06-30报告口径。资质证书适用实体、范围及有效期未核实；页面未注明发布日期；仅记录截至2026-10-08可见资料，不认定近一年发生变化</x:v>
      </x:c>
    </x:row>
    <x:row r="161" ht="40" customHeight="1">
      <x:c r="A161" s="6" t="str">
        <x:v>R0302</x:v>
      </x:c>
      <x:c r="B161" s="6" t="str">
        <x:v>海能未来技术集团股份有限公司</x:v>
      </x:c>
      <x:c r="C161" s="6" t="str">
        <x:v>正式报告披露集团/子公司</x:v>
      </x:c>
      <x:c r="D161" s="6" t="str">
        <x:v>资质与经营设施</x:v>
      </x:c>
      <x:c r="E161" s="6" t="str">
        <x:v>自建产业园规模</x:v>
      </x:c>
      <x:c r="F161" s="6" t="str">
        <x:v>40000余</x:v>
      </x:c>
      <x:c r="G161" s="6" t="str">
        <x:v>平方米</x:v>
      </x:c>
      <x:c r="H161" s="6" t="str">
        <x:v>2026-10-08</x:v>
      </x:c>
      <x:c r="I161" s="20"/>
      <x:c r="J161" s="6" t="str">
        <x:v>W003</x:v>
      </x:c>
      <x:c r="K161" s="6" t="str">
        <x:v>已核实（官网披露）</x:v>
      </x:c>
      <x:c r="L161" s="6" t="str">
        <x:v>；官网静态概况披露,无发布日期;不代表2026-06-30报告口径。资质证书适用实体、范围及有效期未核实；页面未注明发布日期；仅记录截至2026-10-08可见资料，不认定近一年发生变化</x:v>
      </x:c>
    </x:row>
    <x:row r="162" ht="40" customHeight="1">
      <x:c r="A162" s="6" t="str">
        <x:v>R0298</x:v>
      </x:c>
      <x:c r="B162" s="6" t="str">
        <x:v>海能未来技术集团股份有限公司</x:v>
      </x:c>
      <x:c r="C162" s="6" t="str">
        <x:v>正式报告披露集团/子公司</x:v>
      </x:c>
      <x:c r="D162" s="6" t="str">
        <x:v>资质与经营设施</x:v>
      </x:c>
      <x:c r="E162" s="6" t="str">
        <x:v>行业标准</x:v>
      </x:c>
      <x:c r="F162" s="17" t="n">
        <x:v>5</x:v>
      </x:c>
      <x:c r="G162" s="6" t="str">
        <x:v>项</x:v>
      </x:c>
      <x:c r="H162" s="6" t="str">
        <x:v>2026-10-08</x:v>
      </x:c>
      <x:c r="I162" s="20"/>
      <x:c r="J162" s="6" t="str">
        <x:v>W003</x:v>
      </x:c>
      <x:c r="K162" s="6" t="str">
        <x:v>已核实（官网披露）</x:v>
      </x:c>
      <x:c r="L162" s="6" t="str">
        <x:v>；官网静态概况披露,无发布日期;不代表2026-06-30报告口径。资质证书适用实体、范围及有效期未核实；页面未注明发布日期；仅记录截至2026-10-08可见资料，不认定近一年发生变化</x:v>
      </x:c>
    </x:row>
    <x:row r="163" ht="40" customHeight="1">
      <x:c r="A163" s="6" t="str">
        <x:v>R0292</x:v>
      </x:c>
      <x:c r="B163" s="6" t="str">
        <x:v>海能未来技术集团股份有限公司</x:v>
      </x:c>
      <x:c r="C163" s="6" t="str">
        <x:v>正式报告披露集团/子公司</x:v>
      </x:c>
      <x:c r="D163" s="6" t="str">
        <x:v>资质与经营设施</x:v>
      </x:c>
      <x:c r="E163" s="6" t="str">
        <x:v>质量体系认证</x:v>
      </x:c>
      <x:c r="F163" s="6" t="str">
        <x:v>英国UKAS机构ISO质量管理体系认证</x:v>
      </x:c>
      <x:c r="G163" s="6" t="str"/>
      <x:c r="H163" s="6" t="str">
        <x:v>2026-10-08</x:v>
      </x:c>
      <x:c r="I163" s="20"/>
      <x:c r="J163" s="6" t="str">
        <x:v>W003</x:v>
      </x:c>
      <x:c r="K163" s="6" t="str">
        <x:v>已核实（官网披露）</x:v>
      </x:c>
      <x:c r="L163" s="6" t="str">
        <x:v>；官网静态概况披露,无发布日期;不代表2026-06-30报告口径。资质证书适用实体、范围及有效期未核实；页面未注明发布日期；仅记录截至2026-10-08可见资料，不认定近一年发生变化</x:v>
      </x:c>
    </x:row>
    <x:row r="164" ht="40" customHeight="1">
      <x:c r="A164" s="6" t="str">
        <x:v>R0296</x:v>
      </x:c>
      <x:c r="B164" s="6" t="str">
        <x:v>海能未来技术集团股份有限公司</x:v>
      </x:c>
      <x:c r="C164" s="6" t="str">
        <x:v>正式报告披露集团/子公司</x:v>
      </x:c>
      <x:c r="D164" s="6" t="str">
        <x:v>资质与经营设施</x:v>
      </x:c>
      <x:c r="E164" s="6" t="str">
        <x:v>软件著作权</x:v>
      </x:c>
      <x:c r="F164" s="17" t="n">
        <x:v>94</x:v>
      </x:c>
      <x:c r="G164" s="6" t="str">
        <x:v>项</x:v>
      </x:c>
      <x:c r="H164" s="6" t="str">
        <x:v>2026-10-08</x:v>
      </x:c>
      <x:c r="I164" s="20"/>
      <x:c r="J164" s="6" t="str">
        <x:v>W003</x:v>
      </x:c>
      <x:c r="K164" s="6" t="str">
        <x:v>已核实（官网披露）</x:v>
      </x:c>
      <x:c r="L164" s="6" t="str">
        <x:v>；官网静态概况披露,无发布日期;不代表2026-06-30报告口径。资质证书适用实体、范围及有效期未核实；页面未注明发布日期；仅记录截至2026-10-08可见资料，不认定近一年发生变化</x:v>
      </x:c>
    </x:row>
    <x:row r="165" ht="40" customHeight="1">
      <x:c r="A165" s="6" t="str">
        <x:v>R0304</x:v>
      </x:c>
      <x:c r="B165" s="6" t="str">
        <x:v>海能未来技术集团股份有限公司</x:v>
      </x:c>
      <x:c r="C165" s="6" t="str">
        <x:v>正式报告披露集团/子公司</x:v>
      </x:c>
      <x:c r="D165" s="6" t="str">
        <x:v>资质展示</x:v>
      </x:c>
      <x:c r="E165" s="6" t="str">
        <x:v>资质栏目-ISO证书</x:v>
      </x:c>
      <x:c r="F165" s="6" t="str">
        <x:v>ISO证书</x:v>
      </x:c>
      <x:c r="G165" s="6" t="str"/>
      <x:c r="H165" s="6" t="str">
        <x:v>2026-10-08</x:v>
      </x:c>
      <x:c r="I165" s="20"/>
      <x:c r="J165" s="6" t="str">
        <x:v>W006</x:v>
      </x:c>
      <x:c r="K165" s="6" t="str">
        <x:v>已核实（官网披露）</x:v>
      </x:c>
      <x:c r="L165" s="6" t="str">
        <x:v>；仅页面展项名称,未核验图片证书主体、有效期和适用范围；页面未注明发布日期；仅记录截至2026-10-08可见资料，不认定近一年发生变化</x:v>
      </x:c>
    </x:row>
    <x:row r="166" ht="40" customHeight="1">
      <x:c r="A166" s="6" t="str">
        <x:v>R0309</x:v>
      </x:c>
      <x:c r="B166" s="6" t="str">
        <x:v>海能未来技术集团股份有限公司</x:v>
      </x:c>
      <x:c r="C166" s="6" t="str">
        <x:v>正式报告披露集团/子公司</x:v>
      </x:c>
      <x:c r="D166" s="6" t="str">
        <x:v>资质展示</x:v>
      </x:c>
      <x:c r="E166" s="6" t="str">
        <x:v>资质栏目-SGS认证</x:v>
      </x:c>
      <x:c r="F166" s="6" t="str">
        <x:v>SGS认证</x:v>
      </x:c>
      <x:c r="G166" s="6" t="str"/>
      <x:c r="H166" s="6" t="str">
        <x:v>2026-10-08</x:v>
      </x:c>
      <x:c r="I166" s="20"/>
      <x:c r="J166" s="6" t="str">
        <x:v>W006</x:v>
      </x:c>
      <x:c r="K166" s="6" t="str">
        <x:v>已核实（官网披露）</x:v>
      </x:c>
      <x:c r="L166" s="6" t="str">
        <x:v>；仅页面展项名称,未核验图片证书主体、有效期和适用范围；页面未注明发布日期；仅记录截至2026-10-08可见资料，不认定近一年发生变化</x:v>
      </x:c>
    </x:row>
    <x:row r="167" ht="40" customHeight="1">
      <x:c r="A167" s="6" t="str">
        <x:v>R0311</x:v>
      </x:c>
      <x:c r="B167" s="6" t="str">
        <x:v>海能未来技术集团股份有限公司</x:v>
      </x:c>
      <x:c r="C167" s="6" t="str">
        <x:v>正式报告披露集团/子公司</x:v>
      </x:c>
      <x:c r="D167" s="6" t="str">
        <x:v>资质展示</x:v>
      </x:c>
      <x:c r="E167" s="6" t="str">
        <x:v>资质栏目-中国分析测试协会会员证</x:v>
      </x:c>
      <x:c r="F167" s="6" t="str">
        <x:v>中国分析测试协会会员证</x:v>
      </x:c>
      <x:c r="G167" s="6" t="str"/>
      <x:c r="H167" s="6" t="str">
        <x:v>2026-10-08</x:v>
      </x:c>
      <x:c r="I167" s="20"/>
      <x:c r="J167" s="6" t="str">
        <x:v>W006</x:v>
      </x:c>
      <x:c r="K167" s="6" t="str">
        <x:v>已核实（官网披露）</x:v>
      </x:c>
      <x:c r="L167" s="6" t="str">
        <x:v>；仅页面展项名称,未核验图片证书主体、有效期和适用范围；页面未注明发布日期；仅记录截至2026-10-08可见资料，不认定近一年发生变化</x:v>
      </x:c>
    </x:row>
    <x:row r="168" ht="40" customHeight="1">
      <x:c r="A168" s="6" t="str">
        <x:v>R0307</x:v>
      </x:c>
      <x:c r="B168" s="6" t="str">
        <x:v>海能未来技术集团股份有限公司</x:v>
      </x:c>
      <x:c r="C168" s="6" t="str">
        <x:v>正式报告披露集团/子公司</x:v>
      </x:c>
      <x:c r="D168" s="6" t="str">
        <x:v>资质展示</x:v>
      </x:c>
      <x:c r="E168" s="6" t="str">
        <x:v>资质栏目-凯氏定氮仪获奖证书</x:v>
      </x:c>
      <x:c r="F168" s="6" t="str">
        <x:v>凯氏定氮仪获奖证书</x:v>
      </x:c>
      <x:c r="G168" s="6" t="str"/>
      <x:c r="H168" s="6" t="str">
        <x:v>2026-10-08</x:v>
      </x:c>
      <x:c r="I168" s="20"/>
      <x:c r="J168" s="6" t="str">
        <x:v>W006</x:v>
      </x:c>
      <x:c r="K168" s="6" t="str">
        <x:v>已核实（官网披露）</x:v>
      </x:c>
      <x:c r="L168" s="6" t="str">
        <x:v>；仅页面展项名称,未核验图片证书主体、有效期和适用范围；页面未注明发布日期；仅记录截至2026-10-08可见资料，不认定近一年发生变化</x:v>
      </x:c>
    </x:row>
    <x:row r="169" ht="40" customHeight="1">
      <x:c r="A169" s="6" t="str">
        <x:v>R0310</x:v>
      </x:c>
      <x:c r="B169" s="6" t="str">
        <x:v>海能未来技术集团股份有限公司</x:v>
      </x:c>
      <x:c r="C169" s="6" t="str">
        <x:v>正式报告披露集团/子公司</x:v>
      </x:c>
      <x:c r="D169" s="6" t="str">
        <x:v>资质展示</x:v>
      </x:c>
      <x:c r="E169" s="6" t="str">
        <x:v>资质栏目-协会证书</x:v>
      </x:c>
      <x:c r="F169" s="6" t="str">
        <x:v>协会证书</x:v>
      </x:c>
      <x:c r="G169" s="6" t="str"/>
      <x:c r="H169" s="6" t="str">
        <x:v>2026-10-08</x:v>
      </x:c>
      <x:c r="I169" s="20"/>
      <x:c r="J169" s="6" t="str">
        <x:v>W006</x:v>
      </x:c>
      <x:c r="K169" s="6" t="str">
        <x:v>已核实（官网披露）</x:v>
      </x:c>
      <x:c r="L169" s="6" t="str">
        <x:v>；仅页面展项名称,未核验图片证书主体、有效期和适用范围；页面未注明发布日期；仅记录截至2026-10-08可见资料，不认定近一年发生变化</x:v>
      </x:c>
    </x:row>
    <x:row r="170" ht="40" customHeight="1">
      <x:c r="A170" s="6" t="str">
        <x:v>R0306</x:v>
      </x:c>
      <x:c r="B170" s="6" t="str">
        <x:v>海能未来技术集团股份有限公司</x:v>
      </x:c>
      <x:c r="C170" s="6" t="str">
        <x:v>正式报告披露集团/子公司</x:v>
      </x:c>
      <x:c r="D170" s="6" t="str">
        <x:v>资质展示</x:v>
      </x:c>
      <x:c r="E170" s="6" t="str">
        <x:v>资质栏目-各项软件著作权</x:v>
      </x:c>
      <x:c r="F170" s="6" t="str">
        <x:v>各项软件著作权</x:v>
      </x:c>
      <x:c r="G170" s="6" t="str"/>
      <x:c r="H170" s="6" t="str">
        <x:v>2026-10-08</x:v>
      </x:c>
      <x:c r="I170" s="20"/>
      <x:c r="J170" s="6" t="str">
        <x:v>W006</x:v>
      </x:c>
      <x:c r="K170" s="6" t="str">
        <x:v>已核实（官网披露）</x:v>
      </x:c>
      <x:c r="L170" s="6" t="str">
        <x:v>；仅页面展项名称,未核验图片证书主体、有效期和适用范围；页面未注明发布日期；仅记录截至2026-10-08可见资料，不认定近一年发生变化</x:v>
      </x:c>
    </x:row>
    <x:row r="171" ht="40" customHeight="1">
      <x:c r="A171" s="6" t="str">
        <x:v>R0305</x:v>
      </x:c>
      <x:c r="B171" s="6" t="str">
        <x:v>海能未来技术集团股份有限公司</x:v>
      </x:c>
      <x:c r="C171" s="6" t="str">
        <x:v>正式报告披露集团/子公司</x:v>
      </x:c>
      <x:c r="D171" s="6" t="str">
        <x:v>资质展示</x:v>
      </x:c>
      <x:c r="E171" s="6" t="str">
        <x:v>资质栏目-杜马斯定氮仪—BCEIA金奖</x:v>
      </x:c>
      <x:c r="F171" s="6" t="str">
        <x:v>杜马斯定氮仪—BCEIA金奖</x:v>
      </x:c>
      <x:c r="G171" s="6" t="str"/>
      <x:c r="H171" s="6" t="str">
        <x:v>2026-10-08</x:v>
      </x:c>
      <x:c r="I171" s="20"/>
      <x:c r="J171" s="6" t="str">
        <x:v>W006</x:v>
      </x:c>
      <x:c r="K171" s="6" t="str">
        <x:v>已核实（官网披露）</x:v>
      </x:c>
      <x:c r="L171" s="6" t="str">
        <x:v>；仅页面展项名称,未核验图片证书主体、有效期和适用范围；页面未注明发布日期；仅记录截至2026-10-08可见资料，不认定近一年发生变化</x:v>
      </x:c>
    </x:row>
    <x:row r="172" ht="40" customHeight="1">
      <x:c r="A172" s="6" t="str">
        <x:v>R0308</x:v>
      </x:c>
      <x:c r="B172" s="6" t="str">
        <x:v>海能未来技术集团股份有限公司</x:v>
      </x:c>
      <x:c r="C172" s="6" t="str">
        <x:v>正式报告披露集团/子公司</x:v>
      </x:c>
      <x:c r="D172" s="6" t="str">
        <x:v>资质展示</x:v>
      </x:c>
      <x:c r="E172" s="6" t="str">
        <x:v>资质栏目-风味分析仪获奖奖牌</x:v>
      </x:c>
      <x:c r="F172" s="6" t="str">
        <x:v>风味分析仪获奖奖牌</x:v>
      </x:c>
      <x:c r="G172" s="6" t="str"/>
      <x:c r="H172" s="6" t="str">
        <x:v>2026-10-08</x:v>
      </x:c>
      <x:c r="I172" s="20"/>
      <x:c r="J172" s="6" t="str">
        <x:v>W006</x:v>
      </x:c>
      <x:c r="K172" s="6" t="str">
        <x:v>已核实（官网披露）</x:v>
      </x:c>
      <x:c r="L172" s="6" t="str">
        <x:v>；仅页面展项名称,未核验图片证书主体、有效期和适用范围；页面未注明发布日期；仅记录截至2026-10-08可见资料，不认定近一年发生变化</x:v>
      </x:c>
    </x:row>
    <x:row r="173" ht="56" customHeight="1">
      <x:c r="A173" s="6" t="str">
        <x:v>R0214</x:v>
      </x:c>
      <x:c r="B173" s="6" t="str">
        <x:v>G.A.S. Gesellschaft für analytische Sensorsysteme m.b.H</x:v>
      </x:c>
      <x:c r="C173" s="6" t="str">
        <x:v>正式报告披露集团/子公司</x:v>
      </x:c>
      <x:c r="D173" s="6" t="str">
        <x:v>子公司关系</x:v>
      </x:c>
      <x:c r="E173" s="6" t="str">
        <x:v>直接持股比例</x:v>
      </x:c>
      <x:c r="F173" s="19" t="n">
        <x:v>30.01</x:v>
      </x:c>
      <x:c r="G173" s="6" t="str">
        <x:v>%</x:v>
      </x:c>
      <x:c r="H173" s="6" t="str">
        <x:v>2026-06-30</x:v>
      </x:c>
      <x:c r="I173" s="20" t="d">
        <x:v>2026-08-17T00:00:00.000Z</x:v>
      </x:c>
      <x:c r="J173" s="6" t="str">
        <x:v>F001</x:v>
      </x:c>
      <x:c r="K173" s="6" t="str">
        <x:v>已核实原值</x:v>
      </x:c>
      <x:c r="L173" s="6" t="str">
        <x:v>；母公司在该子公司的持股比例；区分直接/间接。</x:v>
      </x:c>
    </x:row>
    <x:row r="174" ht="56" customHeight="1">
      <x:c r="A174" s="6" t="str">
        <x:v>R0215</x:v>
      </x:c>
      <x:c r="B174" s="6" t="str">
        <x:v>G.A.S. Gesellschaft für analytische Sensorsysteme m.b.H</x:v>
      </x:c>
      <x:c r="C174" s="6" t="str">
        <x:v>正式报告披露集团/子公司</x:v>
      </x:c>
      <x:c r="D174" s="6" t="str">
        <x:v>子公司关系</x:v>
      </x:c>
      <x:c r="E174" s="6" t="str">
        <x:v>间接持股比例</x:v>
      </x:c>
      <x:c r="F174" s="19" t="n">
        <x:v>62.99</x:v>
      </x:c>
      <x:c r="G174" s="6" t="str">
        <x:v>%</x:v>
      </x:c>
      <x:c r="H174" s="6" t="str">
        <x:v>2026-06-30</x:v>
      </x:c>
      <x:c r="I174" s="20" t="d">
        <x:v>2026-08-17T00:00:00.000Z</x:v>
      </x:c>
      <x:c r="J174" s="6" t="str">
        <x:v>F001</x:v>
      </x:c>
      <x:c r="K174" s="6" t="str">
        <x:v>已核实原值</x:v>
      </x:c>
      <x:c r="L174" s="6" t="str">
        <x:v>；母公司在该子公司的持股比例；区分直接/间接。</x:v>
      </x:c>
    </x:row>
    <x:row r="175" ht="40" customHeight="1">
      <x:c r="A175" s="6" t="str">
        <x:v>R0213</x:v>
      </x:c>
      <x:c r="B175" s="6" t="str">
        <x:v>Hanon Group Inc. Limited</x:v>
      </x:c>
      <x:c r="C175" s="6" t="str">
        <x:v>正式报告披露集团/子公司</x:v>
      </x:c>
      <x:c r="D175" s="6" t="str">
        <x:v>子公司关系</x:v>
      </x:c>
      <x:c r="E175" s="6" t="str">
        <x:v>间接持股比例</x:v>
      </x:c>
      <x:c r="F175" s="17" t="n">
        <x:v>100</x:v>
      </x:c>
      <x:c r="G175" s="6" t="str">
        <x:v>%</x:v>
      </x:c>
      <x:c r="H175" s="6" t="str">
        <x:v>2026-06-30</x:v>
      </x:c>
      <x:c r="I175" s="20" t="d">
        <x:v>2026-08-17T00:00:00.000Z</x:v>
      </x:c>
      <x:c r="J175" s="6" t="str">
        <x:v>F001</x:v>
      </x:c>
      <x:c r="K175" s="6" t="str">
        <x:v>已核实原值</x:v>
      </x:c>
      <x:c r="L175" s="6" t="str">
        <x:v>；母公司在该子公司的持股比例；区分直接/间接。</x:v>
      </x:c>
    </x:row>
    <x:row r="176" ht="40" customHeight="1">
      <x:c r="A176" s="6" t="str">
        <x:v>R0336</x:v>
      </x:c>
      <x:c r="B176" s="6" t="str">
        <x:v>上海新仪微波化学科技有限公司</x:v>
      </x:c>
      <x:c r="C176" s="6" t="str">
        <x:v>正式报告披露集团/子公司</x:v>
      </x:c>
      <x:c r="D176" s="6" t="str">
        <x:v>主体识别</x:v>
      </x:c>
      <x:c r="E176" s="6" t="str">
        <x:v>官网明示企业全称</x:v>
      </x:c>
      <x:c r="F176" s="6" t="str">
        <x:v>上海新仪微波化学科技有限公司</x:v>
      </x:c>
      <x:c r="G176" s="6" t="str"/>
      <x:c r="H176" s="6" t="str">
        <x:v>2026-10-08</x:v>
      </x:c>
      <x:c r="I176" s="20"/>
      <x:c r="J176" s="6" t="str">
        <x:v>W012</x:v>
      </x:c>
      <x:c r="K176" s="6" t="str">
        <x:v>已核实（官网披露）</x:v>
      </x:c>
      <x:c r="L176" s="6" t="str">
        <x:v>；官网明示全称,非独立工商核验；页面未注明发布日期；仅记录截至2026-10-08可见资料，不认定近一年发生变化</x:v>
      </x:c>
    </x:row>
    <x:row r="177" ht="40" customHeight="1">
      <x:c r="A177" s="6" t="str">
        <x:v>R0337</x:v>
      </x:c>
      <x:c r="B177" s="6" t="str">
        <x:v>上海新仪微波化学科技有限公司</x:v>
      </x:c>
      <x:c r="C177" s="6" t="str">
        <x:v>正式报告披露集团/子公司</x:v>
      </x:c>
      <x:c r="D177" s="6" t="str">
        <x:v>公开联系方式</x:v>
      </x:c>
      <x:c r="E177" s="6" t="str">
        <x:v>官网列示地址</x:v>
      </x:c>
      <x:c r="F177" s="6" t="str">
        <x:v>上海市徐汇区钦州北路1122号92幢6层</x:v>
      </x:c>
      <x:c r="G177" s="6" t="str"/>
      <x:c r="H177" s="6" t="str">
        <x:v>2026-10-08</x:v>
      </x:c>
      <x:c r="I177" s="20"/>
      <x:c r="J177" s="6" t="str">
        <x:v>W012</x:v>
      </x:c>
      <x:c r="K177" s="6" t="str">
        <x:v>已核实（官网披露）</x:v>
      </x:c>
      <x:c r="L177" s="6" t="str">
        <x:v>；官网列示联系地址;未核验工商注册地址；页面未注明发布日期；仅记录截至2026-10-08可见资料，不认定近一年发生变化</x:v>
      </x:c>
    </x:row>
    <x:row r="178" ht="40" customHeight="1">
      <x:c r="A178" s="6" t="str">
        <x:v>R0338</x:v>
      </x:c>
      <x:c r="B178" s="6" t="str">
        <x:v>上海新仪微波化学科技有限公司</x:v>
      </x:c>
      <x:c r="C178" s="6" t="str">
        <x:v>正式报告披露集团/子公司</x:v>
      </x:c>
      <x:c r="D178" s="6" t="str">
        <x:v>公开联系方式</x:v>
      </x:c>
      <x:c r="E178" s="6" t="str">
        <x:v>官网列示电话</x:v>
      </x:c>
      <x:c r="F178" s="6" t="str">
        <x:v>021-54487840/1/2/3</x:v>
      </x:c>
      <x:c r="G178" s="6" t="str"/>
      <x:c r="H178" s="6" t="str">
        <x:v>2026-10-08</x:v>
      </x:c>
      <x:c r="I178" s="20"/>
      <x:c r="J178" s="6" t="str">
        <x:v>W012</x:v>
      </x:c>
      <x:c r="K178" s="6" t="str">
        <x:v>已核实（官网披露）</x:v>
      </x:c>
      <x:c r="L178" s="6" t="str">
        <x:v>公开原文；未拨号或验证收信；保留原文021-54487840/1/2/3,未自行修复为四个完整号码；页面未注明发布日期；仅记录截至2026-10-08可见资料，不认定近一年发生变化</x:v>
      </x:c>
    </x:row>
    <x:row r="179" ht="34" customHeight="1">
      <x:c r="A179" s="6" t="str">
        <x:v>R0208</x:v>
      </x:c>
      <x:c r="B179" s="6" t="str">
        <x:v>上海新仪微波化学科技有限公司</x:v>
      </x:c>
      <x:c r="C179" s="6" t="str">
        <x:v>正式报告披露集团/子公司</x:v>
      </x:c>
      <x:c r="D179" s="6" t="str">
        <x:v>子公司关系</x:v>
      </x:c>
      <x:c r="E179" s="6" t="str">
        <x:v>间接持股比例</x:v>
      </x:c>
      <x:c r="F179" s="17" t="n">
        <x:v>100</x:v>
      </x:c>
      <x:c r="G179" s="6" t="str">
        <x:v>%</x:v>
      </x:c>
      <x:c r="H179" s="6" t="str">
        <x:v>2026-06-30</x:v>
      </x:c>
      <x:c r="I179" s="20" t="d">
        <x:v>2026-08-17T00:00:00.000Z</x:v>
      </x:c>
      <x:c r="J179" s="6" t="str">
        <x:v>F001</x:v>
      </x:c>
      <x:c r="K179" s="6" t="str">
        <x:v>已核实原值</x:v>
      </x:c>
      <x:c r="L179" s="6" t="str">
        <x:v>；母公司在该子公司的持股比例；区分直接/间接。</x:v>
      </x:c>
    </x:row>
    <x:row r="180" ht="40" customHeight="1">
      <x:c r="A180" s="6" t="str">
        <x:v>R0355</x:v>
      </x:c>
      <x:c r="B180" s="6" t="str">
        <x:v>南京海能(导航名称)</x:v>
      </x:c>
      <x:c r="C180" s="6" t="str">
        <x:v>官网品牌或关系资料；法人/股权以限定说明为准</x:v>
      </x:c>
      <x:c r="D180" s="6" t="str">
        <x:v>公开联系方式</x:v>
      </x:c>
      <x:c r="E180" s="6" t="str">
        <x:v>官网列示地址</x:v>
      </x:c>
      <x:c r="F180" s="6" t="str">
        <x:v>南京市秦淮区中山东路218号长安国际1405室</x:v>
      </x:c>
      <x:c r="G180" s="6" t="str"/>
      <x:c r="H180" s="6" t="str">
        <x:v>2026-10-08</x:v>
      </x:c>
      <x:c r="I180" s="20"/>
      <x:c r="J180" s="6" t="str">
        <x:v>W017</x:v>
      </x:c>
      <x:c r="K180" s="6" t="str">
        <x:v>已核实（官网披露）</x:v>
      </x:c>
      <x:c r="L180" s="6" t="str">
        <x:v>；官网列示联系地址;未核验工商注册地址；页面未注明发布日期；仅记录截至2026-10-08可见资料，不认定近一年发生变化</x:v>
      </x:c>
    </x:row>
    <x:row r="181" ht="40" customHeight="1">
      <x:c r="A181" s="6" t="str">
        <x:v>R0356</x:v>
      </x:c>
      <x:c r="B181" s="6" t="str">
        <x:v>南京海能(导航名称)</x:v>
      </x:c>
      <x:c r="C181" s="6" t="str">
        <x:v>官网品牌或关系资料；法人/股权以限定说明为准</x:v>
      </x:c>
      <x:c r="D181" s="6" t="str">
        <x:v>公开联系方式</x:v>
      </x:c>
      <x:c r="E181" s="6" t="str">
        <x:v>官网列示电话</x:v>
      </x:c>
      <x:c r="F181" s="6" t="str">
        <x:v>025-85664446</x:v>
      </x:c>
      <x:c r="G181" s="6" t="str"/>
      <x:c r="H181" s="6" t="str">
        <x:v>2026-10-08</x:v>
      </x:c>
      <x:c r="I181" s="20"/>
      <x:c r="J181" s="6" t="str">
        <x:v>W017</x:v>
      </x:c>
      <x:c r="K181" s="6" t="str">
        <x:v>已核实（官网披露）</x:v>
      </x:c>
      <x:c r="L181" s="6" t="str">
        <x:v>公开原文；未拨号或验证收信；官网公开联系方式,未标为特定采购负责人；页面未注明发布日期；仅记录截至2026-10-08可见资料，不认定近一年发生变化</x:v>
      </x:c>
    </x:row>
    <x:row r="182" ht="34" customHeight="1">
      <x:c r="A182" s="6" t="str">
        <x:v>R0205</x:v>
      </x:c>
      <x:c r="B182" s="6" t="str">
        <x:v>南京海能仪器有限公司</x:v>
      </x:c>
      <x:c r="C182" s="6" t="str">
        <x:v>正式报告披露集团/子公司</x:v>
      </x:c>
      <x:c r="D182" s="6" t="str">
        <x:v>子公司关系</x:v>
      </x:c>
      <x:c r="E182" s="6" t="str">
        <x:v>直接持股比例</x:v>
      </x:c>
      <x:c r="F182" s="17" t="n">
        <x:v>65</x:v>
      </x:c>
      <x:c r="G182" s="6" t="str">
        <x:v>%</x:v>
      </x:c>
      <x:c r="H182" s="6" t="str">
        <x:v>2026-06-30</x:v>
      </x:c>
      <x:c r="I182" s="20" t="d">
        <x:v>2026-08-17T00:00:00.000Z</x:v>
      </x:c>
      <x:c r="J182" s="6" t="str">
        <x:v>F001</x:v>
      </x:c>
      <x:c r="K182" s="6" t="str">
        <x:v>已核实原值</x:v>
      </x:c>
      <x:c r="L182" s="6" t="str">
        <x:v>；母公司在该子公司的持股比例；区分直接/间接。</x:v>
      </x:c>
    </x:row>
    <x:row r="183" ht="34" customHeight="1">
      <x:c r="A183" s="6" t="str">
        <x:v>R0221</x:v>
      </x:c>
      <x:c r="B183" s="6" t="str">
        <x:v>天津光芯科技有限责任公司</x:v>
      </x:c>
      <x:c r="C183" s="6" t="str">
        <x:v>正式报告披露集团/子公司</x:v>
      </x:c>
      <x:c r="D183" s="6" t="str">
        <x:v>企业身份</x:v>
      </x:c>
      <x:c r="E183" s="6" t="str">
        <x:v>曾用名</x:v>
      </x:c>
      <x:c r="F183" s="6" t="str">
        <x:v>天津海胜能光科技有限责任公司</x:v>
      </x:c>
      <x:c r="G183" s="6" t="str"/>
      <x:c r="H183" s="6" t="str">
        <x:v>2026-07-24</x:v>
      </x:c>
      <x:c r="I183" s="20" t="d">
        <x:v>2026-08-17T00:00:00.000Z</x:v>
      </x:c>
      <x:c r="J183" s="6" t="str">
        <x:v>F001</x:v>
      </x:c>
      <x:c r="K183" s="6" t="str">
        <x:v>已核实原值</x:v>
      </x:c>
      <x:c r="L183" s="6" t="str">
        <x:v>；</x:v>
      </x:c>
    </x:row>
    <x:row r="184" ht="34" customHeight="1">
      <x:c r="A184" s="6" t="str">
        <x:v>R0217</x:v>
      </x:c>
      <x:c r="B184" s="6" t="str">
        <x:v>天津光芯科技有限责任公司</x:v>
      </x:c>
      <x:c r="C184" s="6" t="str">
        <x:v>正式报告披露集团/子公司</x:v>
      </x:c>
      <x:c r="D184" s="6" t="str">
        <x:v>子公司关系</x:v>
      </x:c>
      <x:c r="E184" s="6" t="str">
        <x:v>间接持股比例</x:v>
      </x:c>
      <x:c r="F184" s="19" t="n">
        <x:v>55.0562</x:v>
      </x:c>
      <x:c r="G184" s="6" t="str">
        <x:v>%</x:v>
      </x:c>
      <x:c r="H184" s="6" t="str">
        <x:v>2026-06-30</x:v>
      </x:c>
      <x:c r="I184" s="20" t="d">
        <x:v>2026-08-17T00:00:00.000Z</x:v>
      </x:c>
      <x:c r="J184" s="6" t="str">
        <x:v>F001</x:v>
      </x:c>
      <x:c r="K184" s="6" t="str">
        <x:v>已核实原值</x:v>
      </x:c>
      <x:c r="L184" s="6" t="str">
        <x:v>；母公司在该子公司的持股比例；区分直接/间接。</x:v>
      </x:c>
    </x:row>
    <x:row r="185" ht="40" customHeight="1">
      <x:c r="A185" s="6" t="str">
        <x:v>R0323</x:v>
      </x:c>
      <x:c r="B185" s="6" t="str">
        <x:v>山东海能科学仪器有限公司</x:v>
      </x:c>
      <x:c r="C185" s="6" t="str">
        <x:v>正式报告披露集团/子公司</x:v>
      </x:c>
      <x:c r="D185" s="6" t="str">
        <x:v>主体识别</x:v>
      </x:c>
      <x:c r="E185" s="6" t="str">
        <x:v>官网明示企业全称</x:v>
      </x:c>
      <x:c r="F185" s="6" t="str">
        <x:v>山东海能科学仪器有限公司</x:v>
      </x:c>
      <x:c r="G185" s="6" t="str"/>
      <x:c r="H185" s="6" t="str">
        <x:v>2026-10-08</x:v>
      </x:c>
      <x:c r="I185" s="20"/>
      <x:c r="J185" s="6" t="str">
        <x:v>W009</x:v>
      </x:c>
      <x:c r="K185" s="6" t="str">
        <x:v>已核实（官网披露）</x:v>
      </x:c>
      <x:c r="L185" s="6" t="str">
        <x:v>；官网明示全称,非独立工商核验；页面未注明发布日期；仅记录截至2026-10-08可见资料，不认定近一年发生变化</x:v>
      </x:c>
    </x:row>
    <x:row r="186" ht="40" customHeight="1">
      <x:c r="A186" s="6" t="str">
        <x:v>R0324</x:v>
      </x:c>
      <x:c r="B186" s="6" t="str">
        <x:v>山东海能科学仪器有限公司</x:v>
      </x:c>
      <x:c r="C186" s="6" t="str">
        <x:v>正式报告披露集团/子公司</x:v>
      </x:c>
      <x:c r="D186" s="6" t="str">
        <x:v>公开联系方式</x:v>
      </x:c>
      <x:c r="E186" s="6" t="str">
        <x:v>官网列示地址</x:v>
      </x:c>
      <x:c r="F186" s="6" t="str">
        <x:v>山东省德州市临邑花园东大街16号</x:v>
      </x:c>
      <x:c r="G186" s="6" t="str"/>
      <x:c r="H186" s="6" t="str">
        <x:v>2026-10-08</x:v>
      </x:c>
      <x:c r="I186" s="20"/>
      <x:c r="J186" s="6" t="str">
        <x:v>W009</x:v>
      </x:c>
      <x:c r="K186" s="6" t="str">
        <x:v>已核实（官网披露）</x:v>
      </x:c>
      <x:c r="L186" s="6" t="str">
        <x:v>；官网列示联系地址;未核验工商注册地址；页面未注明发布日期；仅记录截至2026-10-08可见资料，不认定近一年发生变化</x:v>
      </x:c>
    </x:row>
    <x:row r="187" ht="40" customHeight="1">
      <x:c r="A187" s="6" t="str">
        <x:v>R0325</x:v>
      </x:c>
      <x:c r="B187" s="6" t="str">
        <x:v>山东海能科学仪器有限公司</x:v>
      </x:c>
      <x:c r="C187" s="6" t="str">
        <x:v>正式报告披露集团/子公司</x:v>
      </x:c>
      <x:c r="D187" s="6" t="str">
        <x:v>公开联系方式</x:v>
      </x:c>
      <x:c r="E187" s="6" t="str">
        <x:v>官网列示电话</x:v>
      </x:c>
      <x:c r="F187" s="6" t="str">
        <x:v>0531-88874444</x:v>
      </x:c>
      <x:c r="G187" s="6" t="str"/>
      <x:c r="H187" s="6" t="str">
        <x:v>2026-10-08</x:v>
      </x:c>
      <x:c r="I187" s="20"/>
      <x:c r="J187" s="6" t="str">
        <x:v>W009</x:v>
      </x:c>
      <x:c r="K187" s="6" t="str">
        <x:v>已核实（官网披露）</x:v>
      </x:c>
      <x:c r="L187" s="6" t="str">
        <x:v>公开原文；未拨号或验证收信；官网公开联系方式,未标为特定采购负责人；页面未注明发布日期；仅记录截至2026-10-08可见资料，不认定近一年发生变化</x:v>
      </x:c>
    </x:row>
    <x:row r="188" ht="40" customHeight="1">
      <x:c r="A188" s="6" t="str">
        <x:v>R0326</x:v>
      </x:c>
      <x:c r="B188" s="6" t="str">
        <x:v>山东海能科学仪器有限公司</x:v>
      </x:c>
      <x:c r="C188" s="6" t="str">
        <x:v>正式报告披露集团/子公司</x:v>
      </x:c>
      <x:c r="D188" s="6" t="str">
        <x:v>公开联系方式</x:v>
      </x:c>
      <x:c r="E188" s="6" t="str">
        <x:v>官网列示邮箱</x:v>
      </x:c>
      <x:c r="F188" s="6" t="str">
        <x:v>China@hanon.cc</x:v>
      </x:c>
      <x:c r="G188" s="6" t="str"/>
      <x:c r="H188" s="6" t="str">
        <x:v>2026-10-08</x:v>
      </x:c>
      <x:c r="I188" s="20"/>
      <x:c r="J188" s="6" t="str">
        <x:v>W009</x:v>
      </x:c>
      <x:c r="K188" s="6" t="str">
        <x:v>已核实（官网披露）</x:v>
      </x:c>
      <x:c r="L188" s="6" t="str">
        <x:v>公开原文；未拨号或验证收信；官网公开品牌或公司联系邮箱,未标为特定采购负责人；页面未注明发布日期；仅记录截至2026-10-08可见资料，不认定近一年发生变化</x:v>
      </x:c>
    </x:row>
    <x:row r="189" ht="34" customHeight="1">
      <x:c r="A189" s="6" t="str">
        <x:v>R0204</x:v>
      </x:c>
      <x:c r="B189" s="6" t="str">
        <x:v>山东海能科学仪器有限公司</x:v>
      </x:c>
      <x:c r="C189" s="6" t="str">
        <x:v>正式报告披露集团/子公司</x:v>
      </x:c>
      <x:c r="D189" s="6" t="str">
        <x:v>子公司关系</x:v>
      </x:c>
      <x:c r="E189" s="6" t="str">
        <x:v>直接持股比例</x:v>
      </x:c>
      <x:c r="F189" s="17" t="n">
        <x:v>100</x:v>
      </x:c>
      <x:c r="G189" s="6" t="str">
        <x:v>%</x:v>
      </x:c>
      <x:c r="H189" s="6" t="str">
        <x:v>2026-06-30</x:v>
      </x:c>
      <x:c r="I189" s="20" t="d">
        <x:v>2026-08-17T00:00:00.000Z</x:v>
      </x:c>
      <x:c r="J189" s="6" t="str">
        <x:v>F001</x:v>
      </x:c>
      <x:c r="K189" s="6" t="str">
        <x:v>已核实原值</x:v>
      </x:c>
      <x:c r="L189" s="6" t="str">
        <x:v>；母公司在该子公司的持股比例；区分直接/间接。</x:v>
      </x:c>
    </x:row>
    <x:row r="190" ht="40" customHeight="1">
      <x:c r="A190" s="6" t="str">
        <x:v>R0332</x:v>
      </x:c>
      <x:c r="B190" s="6" t="str">
        <x:v>德国G.A.S.(品牌/导航名称)</x:v>
      </x:c>
      <x:c r="C190" s="6" t="str">
        <x:v>官网品牌或关系资料；法人/股权以限定说明为准</x:v>
      </x:c>
      <x:c r="D190" s="6" t="str">
        <x:v>公开联系方式</x:v>
      </x:c>
      <x:c r="E190" s="6" t="str">
        <x:v>官网列示地址</x:v>
      </x:c>
      <x:c r="F190" s="6" t="str">
        <x:v>山东省德州市临邑花园东大街16号</x:v>
      </x:c>
      <x:c r="G190" s="6" t="str"/>
      <x:c r="H190" s="6" t="str">
        <x:v>2026-10-08</x:v>
      </x:c>
      <x:c r="I190" s="20"/>
      <x:c r="J190" s="6" t="str">
        <x:v>W011</x:v>
      </x:c>
      <x:c r="K190" s="6" t="str">
        <x:v>已核实（官网披露）</x:v>
      </x:c>
      <x:c r="L190" s="6" t="str">
        <x:v>；集团页面列示中国联系地址,不能作为德国主体注册地址；页面未注明发布日期；仅记录截至2026-10-08可见资料，不认定近一年发生变化</x:v>
      </x:c>
    </x:row>
    <x:row r="191" ht="40" customHeight="1">
      <x:c r="A191" s="6" t="str">
        <x:v>R0333</x:v>
      </x:c>
      <x:c r="B191" s="6" t="str">
        <x:v>德国G.A.S.(品牌/导航名称)</x:v>
      </x:c>
      <x:c r="C191" s="6" t="str">
        <x:v>官网品牌或关系资料；法人/股权以限定说明为准</x:v>
      </x:c>
      <x:c r="D191" s="6" t="str">
        <x:v>公开联系方式</x:v>
      </x:c>
      <x:c r="E191" s="6" t="str">
        <x:v>官网列示电话</x:v>
      </x:c>
      <x:c r="F191" s="6" t="str">
        <x:v>0531-88874444</x:v>
      </x:c>
      <x:c r="G191" s="6" t="str"/>
      <x:c r="H191" s="6" t="str">
        <x:v>2026-10-08</x:v>
      </x:c>
      <x:c r="I191" s="20"/>
      <x:c r="J191" s="6" t="str">
        <x:v>W011</x:v>
      </x:c>
      <x:c r="K191" s="6" t="str">
        <x:v>已核实（官网披露）</x:v>
      </x:c>
      <x:c r="L191" s="6" t="str">
        <x:v>公开原文；未拨号或验证收信；官网公开联系方式,未标为特定采购负责人；页面未注明发布日期；仅记录截至2026-10-08可见资料，不认定近一年发生变化</x:v>
      </x:c>
    </x:row>
    <x:row r="192" ht="40" customHeight="1">
      <x:c r="A192" s="6" t="str">
        <x:v>R0334</x:v>
      </x:c>
      <x:c r="B192" s="6" t="str">
        <x:v>德国G.A.S.(品牌/导航名称)</x:v>
      </x:c>
      <x:c r="C192" s="6" t="str">
        <x:v>官网品牌或关系资料；法人/股权以限定说明为准</x:v>
      </x:c>
      <x:c r="D192" s="6" t="str">
        <x:v>公开联系方式</x:v>
      </x:c>
      <x:c r="E192" s="6" t="str">
        <x:v>官网列示邮箱</x:v>
      </x:c>
      <x:c r="F192" s="6" t="str">
        <x:v>China@hanon.cc</x:v>
      </x:c>
      <x:c r="G192" s="6" t="str"/>
      <x:c r="H192" s="6" t="str">
        <x:v>2026-10-08</x:v>
      </x:c>
      <x:c r="I192" s="20"/>
      <x:c r="J192" s="6" t="str">
        <x:v>W011</x:v>
      </x:c>
      <x:c r="K192" s="6" t="str">
        <x:v>已核实（官网披露）</x:v>
      </x:c>
      <x:c r="L192" s="6" t="str">
        <x:v>公开原文；未拨号或验证收信；官网公开品牌或公司联系邮箱,未标为特定采购负责人；页面未注明发布日期；仅记录截至2026-10-08可见资料，不认定近一年发生变化</x:v>
      </x:c>
    </x:row>
    <x:row r="193" ht="40" customHeight="1">
      <x:c r="A193" s="6" t="str">
        <x:v>R0328</x:v>
      </x:c>
      <x:c r="B193" s="6" t="str">
        <x:v>悟空仪器(品牌/导航名称)</x:v>
      </x:c>
      <x:c r="C193" s="6" t="str">
        <x:v>官网品牌或关系资料；法人/股权以限定说明为准</x:v>
      </x:c>
      <x:c r="D193" s="6" t="str">
        <x:v>公开联系方式</x:v>
      </x:c>
      <x:c r="E193" s="6" t="str">
        <x:v>官网列示地址</x:v>
      </x:c>
      <x:c r="F193" s="6" t="str">
        <x:v>上海市松江区新桥镇新格路9300号</x:v>
      </x:c>
      <x:c r="G193" s="6" t="str"/>
      <x:c r="H193" s="6" t="str">
        <x:v>2026-10-08</x:v>
      </x:c>
      <x:c r="I193" s="20"/>
      <x:c r="J193" s="6" t="str">
        <x:v>W010</x:v>
      </x:c>
      <x:c r="K193" s="6" t="str">
        <x:v>已核实（官网披露）</x:v>
      </x:c>
      <x:c r="L193" s="6" t="str">
        <x:v>；官网列示联系地址;未核验工商注册地址；页面未注明发布日期；仅记录截至2026-10-08可见资料，不认定近一年发生变化</x:v>
      </x:c>
    </x:row>
    <x:row r="194" ht="40" customHeight="1">
      <x:c r="A194" s="6" t="str">
        <x:v>R0329</x:v>
      </x:c>
      <x:c r="B194" s="6" t="str">
        <x:v>悟空仪器(品牌/导航名称)</x:v>
      </x:c>
      <x:c r="C194" s="6" t="str">
        <x:v>官网品牌或关系资料；法人/股权以限定说明为准</x:v>
      </x:c>
      <x:c r="D194" s="6" t="str">
        <x:v>公开联系方式</x:v>
      </x:c>
      <x:c r="E194" s="6" t="str">
        <x:v>官网列示电话</x:v>
      </x:c>
      <x:c r="F194" s="6" t="str">
        <x:v>400 618 6188</x:v>
      </x:c>
      <x:c r="G194" s="6" t="str"/>
      <x:c r="H194" s="6" t="str">
        <x:v>2026-10-08</x:v>
      </x:c>
      <x:c r="I194" s="20"/>
      <x:c r="J194" s="6" t="str">
        <x:v>W010</x:v>
      </x:c>
      <x:c r="K194" s="6" t="str">
        <x:v>已核实（官网披露）</x:v>
      </x:c>
      <x:c r="L194" s="6" t="str">
        <x:v>公开原文；未拨号或验证收信；官网公开联系方式,未标为特定采购负责人；页面未注明发布日期；仅记录截至2026-10-08可见资料，不认定近一年发生变化</x:v>
      </x:c>
    </x:row>
    <x:row r="195" ht="40" customHeight="1">
      <x:c r="A195" s="6" t="str">
        <x:v>R0330</x:v>
      </x:c>
      <x:c r="B195" s="6" t="str">
        <x:v>悟空仪器(品牌/导航名称)</x:v>
      </x:c>
      <x:c r="C195" s="6" t="str">
        <x:v>官网品牌或关系资料；法人/股权以限定说明为准</x:v>
      </x:c>
      <x:c r="D195" s="6" t="str">
        <x:v>公开联系方式</x:v>
      </x:c>
      <x:c r="E195" s="6" t="str">
        <x:v>官网列示邮箱</x:v>
      </x:c>
      <x:c r="F195" s="6" t="str">
        <x:v>China@hanon.cc</x:v>
      </x:c>
      <x:c r="G195" s="6" t="str"/>
      <x:c r="H195" s="6" t="str">
        <x:v>2026-10-08</x:v>
      </x:c>
      <x:c r="I195" s="20"/>
      <x:c r="J195" s="6" t="str">
        <x:v>W010</x:v>
      </x:c>
      <x:c r="K195" s="6" t="str">
        <x:v>已核实（官网披露）</x:v>
      </x:c>
      <x:c r="L195" s="6" t="str">
        <x:v>公开原文；未拨号或验证收信；官网公开品牌或公司联系邮箱,未标为特定采购负责人；页面未注明发布日期；仅记录截至2026-10-08可见资料，不认定近一年发生变化</x:v>
      </x:c>
    </x:row>
    <x:row r="196" ht="34" customHeight="1">
      <x:c r="A196" s="6" t="str">
        <x:v>R0209</x:v>
      </x:c>
      <x:c r="B196" s="6" t="str">
        <x:v>悟空科学仪器(上海)有限公司</x:v>
      </x:c>
      <x:c r="C196" s="6" t="str">
        <x:v>正式报告披露集团/子公司</x:v>
      </x:c>
      <x:c r="D196" s="6" t="str">
        <x:v>子公司关系</x:v>
      </x:c>
      <x:c r="E196" s="6" t="str">
        <x:v>间接持股比例</x:v>
      </x:c>
      <x:c r="F196" s="17" t="n">
        <x:v>79</x:v>
      </x:c>
      <x:c r="G196" s="6" t="str">
        <x:v>%</x:v>
      </x:c>
      <x:c r="H196" s="6" t="str">
        <x:v>2026-06-30</x:v>
      </x:c>
      <x:c r="I196" s="20" t="d">
        <x:v>2026-08-17T00:00:00.000Z</x:v>
      </x:c>
      <x:c r="J196" s="6" t="str">
        <x:v>F001</x:v>
      </x:c>
      <x:c r="K196" s="6" t="str">
        <x:v>已核实原值</x:v>
      </x:c>
      <x:c r="L196" s="6" t="str">
        <x:v>；母公司在该子公司的持股比例；区分直接/间接。</x:v>
      </x:c>
    </x:row>
    <x:row r="197" ht="40" customHeight="1">
      <x:c r="A197" s="6" t="str">
        <x:v>R0352</x:v>
      </x:c>
      <x:c r="B197" s="6" t="str">
        <x:v>武汉海能(导航名称)</x:v>
      </x:c>
      <x:c r="C197" s="6" t="str">
        <x:v>官网品牌或关系资料；法人/股权以限定说明为准</x:v>
      </x:c>
      <x:c r="D197" s="6" t="str">
        <x:v>公开联系方式</x:v>
      </x:c>
      <x:c r="E197" s="6" t="str">
        <x:v>官网列示地址</x:v>
      </x:c>
      <x:c r="F197" s="6" t="str">
        <x:v>武汉市洪山区珞狮路312号湖北农业科技楼10楼1006室</x:v>
      </x:c>
      <x:c r="G197" s="6" t="str"/>
      <x:c r="H197" s="6" t="str">
        <x:v>2026-10-08</x:v>
      </x:c>
      <x:c r="I197" s="20"/>
      <x:c r="J197" s="6" t="str">
        <x:v>W016</x:v>
      </x:c>
      <x:c r="K197" s="6" t="str">
        <x:v>已核实（官网披露）</x:v>
      </x:c>
      <x:c r="L197" s="6" t="str">
        <x:v>；官网列示联系地址;未核验工商注册地址；页面未注明发布日期；仅记录截至2026-10-08可见资料，不认定近一年发生变化</x:v>
      </x:c>
    </x:row>
    <x:row r="198" ht="40" customHeight="1">
      <x:c r="A198" s="6" t="str">
        <x:v>R0353</x:v>
      </x:c>
      <x:c r="B198" s="6" t="str">
        <x:v>武汉海能(导航名称)</x:v>
      </x:c>
      <x:c r="C198" s="6" t="str">
        <x:v>官网品牌或关系资料；法人/股权以限定说明为准</x:v>
      </x:c>
      <x:c r="D198" s="6" t="str">
        <x:v>公开联系方式</x:v>
      </x:c>
      <x:c r="E198" s="6" t="str">
        <x:v>官网列示电话</x:v>
      </x:c>
      <x:c r="F198" s="6" t="str">
        <x:v>027-87186861</x:v>
      </x:c>
      <x:c r="G198" s="6" t="str"/>
      <x:c r="H198" s="6" t="str">
        <x:v>2026-10-08</x:v>
      </x:c>
      <x:c r="I198" s="20"/>
      <x:c r="J198" s="6" t="str">
        <x:v>W016</x:v>
      </x:c>
      <x:c r="K198" s="6" t="str">
        <x:v>已核实（官网披露）</x:v>
      </x:c>
      <x:c r="L198" s="6" t="str">
        <x:v>公开原文；未拨号或验证收信；官网公开联系方式,未标为特定采购负责人；页面未注明发布日期；仅记录截至2026-10-08可见资料，不认定近一年发生变化</x:v>
      </x:c>
    </x:row>
    <x:row r="199" ht="34" customHeight="1">
      <x:c r="A199" s="6" t="str">
        <x:v>R0206</x:v>
      </x:c>
      <x:c r="B199" s="6" t="str">
        <x:v>武汉海能科学仪器有限公司</x:v>
      </x:c>
      <x:c r="C199" s="6" t="str">
        <x:v>正式报告披露集团/子公司</x:v>
      </x:c>
      <x:c r="D199" s="6" t="str">
        <x:v>子公司关系</x:v>
      </x:c>
      <x:c r="E199" s="6" t="str">
        <x:v>直接持股比例</x:v>
      </x:c>
      <x:c r="F199" s="17" t="n">
        <x:v>65</x:v>
      </x:c>
      <x:c r="G199" s="6" t="str">
        <x:v>%</x:v>
      </x:c>
      <x:c r="H199" s="6" t="str">
        <x:v>2026-06-30</x:v>
      </x:c>
      <x:c r="I199" s="20" t="d">
        <x:v>2026-08-17T00:00:00.000Z</x:v>
      </x:c>
      <x:c r="J199" s="6" t="str">
        <x:v>F001</x:v>
      </x:c>
      <x:c r="K199" s="6" t="str">
        <x:v>已核实原值</x:v>
      </x:c>
      <x:c r="L199" s="6" t="str">
        <x:v>；母公司在该子公司的持股比例；区分直接/间接。</x:v>
      </x:c>
    </x:row>
    <x:row r="200" ht="34" customHeight="1">
      <x:c r="A200" s="6" t="str">
        <x:v>R0216</x:v>
      </x:c>
      <x:c r="B200" s="6" t="str">
        <x:v>济南海森分析仪器有限公司</x:v>
      </x:c>
      <x:c r="C200" s="6" t="str">
        <x:v>正式报告披露集团/子公司</x:v>
      </x:c>
      <x:c r="D200" s="6" t="str">
        <x:v>子公司关系</x:v>
      </x:c>
      <x:c r="E200" s="6" t="str">
        <x:v>直接持股比例</x:v>
      </x:c>
      <x:c r="F200" s="19" t="n">
        <x:v>66.47</x:v>
      </x:c>
      <x:c r="G200" s="6" t="str">
        <x:v>%</x:v>
      </x:c>
      <x:c r="H200" s="6" t="str">
        <x:v>2026-06-30</x:v>
      </x:c>
      <x:c r="I200" s="20" t="d">
        <x:v>2026-08-17T00:00:00.000Z</x:v>
      </x:c>
      <x:c r="J200" s="6" t="str">
        <x:v>F001</x:v>
      </x:c>
      <x:c r="K200" s="6" t="str">
        <x:v>已核实原值</x:v>
      </x:c>
      <x:c r="L200" s="6" t="str">
        <x:v>；母公司在该子公司的持股比例；区分直接/间接。</x:v>
      </x:c>
    </x:row>
    <x:row r="201" ht="34" customHeight="1">
      <x:c r="A201" s="6" t="str">
        <x:v>R0211</x:v>
      </x:c>
      <x:c r="B201" s="6" t="str">
        <x:v>济南海能吉富投资合伙企业(有限合伙)</x:v>
      </x:c>
      <x:c r="C201" s="6" t="str">
        <x:v>正式报告披露集团/子公司</x:v>
      </x:c>
      <x:c r="D201" s="6" t="str">
        <x:v>子公司关系</x:v>
      </x:c>
      <x:c r="E201" s="6" t="str">
        <x:v>直接持股比例</x:v>
      </x:c>
      <x:c r="F201" s="17" t="n">
        <x:v>99</x:v>
      </x:c>
      <x:c r="G201" s="6" t="str">
        <x:v>%</x:v>
      </x:c>
      <x:c r="H201" s="6" t="str">
        <x:v>2026-06-30</x:v>
      </x:c>
      <x:c r="I201" s="20" t="d">
        <x:v>2026-08-17T00:00:00.000Z</x:v>
      </x:c>
      <x:c r="J201" s="6" t="str">
        <x:v>F001</x:v>
      </x:c>
      <x:c r="K201" s="6" t="str">
        <x:v>已核实原值</x:v>
      </x:c>
      <x:c r="L201" s="6" t="str">
        <x:v>；母公司在该子公司的持股比例；区分直接/间接。</x:v>
      </x:c>
    </x:row>
    <x:row r="202" ht="34" customHeight="1">
      <x:c r="A202" s="6" t="str">
        <x:v>R0212</x:v>
      </x:c>
      <x:c r="B202" s="6" t="str">
        <x:v>济南海能吉富投资合伙企业(有限合伙)</x:v>
      </x:c>
      <x:c r="C202" s="6" t="str">
        <x:v>正式报告披露集团/子公司</x:v>
      </x:c>
      <x:c r="D202" s="6" t="str">
        <x:v>子公司关系</x:v>
      </x:c>
      <x:c r="E202" s="6" t="str">
        <x:v>间接持股比例</x:v>
      </x:c>
      <x:c r="F202" s="17" t="n">
        <x:v>1</x:v>
      </x:c>
      <x:c r="G202" s="6" t="str">
        <x:v>%</x:v>
      </x:c>
      <x:c r="H202" s="6" t="str">
        <x:v>2026-06-30</x:v>
      </x:c>
      <x:c r="I202" s="20" t="d">
        <x:v>2026-08-17T00:00:00.000Z</x:v>
      </x:c>
      <x:c r="J202" s="6" t="str">
        <x:v>F001</x:v>
      </x:c>
      <x:c r="K202" s="6" t="str">
        <x:v>已核实原值</x:v>
      </x:c>
      <x:c r="L202" s="6" t="str">
        <x:v>；母公司在该子公司的持股比例；区分直接/间接。</x:v>
      </x:c>
    </x:row>
    <x:row r="203" ht="40" customHeight="1">
      <x:c r="A203" s="6" t="str">
        <x:v>R0344</x:v>
      </x:c>
      <x:c r="B203" s="6" t="str">
        <x:v>海森仪器(品牌/导航名称)</x:v>
      </x:c>
      <x:c r="C203" s="6" t="str">
        <x:v>官网品牌或关系资料；法人/股权以限定说明为准</x:v>
      </x:c>
      <x:c r="D203" s="6" t="str">
        <x:v>公开联系方式</x:v>
      </x:c>
      <x:c r="E203" s="6" t="str">
        <x:v>官网列示地址</x:v>
      </x:c>
      <x:c r="F203" s="6" t="str">
        <x:v>山东省济南市高新区经十路7000号汉峪金谷A3地块1号楼第四层</x:v>
      </x:c>
      <x:c r="G203" s="6" t="str"/>
      <x:c r="H203" s="6" t="str">
        <x:v>2026-10-08</x:v>
      </x:c>
      <x:c r="I203" s="20"/>
      <x:c r="J203" s="6" t="str">
        <x:v>W014</x:v>
      </x:c>
      <x:c r="K203" s="6" t="str">
        <x:v>已核实（官网披露）</x:v>
      </x:c>
      <x:c r="L203" s="6" t="str">
        <x:v>；官网列示联系地址;未核验工商注册地址；页面未注明发布日期；仅记录截至2026-10-08可见资料，不认定近一年发生变化</x:v>
      </x:c>
    </x:row>
    <x:row r="204" ht="40" customHeight="1">
      <x:c r="A204" s="6" t="str">
        <x:v>R0345</x:v>
      </x:c>
      <x:c r="B204" s="6" t="str">
        <x:v>海森仪器(品牌/导航名称)</x:v>
      </x:c>
      <x:c r="C204" s="6" t="str">
        <x:v>官网品牌或关系资料；法人/股权以限定说明为准</x:v>
      </x:c>
      <x:c r="D204" s="6" t="str">
        <x:v>公开联系方式</x:v>
      </x:c>
      <x:c r="E204" s="6" t="str">
        <x:v>官网列示电话</x:v>
      </x:c>
      <x:c r="F204" s="6" t="str">
        <x:v>0531-88980078</x:v>
      </x:c>
      <x:c r="G204" s="6" t="str"/>
      <x:c r="H204" s="6" t="str">
        <x:v>2026-10-08</x:v>
      </x:c>
      <x:c r="I204" s="20"/>
      <x:c r="J204" s="6" t="str">
        <x:v>W014</x:v>
      </x:c>
      <x:c r="K204" s="6" t="str">
        <x:v>已核实（官网披露）</x:v>
      </x:c>
      <x:c r="L204" s="6" t="str">
        <x:v>公开原文；未拨号或验证收信；官网公开联系方式,未标为特定采购负责人；页面未注明发布日期；仅记录截至2026-10-08可见资料，不认定近一年发生变化</x:v>
      </x:c>
    </x:row>
    <x:row r="205" ht="40" customHeight="1">
      <x:c r="A205" s="6" t="str">
        <x:v>R0346</x:v>
      </x:c>
      <x:c r="B205" s="6" t="str">
        <x:v>海森仪器(品牌/导航名称)</x:v>
      </x:c>
      <x:c r="C205" s="6" t="str">
        <x:v>官网品牌或关系资料；法人/股权以限定说明为准</x:v>
      </x:c>
      <x:c r="D205" s="6" t="str">
        <x:v>公开联系方式</x:v>
      </x:c>
      <x:c r="E205" s="6" t="str">
        <x:v>官网列示邮箱</x:v>
      </x:c>
      <x:c r="F205" s="6" t="str">
        <x:v>info@haosoo.com.cn</x:v>
      </x:c>
      <x:c r="G205" s="6" t="str"/>
      <x:c r="H205" s="6" t="str">
        <x:v>2026-10-08</x:v>
      </x:c>
      <x:c r="I205" s="20"/>
      <x:c r="J205" s="6" t="str">
        <x:v>W014</x:v>
      </x:c>
      <x:c r="K205" s="6" t="str">
        <x:v>已核实（官网披露）</x:v>
      </x:c>
      <x:c r="L205" s="6" t="str">
        <x:v>公开原文；未拨号或验证收信；官网公开品牌或公司联系邮箱,未标为特定采购负责人；页面未注明发布日期；仅记录截至2026-10-08可见资料，不认定近一年发生变化</x:v>
      </x:c>
    </x:row>
    <x:row r="206" ht="34" customHeight="1">
      <x:c r="A206" s="6" t="str">
        <x:v>R0218</x:v>
      </x:c>
      <x:c r="B206" s="6" t="str">
        <x:v>海能基石技术有限公司</x:v>
      </x:c>
      <x:c r="C206" s="6" t="str">
        <x:v>正式报告披露集团/子公司</x:v>
      </x:c>
      <x:c r="D206" s="6" t="str">
        <x:v>子公司关系</x:v>
      </x:c>
      <x:c r="E206" s="6" t="str">
        <x:v>直接持股比例</x:v>
      </x:c>
      <x:c r="F206" s="17" t="n">
        <x:v>100</x:v>
      </x:c>
      <x:c r="G206" s="6" t="str">
        <x:v>%</x:v>
      </x:c>
      <x:c r="H206" s="6" t="str">
        <x:v>2026-06-30</x:v>
      </x:c>
      <x:c r="I206" s="20" t="d">
        <x:v>2026-08-17T00:00:00.000Z</x:v>
      </x:c>
      <x:c r="J206" s="6" t="str">
        <x:v>F001</x:v>
      </x:c>
      <x:c r="K206" s="6" t="str">
        <x:v>已核实原值</x:v>
      </x:c>
      <x:c r="L206" s="6" t="str">
        <x:v>；母公司在该子公司的持股比例；区分直接/间接。</x:v>
      </x:c>
    </x:row>
    <x:row r="207" ht="34" customHeight="1">
      <x:c r="A207" s="6" t="str">
        <x:v>R0230</x:v>
      </x:c>
      <x:c r="B207" s="6" t="str">
        <x:v>海能基石技术有限公司</x:v>
      </x:c>
      <x:c r="C207" s="6" t="str">
        <x:v>正式报告披露集团/子公司</x:v>
      </x:c>
      <x:c r="D207" s="6" t="str">
        <x:v>建设项目</x:v>
      </x:c>
      <x:c r="E207" s="6" t="str">
        <x:v>建设地区</x:v>
      </x:c>
      <x:c r="F207" s="6" t="str">
        <x:v>上海市松江区</x:v>
      </x:c>
      <x:c r="G207" s="6" t="str"/>
      <x:c r="H207" s="6" t="str">
        <x:v>2025-12-31</x:v>
      </x:c>
      <x:c r="I207" s="20" t="d">
        <x:v>2026-03-16T00:00:00.000Z</x:v>
      </x:c>
      <x:c r="J207" s="6" t="str">
        <x:v>F002</x:v>
      </x:c>
      <x:c r="K207" s="6" t="str">
        <x:v>已核实原值</x:v>
      </x:c>
      <x:c r="L207" s="6" t="str">
        <x:v>；总投资不超过2.3亿元为投资上限，非已执行采购金额。</x:v>
      </x:c>
    </x:row>
    <x:row r="208" ht="40" customHeight="1">
      <x:c r="A208" s="6" t="str">
        <x:v>R0233</x:v>
      </x:c>
      <x:c r="B208" s="6" t="str">
        <x:v>海能基石技术有限公司</x:v>
      </x:c>
      <x:c r="C208" s="6" t="str">
        <x:v>正式报告披露集团/子公司</x:v>
      </x:c>
      <x:c r="D208" s="6" t="str">
        <x:v>建设项目</x:v>
      </x:c>
      <x:c r="E208" s="6" t="str">
        <x:v>建设需求</x:v>
      </x:c>
      <x:c r="F208" s="6" t="str">
        <x:v>综合性研发中心和区域总部;数字化智能化设备及工艺;智能工业大模型;智慧仓储系统</x:v>
      </x:c>
      <x:c r="G208" s="6" t="str"/>
      <x:c r="H208" s="6" t="str">
        <x:v>2025-12-31</x:v>
      </x:c>
      <x:c r="I208" s="20" t="d">
        <x:v>2026-03-16T00:00:00.000Z</x:v>
      </x:c>
      <x:c r="J208" s="6" t="str">
        <x:v>F002</x:v>
      </x:c>
      <x:c r="K208" s="6" t="str">
        <x:v>已核实原值</x:v>
      </x:c>
      <x:c r="L208" s="6" t="str">
        <x:v>；总投资不超过2.3亿元为投资上限，非已执行采购金额。</x:v>
      </x:c>
    </x:row>
    <x:row r="209" ht="40" customHeight="1">
      <x:c r="A209" s="6" t="str">
        <x:v>R0232</x:v>
      </x:c>
      <x:c r="B209" s="6" t="str">
        <x:v>海能基石技术有限公司</x:v>
      </x:c>
      <x:c r="C209" s="6" t="str">
        <x:v>正式报告披露集团/子公司</x:v>
      </x:c>
      <x:c r="D209" s="6" t="str">
        <x:v>建设项目</x:v>
      </x:c>
      <x:c r="E209" s="6" t="str">
        <x:v>截至2025年末建设进展</x:v>
      </x:c>
      <x:c r="F209" s="6" t="str">
        <x:v>已取得建设用地使用权、建设用地规划许可、桩基施工许可;完成大部分设计单位招标,进行工程试桩施工与检测</x:v>
      </x:c>
      <x:c r="G209" s="6" t="str"/>
      <x:c r="H209" s="6" t="str">
        <x:v>2025-12-31</x:v>
      </x:c>
      <x:c r="I209" s="20" t="d">
        <x:v>2026-03-16T00:00:00.000Z</x:v>
      </x:c>
      <x:c r="J209" s="6" t="str">
        <x:v>F002</x:v>
      </x:c>
      <x:c r="K209" s="6" t="str">
        <x:v>已核实原值</x:v>
      </x:c>
      <x:c r="L209" s="6" t="str">
        <x:v>；总投资不超过2.3亿元为投资上限，非已执行采购金额。</x:v>
      </x:c>
    </x:row>
    <x:row r="210" ht="34" customHeight="1">
      <x:c r="A210" s="6" t="str">
        <x:v>R0229</x:v>
      </x:c>
      <x:c r="B210" s="6" t="str">
        <x:v>海能基石技术有限公司</x:v>
      </x:c>
      <x:c r="C210" s="6" t="str">
        <x:v>正式报告披露集团/子公司</x:v>
      </x:c>
      <x:c r="D210" s="6" t="str">
        <x:v>建设项目</x:v>
      </x:c>
      <x:c r="E210" s="6" t="str">
        <x:v>项目名称</x:v>
      </x:c>
      <x:c r="F210" s="6" t="str">
        <x:v>海能基石科学仪器智能制造基地项目</x:v>
      </x:c>
      <x:c r="G210" s="6" t="str"/>
      <x:c r="H210" s="6" t="str">
        <x:v>2025-12-31</x:v>
      </x:c>
      <x:c r="I210" s="20" t="d">
        <x:v>2026-03-16T00:00:00.000Z</x:v>
      </x:c>
      <x:c r="J210" s="6" t="str">
        <x:v>F002</x:v>
      </x:c>
      <x:c r="K210" s="6" t="str">
        <x:v>已核实原值</x:v>
      </x:c>
      <x:c r="L210" s="6" t="str">
        <x:v>；总投资不超过2.3亿元为投资上限，非已执行采购金额。</x:v>
      </x:c>
    </x:row>
    <x:row r="211" ht="34" customHeight="1">
      <x:c r="A211" s="6" t="str">
        <x:v>R0231</x:v>
      </x:c>
      <x:c r="B211" s="6" t="str">
        <x:v>海能基石技术有限公司</x:v>
      </x:c>
      <x:c r="C211" s="6" t="str">
        <x:v>正式报告披露集团/子公司</x:v>
      </x:c>
      <x:c r="D211" s="6" t="str">
        <x:v>建设项目</x:v>
      </x:c>
      <x:c r="E211" s="6" t="str">
        <x:v>项目总投资上限</x:v>
      </x:c>
      <x:c r="F211" s="17" t="n">
        <x:v>230000000</x:v>
      </x:c>
      <x:c r="G211" s="6" t="str">
        <x:v>人民币元</x:v>
      </x:c>
      <x:c r="H211" s="6" t="str">
        <x:v>2025-12-31</x:v>
      </x:c>
      <x:c r="I211" s="20" t="d">
        <x:v>2026-03-16T00:00:00.000Z</x:v>
      </x:c>
      <x:c r="J211" s="6" t="str">
        <x:v>F002</x:v>
      </x:c>
      <x:c r="K211" s="6" t="str">
        <x:v>已核实原值</x:v>
      </x:c>
      <x:c r="L211" s="6" t="str">
        <x:v>；总投资不超过2.3亿元为投资上限，非已执行采购金额。</x:v>
      </x:c>
    </x:row>
    <x:row r="212" ht="34" customHeight="1">
      <x:c r="A212" s="6" t="str">
        <x:v>R0234</x:v>
      </x:c>
      <x:c r="B212" s="6" t="str">
        <x:v>海能基石技术有限公司</x:v>
      </x:c>
      <x:c r="C212" s="6" t="str">
        <x:v>正式报告披露集团/子公司</x:v>
      </x:c>
      <x:c r="D212" s="6" t="str">
        <x:v>建设项目</x:v>
      </x:c>
      <x:c r="E212" s="6" t="str">
        <x:v>2026年上半年项目建设状态</x:v>
      </x:c>
      <x:c r="F212" s="6" t="str">
        <x:v>正式开建,相关支出资本化</x:v>
      </x:c>
      <x:c r="G212" s="6" t="str"/>
      <x:c r="H212" s="6" t="str">
        <x:v>2026-06-30</x:v>
      </x:c>
      <x:c r="I212" s="20" t="d">
        <x:v>2026-08-17T00:00:00.000Z</x:v>
      </x:c>
      <x:c r="J212" s="6" t="str">
        <x:v>F001</x:v>
      </x:c>
      <x:c r="K212" s="6" t="str">
        <x:v>已核实原值</x:v>
      </x:c>
      <x:c r="L212" s="6" t="str">
        <x:v>；集团在建工程余额14285237.74元，不断言其全额是本项目已采购额。</x:v>
      </x:c>
    </x:row>
    <x:row r="213" ht="40" customHeight="1">
      <x:c r="A213" s="6" t="str">
        <x:v>R0257</x:v>
      </x:c>
      <x:c r="B213" s="6" t="str">
        <x:v>海能基石技术有限公司</x:v>
      </x:c>
      <x:c r="C213" s="6" t="str">
        <x:v>正式报告披露集团/子公司</x:v>
      </x:c>
      <x:c r="D213" s="6" t="str">
        <x:v>网站运营</x:v>
      </x:c>
      <x:c r="E213" s="6" t="str">
        <x:v>ICP备案号</x:v>
      </x:c>
      <x:c r="F213" s="6" t="str">
        <x:v>沪ICP备2025136820号-4</x:v>
      </x:c>
      <x:c r="G213" s="6" t="str"/>
      <x:c r="H213" s="6" t="str">
        <x:v>2026-10-08</x:v>
      </x:c>
      <x:c r="I213" s="20"/>
      <x:c r="J213" s="6" t="str">
        <x:v>W001</x:v>
      </x:c>
      <x:c r="K213" s="6" t="str">
        <x:v>已核实（官网披露）</x:v>
      </x:c>
      <x:c r="L213" s="6" t="str">
        <x:v>；官网无发布日期;仅能表述为核查日可见内容；页面未注明发布日期；仅记录截至2026-10-08可见资料，不认定近一年发生变化</x:v>
      </x:c>
    </x:row>
    <x:row r="214" ht="40" customHeight="1">
      <x:c r="A214" s="6" t="str">
        <x:v>R0256</x:v>
      </x:c>
      <x:c r="B214" s="6" t="str">
        <x:v>海能基石技术有限公司</x:v>
      </x:c>
      <x:c r="C214" s="6" t="str">
        <x:v>正式报告披露集团/子公司</x:v>
      </x:c>
      <x:c r="D214" s="6" t="str">
        <x:v>网站运营</x:v>
      </x:c>
      <x:c r="E214" s="6" t="str">
        <x:v>页脚版权主体</x:v>
      </x:c>
      <x:c r="F214" s="6" t="str">
        <x:v>海能基石技术有限公司</x:v>
      </x:c>
      <x:c r="G214" s="6" t="str"/>
      <x:c r="H214" s="6" t="str">
        <x:v>2026-10-08</x:v>
      </x:c>
      <x:c r="I214" s="20"/>
      <x:c r="J214" s="6" t="str">
        <x:v>W001</x:v>
      </x:c>
      <x:c r="K214" s="6" t="str">
        <x:v>已核实（官网披露）</x:v>
      </x:c>
      <x:c r="L214" s="6" t="str">
        <x:v>；页脚版权主体,不据此替换集团法律主体；页面未注明发布日期；仅记录截至2026-10-08可见资料，不认定近一年发生变化</x:v>
      </x:c>
    </x:row>
    <x:row r="215" ht="34" customHeight="1">
      <x:c r="A215" s="6" t="str">
        <x:v>R0219</x:v>
      </x:c>
      <x:c r="B215" s="6" t="str">
        <x:v>海能有为科学仪器(上海)有限公司</x:v>
      </x:c>
      <x:c r="C215" s="6" t="str">
        <x:v>正式报告披露集团/子公司</x:v>
      </x:c>
      <x:c r="D215" s="6" t="str">
        <x:v>子公司关系</x:v>
      </x:c>
      <x:c r="E215" s="6" t="str">
        <x:v>间接持股比例</x:v>
      </x:c>
      <x:c r="F215" s="17" t="n">
        <x:v>100</x:v>
      </x:c>
      <x:c r="G215" s="6" t="str">
        <x:v>%</x:v>
      </x:c>
      <x:c r="H215" s="6" t="str">
        <x:v>2026-06-30</x:v>
      </x:c>
      <x:c r="I215" s="20" t="d">
        <x:v>2026-08-17T00:00:00.000Z</x:v>
      </x:c>
      <x:c r="J215" s="6" t="str">
        <x:v>F001</x:v>
      </x:c>
      <x:c r="K215" s="6" t="str">
        <x:v>已核实原值</x:v>
      </x:c>
      <x:c r="L215" s="6" t="str">
        <x:v>；母公司在该子公司的持股比例；区分直接/间接。</x:v>
      </x:c>
    </x:row>
    <x:row r="216" ht="34" customHeight="1">
      <x:c r="A216" s="6" t="str">
        <x:v>R0366</x:v>
      </x:c>
      <x:c r="B216" s="6" t="str">
        <x:v>白小白(品牌)</x:v>
      </x:c>
      <x:c r="C216" s="6" t="str">
        <x:v>官网品牌或关系资料；法人/股权以限定说明为准</x:v>
      </x:c>
      <x:c r="D216" s="6" t="str">
        <x:v>业务活动</x:v>
      </x:c>
      <x:c r="E216" s="6" t="str">
        <x:v>甘检会展示</x:v>
      </x:c>
      <x:c r="F216" s="6" t="str">
        <x:v>第六届西北分析测试技术与实验室创新发展大会</x:v>
      </x:c>
      <x:c r="G216" s="6" t="str"/>
      <x:c r="H216" s="6" t="str">
        <x:v>2026-10-08</x:v>
      </x:c>
      <x:c r="I216" s="20" t="d">
        <x:v>2026-07-21T00:00:00.000Z</x:v>
      </x:c>
      <x:c r="J216" s="6" t="str">
        <x:v>W020</x:v>
      </x:c>
      <x:c r="K216" s="6" t="str">
        <x:v>已核实（官网披露）</x:v>
      </x:c>
      <x:c r="L216" s="6" t="str">
        <x:v>；官网展会活动，不等于订单</x:v>
      </x:c>
    </x:row>
    <x:row r="217" ht="34" customHeight="1">
      <x:c r="A217" s="6" t="str">
        <x:v>R0369</x:v>
      </x:c>
      <x:c r="B217" s="6" t="str">
        <x:v>白小白(品牌)</x:v>
      </x:c>
      <x:c r="C217" s="6" t="str">
        <x:v>官网品牌或关系资料；法人/股权以限定说明为准</x:v>
      </x:c>
      <x:c r="D217" s="6" t="str">
        <x:v>产品能力</x:v>
      </x:c>
      <x:c r="E217" s="6" t="str">
        <x:v>HPLC验证指标声称</x:v>
      </x:c>
      <x:c r="F217" s="6" t="str">
        <x:v>RSD≤1.5%</x:v>
      </x:c>
      <x:c r="G217" s="6" t="str"/>
      <x:c r="H217" s="6" t="str">
        <x:v>2026-10-08</x:v>
      </x:c>
      <x:c r="I217" s="20" t="d">
        <x:v>2026-07-21T00:00:00.000Z</x:v>
      </x:c>
      <x:c r="J217" s="6" t="str">
        <x:v>W020</x:v>
      </x:c>
      <x:c r="K217" s="6" t="str">
        <x:v>已核实（官网披露）</x:v>
      </x:c>
      <x:c r="L217" s="6" t="str">
        <x:v>；厂商新闻性能或能力声称，未独立测评；不作为已完成交易、资质认证或采购需求证据</x:v>
      </x:c>
    </x:row>
    <x:row r="218" ht="34" customHeight="1">
      <x:c r="A218" s="6" t="str">
        <x:v>R0371</x:v>
      </x:c>
      <x:c r="B218" s="6" t="str">
        <x:v>白小白(品牌)</x:v>
      </x:c>
      <x:c r="C218" s="6" t="str">
        <x:v>官网品牌或关系资料；法人/股权以限定说明为准</x:v>
      </x:c>
      <x:c r="D218" s="6" t="str">
        <x:v>产品能力</x:v>
      </x:c>
      <x:c r="E218" s="6" t="str">
        <x:v>LIMS对接能力</x:v>
      </x:c>
      <x:c r="F218" s="6" t="str">
        <x:v>支持直接对接实验室LIMS</x:v>
      </x:c>
      <x:c r="G218" s="6" t="str"/>
      <x:c r="H218" s="6" t="str">
        <x:v>2026-10-08</x:v>
      </x:c>
      <x:c r="I218" s="20" t="d">
        <x:v>2026-07-21T00:00:00.000Z</x:v>
      </x:c>
      <x:c r="J218" s="6" t="str">
        <x:v>W020</x:v>
      </x:c>
      <x:c r="K218" s="6" t="str">
        <x:v>已核实（官网披露）</x:v>
      </x:c>
      <x:c r="L218" s="6" t="str">
        <x:v>；厂商新闻性能或能力声称，未独立测评；不作为已完成交易、资质认证或采购需求证据</x:v>
      </x:c>
    </x:row>
    <x:row r="219" ht="34" customHeight="1">
      <x:c r="A219" s="6" t="str">
        <x:v>R0373</x:v>
      </x:c>
      <x:c r="B219" s="6" t="str">
        <x:v>白小白(品牌)</x:v>
      </x:c>
      <x:c r="C219" s="6" t="str">
        <x:v>官网品牌或关系资料；法人/股权以限定说明为准</x:v>
      </x:c>
      <x:c r="D219" s="6" t="str">
        <x:v>产品能力</x:v>
      </x:c>
      <x:c r="E219" s="6" t="str">
        <x:v>主要客群</x:v>
      </x:c>
      <x:c r="F219" s="6" t="str">
        <x:v>第三方与综合检测机构</x:v>
      </x:c>
      <x:c r="G219" s="6" t="str"/>
      <x:c r="H219" s="6" t="str">
        <x:v>2026-10-08</x:v>
      </x:c>
      <x:c r="I219" s="20" t="d">
        <x:v>2026-07-21T00:00:00.000Z</x:v>
      </x:c>
      <x:c r="J219" s="6" t="str">
        <x:v>W020</x:v>
      </x:c>
      <x:c r="K219" s="6" t="str">
        <x:v>已核实（官网披露）</x:v>
      </x:c>
      <x:c r="L219" s="6" t="str">
        <x:v>；厂商新闻性能或能力声称，未独立测评；不作为已完成交易、资质认证或采购需求证据</x:v>
      </x:c>
    </x:row>
    <x:row r="220" ht="34" customHeight="1">
      <x:c r="A220" s="6" t="str">
        <x:v>R0374</x:v>
      </x:c>
      <x:c r="B220" s="6" t="str">
        <x:v>白小白(品牌)</x:v>
      </x:c>
      <x:c r="C220" s="6" t="str">
        <x:v>官网品牌或关系资料；法人/股权以限定说明为准</x:v>
      </x:c>
      <x:c r="D220" s="6" t="str">
        <x:v>产品能力</x:v>
      </x:c>
      <x:c r="E220" s="6" t="str">
        <x:v>单批次清洗时长声称</x:v>
      </x:c>
      <x:c r="F220" s="6" t="str">
        <x:v>60分钟压缩至45分钟</x:v>
      </x:c>
      <x:c r="G220" s="6" t="str"/>
      <x:c r="H220" s="6" t="str">
        <x:v>2026-10-08</x:v>
      </x:c>
      <x:c r="I220" s="20" t="d">
        <x:v>2026-07-21T00:00:00.000Z</x:v>
      </x:c>
      <x:c r="J220" s="6" t="str">
        <x:v>W020</x:v>
      </x:c>
      <x:c r="K220" s="6" t="str">
        <x:v>已核实（官网披露）</x:v>
      </x:c>
      <x:c r="L220" s="6" t="str">
        <x:v>；厂商新闻性能或能力声称，未独立测评；不作为已完成交易、资质认证或采购需求证据</x:v>
      </x:c>
    </x:row>
    <x:row r="221" ht="34" customHeight="1">
      <x:c r="A221" s="6" t="str">
        <x:v>R0376</x:v>
      </x:c>
      <x:c r="B221" s="6" t="str">
        <x:v>白小白(品牌)</x:v>
      </x:c>
      <x:c r="C221" s="6" t="str">
        <x:v>官网品牌或关系资料；法人/股权以限定说明为准</x:v>
      </x:c>
      <x:c r="D221" s="6" t="str">
        <x:v>产品能力</x:v>
      </x:c>
      <x:c r="E221" s="6" t="str">
        <x:v>可选程序数声称</x:v>
      </x:c>
      <x:c r="F221" s="6" t="str">
        <x:v>200多种</x:v>
      </x:c>
      <x:c r="G221" s="6" t="str"/>
      <x:c r="H221" s="6" t="str">
        <x:v>2026-10-08</x:v>
      </x:c>
      <x:c r="I221" s="20" t="d">
        <x:v>2026-07-21T00:00:00.000Z</x:v>
      </x:c>
      <x:c r="J221" s="6" t="str">
        <x:v>W020</x:v>
      </x:c>
      <x:c r="K221" s="6" t="str">
        <x:v>已核实（官网披露）</x:v>
      </x:c>
      <x:c r="L221" s="6" t="str">
        <x:v>；厂商新闻性能或能力声称，未独立测评；不作为已完成交易、资质认证或采购需求证据</x:v>
      </x:c>
    </x:row>
    <x:row r="222" ht="34" customHeight="1">
      <x:c r="A222" s="6" t="str">
        <x:v>R0380</x:v>
      </x:c>
      <x:c r="B222" s="6" t="str">
        <x:v>白小白(品牌)</x:v>
      </x:c>
      <x:c r="C222" s="6" t="str">
        <x:v>官网品牌或关系资料；法人/股权以限定说明为准</x:v>
      </x:c>
      <x:c r="D222" s="6" t="str">
        <x:v>产品能力</x:v>
      </x:c>
      <x:c r="E222" s="6" t="str">
        <x:v>安装条件声称</x:v>
      </x:c>
      <x:c r="F222" s="6" t="str">
        <x:v>无需改造现有水电布局</x:v>
      </x:c>
      <x:c r="G222" s="6" t="str"/>
      <x:c r="H222" s="6" t="str">
        <x:v>2026-10-08</x:v>
      </x:c>
      <x:c r="I222" s="20" t="d">
        <x:v>2026-07-21T00:00:00.000Z</x:v>
      </x:c>
      <x:c r="J222" s="6" t="str">
        <x:v>W020</x:v>
      </x:c>
      <x:c r="K222" s="6" t="str">
        <x:v>已核实（官网披露）</x:v>
      </x:c>
      <x:c r="L222" s="6" t="str">
        <x:v>；厂商新闻性能或能力声称，未独立测评；不作为已完成交易、资质认证或采购需求证据</x:v>
      </x:c>
    </x:row>
    <x:row r="223" ht="34" customHeight="1">
      <x:c r="A223" s="6" t="str">
        <x:v>R0367</x:v>
      </x:c>
      <x:c r="B223" s="6" t="str">
        <x:v>白小白(品牌)</x:v>
      </x:c>
      <x:c r="C223" s="6" t="str">
        <x:v>官网品牌或关系资料；法人/股权以限定说明为准</x:v>
      </x:c>
      <x:c r="D223" s="6" t="str">
        <x:v>产品能力</x:v>
      </x:c>
      <x:c r="E223" s="6" t="str">
        <x:v>展示产品型号</x:v>
      </x:c>
      <x:c r="F223" s="6" t="str">
        <x:v>BS580D 全自动洗瓶机</x:v>
      </x:c>
      <x:c r="G223" s="6" t="str"/>
      <x:c r="H223" s="6" t="str">
        <x:v>2026-10-08</x:v>
      </x:c>
      <x:c r="I223" s="20" t="d">
        <x:v>2026-07-21T00:00:00.000Z</x:v>
      </x:c>
      <x:c r="J223" s="6" t="str">
        <x:v>W020</x:v>
      </x:c>
      <x:c r="K223" s="6" t="str">
        <x:v>已核实（官网披露）</x:v>
      </x:c>
      <x:c r="L223" s="6" t="str">
        <x:v>；厂商新闻性能或能力声称，未独立测评；不作为已完成交易、资质认证或采购需求证据</x:v>
      </x:c>
    </x:row>
    <x:row r="224" ht="34" customHeight="1">
      <x:c r="A224" s="6" t="str">
        <x:v>R0375</x:v>
      </x:c>
      <x:c r="B224" s="6" t="str">
        <x:v>白小白(品牌)</x:v>
      </x:c>
      <x:c r="C224" s="6" t="str">
        <x:v>官网品牌或关系资料；法人/股权以限定说明为准</x:v>
      </x:c>
      <x:c r="D224" s="6" t="str">
        <x:v>产品能力</x:v>
      </x:c>
      <x:c r="E224" s="6" t="str">
        <x:v>批次提升声称</x:v>
      </x:c>
      <x:c r="F224" s="6" t="str">
        <x:v>50%以上</x:v>
      </x:c>
      <x:c r="G224" s="6" t="str"/>
      <x:c r="H224" s="6" t="str">
        <x:v>2026-10-08</x:v>
      </x:c>
      <x:c r="I224" s="20" t="d">
        <x:v>2026-07-21T00:00:00.000Z</x:v>
      </x:c>
      <x:c r="J224" s="6" t="str">
        <x:v>W020</x:v>
      </x:c>
      <x:c r="K224" s="6" t="str">
        <x:v>已核实（官网披露）</x:v>
      </x:c>
      <x:c r="L224" s="6" t="str">
        <x:v>；厂商新闻性能或能力声称，未独立测评；不作为已完成交易、资质认证或采购需求证据</x:v>
      </x:c>
    </x:row>
    <x:row r="225" ht="34" customHeight="1">
      <x:c r="A225" s="6" t="str">
        <x:v>R0368</x:v>
      </x:c>
      <x:c r="B225" s="6" t="str">
        <x:v>白小白(品牌)</x:v>
      </x:c>
      <x:c r="C225" s="6" t="str">
        <x:v>官网品牌或关系资料；法人/股权以限定说明为准</x:v>
      </x:c>
      <x:c r="D225" s="6" t="str">
        <x:v>产品能力</x:v>
      </x:c>
      <x:c r="E225" s="6" t="str">
        <x:v>残留效果声称</x:v>
      </x:c>
      <x:c r="F225" s="6" t="str">
        <x:v>ppb级</x:v>
      </x:c>
      <x:c r="G225" s="6" t="str"/>
      <x:c r="H225" s="6" t="str">
        <x:v>2026-10-08</x:v>
      </x:c>
      <x:c r="I225" s="20" t="d">
        <x:v>2026-07-21T00:00:00.000Z</x:v>
      </x:c>
      <x:c r="J225" s="6" t="str">
        <x:v>W020</x:v>
      </x:c>
      <x:c r="K225" s="6" t="str">
        <x:v>已核实（官网披露）</x:v>
      </x:c>
      <x:c r="L225" s="6" t="str">
        <x:v>；厂商新闻性能或能力声称，未独立测评；不作为已完成交易、资质认证或采购需求证据</x:v>
      </x:c>
    </x:row>
    <x:row r="226" ht="34" customHeight="1">
      <x:c r="A226" s="6" t="str">
        <x:v>R0370</x:v>
      </x:c>
      <x:c r="B226" s="6" t="str">
        <x:v>白小白(品牌)</x:v>
      </x:c>
      <x:c r="C226" s="6" t="str">
        <x:v>官网品牌或关系资料；法人/股权以限定说明为准</x:v>
      </x:c>
      <x:c r="D226" s="6" t="str">
        <x:v>产品能力</x:v>
      </x:c>
      <x:c r="E226" s="6" t="str">
        <x:v>清洗数据记录</x:v>
      </x:c>
      <x:c r="F226" s="6" t="str">
        <x:v>清洗参数、温度曲线、水质数据自动存档</x:v>
      </x:c>
      <x:c r="G226" s="6" t="str"/>
      <x:c r="H226" s="6" t="str">
        <x:v>2026-10-08</x:v>
      </x:c>
      <x:c r="I226" s="20" t="d">
        <x:v>2026-07-21T00:00:00.000Z</x:v>
      </x:c>
      <x:c r="J226" s="6" t="str">
        <x:v>W020</x:v>
      </x:c>
      <x:c r="K226" s="6" t="str">
        <x:v>已核实（官网披露）</x:v>
      </x:c>
      <x:c r="L226" s="6" t="str">
        <x:v>；厂商新闻性能或能力声称，未独立测评；不作为已完成交易、资质认证或采购需求证据</x:v>
      </x:c>
    </x:row>
    <x:row r="227" ht="34" customHeight="1">
      <x:c r="A227" s="6" t="str">
        <x:v>R0372</x:v>
      </x:c>
      <x:c r="B227" s="6" t="str">
        <x:v>白小白(品牌)</x:v>
      </x:c>
      <x:c r="C227" s="6" t="str">
        <x:v>官网品牌或关系资料；法人/股权以限定说明为准</x:v>
      </x:c>
      <x:c r="D227" s="6" t="str">
        <x:v>产品能力</x:v>
      </x:c>
      <x:c r="E227" s="6" t="str">
        <x:v>行业清洗适配</x:v>
      </x:c>
      <x:c r="F227" s="6" t="str">
        <x:v>农残洗脱、重金属残留、皂苷类去除</x:v>
      </x:c>
      <x:c r="G227" s="6" t="str"/>
      <x:c r="H227" s="6" t="str">
        <x:v>2026-10-08</x:v>
      </x:c>
      <x:c r="I227" s="20" t="d">
        <x:v>2026-07-21T00:00:00.000Z</x:v>
      </x:c>
      <x:c r="J227" s="6" t="str">
        <x:v>W020</x:v>
      </x:c>
      <x:c r="K227" s="6" t="str">
        <x:v>已核实（官网披露）</x:v>
      </x:c>
      <x:c r="L227" s="6" t="str">
        <x:v>；厂商新闻性能或能力声称，未独立测评；不作为已完成交易、资质认证或采购需求证据</x:v>
      </x:c>
    </x:row>
    <x:row r="228" ht="34" customHeight="1">
      <x:c r="A228" s="6" t="str">
        <x:v>R0377</x:v>
      </x:c>
      <x:c r="B228" s="6" t="str">
        <x:v>白小白(品牌)</x:v>
      </x:c>
      <x:c r="C228" s="6" t="str">
        <x:v>官网品牌或关系资料；法人/股权以限定说明为准</x:v>
      </x:c>
      <x:c r="D228" s="6" t="str">
        <x:v>产品能力</x:v>
      </x:c>
      <x:c r="E228" s="6" t="str">
        <x:v>设计参考规范</x:v>
      </x:c>
      <x:c r="F228" s="6" t="str">
        <x:v>ISO 15883-1/-5;JB/T 14106-2020</x:v>
      </x:c>
      <x:c r="G228" s="6" t="str"/>
      <x:c r="H228" s="6" t="str">
        <x:v>2026-10-08</x:v>
      </x:c>
      <x:c r="I228" s="20" t="d">
        <x:v>2026-07-21T00:00:00.000Z</x:v>
      </x:c>
      <x:c r="J228" s="6" t="str">
        <x:v>W020</x:v>
      </x:c>
      <x:c r="K228" s="6" t="str">
        <x:v>已核实（官网披露）</x:v>
      </x:c>
      <x:c r="L228" s="6" t="str">
        <x:v>；厂商新闻性能或能力声称，未独立测评；不作为已完成交易、资质认证或采购需求证据</x:v>
      </x:c>
    </x:row>
    <x:row r="229" ht="34" customHeight="1">
      <x:c r="A229" s="6" t="str">
        <x:v>R0379</x:v>
      </x:c>
      <x:c r="B229" s="6" t="str">
        <x:v>白小白(品牌)</x:v>
      </x:c>
      <x:c r="C229" s="6" t="str">
        <x:v>官网品牌或关系资料；法人/股权以限定说明为准</x:v>
      </x:c>
      <x:c r="D229" s="6" t="str">
        <x:v>产品能力</x:v>
      </x:c>
      <x:c r="E229" s="6" t="str">
        <x:v>验证交付材料</x:v>
      </x:c>
      <x:c r="F229" s="6" t="str">
        <x:v>验证方案与报告模板</x:v>
      </x:c>
      <x:c r="G229" s="6" t="str"/>
      <x:c r="H229" s="6" t="str">
        <x:v>2026-10-08</x:v>
      </x:c>
      <x:c r="I229" s="20" t="d">
        <x:v>2026-07-21T00:00:00.000Z</x:v>
      </x:c>
      <x:c r="J229" s="6" t="str">
        <x:v>W020</x:v>
      </x:c>
      <x:c r="K229" s="6" t="str">
        <x:v>已核实（官网披露）</x:v>
      </x:c>
      <x:c r="L229" s="6" t="str">
        <x:v>；厂商新闻性能或能力声称，未独立测评；不作为已完成交易、资质认证或采购需求证据</x:v>
      </x:c>
    </x:row>
    <x:row r="230" ht="34" customHeight="1">
      <x:c r="A230" s="6" t="str">
        <x:v>R0378</x:v>
      </x:c>
      <x:c r="B230" s="6" t="str">
        <x:v>白小白(品牌)</x:v>
      </x:c>
      <x:c r="C230" s="6" t="str">
        <x:v>官网品牌或关系资料；法人/股权以限定说明为准</x:v>
      </x:c>
      <x:c r="D230" s="6" t="str">
        <x:v>产品能力</x:v>
      </x:c>
      <x:c r="E230" s="6" t="str">
        <x:v>验证体系</x:v>
      </x:c>
      <x:c r="F230" s="6" t="str">
        <x:v>总有机碳、电导率、目视检查</x:v>
      </x:c>
      <x:c r="G230" s="6" t="str"/>
      <x:c r="H230" s="6" t="str">
        <x:v>2026-10-08</x:v>
      </x:c>
      <x:c r="I230" s="20" t="d">
        <x:v>2026-07-21T00:00:00.000Z</x:v>
      </x:c>
      <x:c r="J230" s="6" t="str">
        <x:v>W020</x:v>
      </x:c>
      <x:c r="K230" s="6" t="str">
        <x:v>已核实（官网披露）</x:v>
      </x:c>
      <x:c r="L230" s="6" t="str">
        <x:v>；厂商新闻性能或能力声称，未独立测评；不作为已完成交易、资质认证或采购需求证据</x:v>
      </x:c>
    </x:row>
    <x:row r="231" ht="40" customHeight="1">
      <x:c r="A231" s="6" t="str">
        <x:v>R0348</x:v>
      </x:c>
      <x:c r="B231" s="6" t="str">
        <x:v>白小白科技(山东)有限公司</x:v>
      </x:c>
      <x:c r="C231" s="6" t="str">
        <x:v>正式报告披露集团/子公司</x:v>
      </x:c>
      <x:c r="D231" s="6" t="str">
        <x:v>主体识别</x:v>
      </x:c>
      <x:c r="E231" s="6" t="str">
        <x:v>官网明示企业全称</x:v>
      </x:c>
      <x:c r="F231" s="6" t="str">
        <x:v>白小白科技(山东)有限公司</x:v>
      </x:c>
      <x:c r="G231" s="6" t="str"/>
      <x:c r="H231" s="6" t="str">
        <x:v>2026-10-08</x:v>
      </x:c>
      <x:c r="I231" s="20"/>
      <x:c r="J231" s="6" t="str">
        <x:v>W015</x:v>
      </x:c>
      <x:c r="K231" s="6" t="str">
        <x:v>已核实（官网披露）</x:v>
      </x:c>
      <x:c r="L231" s="6" t="str">
        <x:v>；官网明示全称,非独立工商核验；页面未注明发布日期；仅记录截至2026-10-08可见资料，不认定近一年发生变化</x:v>
      </x:c>
    </x:row>
    <x:row r="232" ht="40" customHeight="1">
      <x:c r="A232" s="6" t="str">
        <x:v>R0360</x:v>
      </x:c>
      <x:c r="B232" s="6" t="str">
        <x:v>白小白科技(山东)有限公司</x:v>
      </x:c>
      <x:c r="C232" s="6" t="str">
        <x:v>正式报告披露集团/子公司</x:v>
      </x:c>
      <x:c r="D232" s="6" t="str">
        <x:v>公开联系方式</x:v>
      </x:c>
      <x:c r="E232" s="6" t="str">
        <x:v>官网列示另一电话</x:v>
      </x:c>
      <x:c r="F232" s="6" t="str">
        <x:v>010-60202899</x:v>
      </x:c>
      <x:c r="G232" s="6" t="str"/>
      <x:c r="H232" s="6" t="str">
        <x:v>2026-10-08</x:v>
      </x:c>
      <x:c r="I232" s="20"/>
      <x:c r="J232" s="6" t="str">
        <x:v>W015</x:v>
      </x:c>
      <x:c r="K232" s="6" t="str">
        <x:v>已核实（官网披露）</x:v>
      </x:c>
      <x:c r="L232" s="6" t="str">
        <x:v>公开原文；未拨号或验证收信；原样保留;北京区号与山东地址并列,未确认该电话具体办公室归属；页面未注明发布日期；仅记录截至2026-10-08可见资料，不认定近一年发生变化</x:v>
      </x:c>
    </x:row>
    <x:row r="233" ht="40" customHeight="1">
      <x:c r="A233" s="6" t="str">
        <x:v>R0349</x:v>
      </x:c>
      <x:c r="B233" s="6" t="str">
        <x:v>白小白科技(山东)有限公司</x:v>
      </x:c>
      <x:c r="C233" s="6" t="str">
        <x:v>正式报告披露集团/子公司</x:v>
      </x:c>
      <x:c r="D233" s="6" t="str">
        <x:v>公开联系方式</x:v>
      </x:c>
      <x:c r="E233" s="6" t="str">
        <x:v>官网列示地址</x:v>
      </x:c>
      <x:c r="F233" s="6" t="str">
        <x:v>山东省德州市临邑县邢侗街道花园东大街16号海能工业园内</x:v>
      </x:c>
      <x:c r="G233" s="6" t="str"/>
      <x:c r="H233" s="6" t="str">
        <x:v>2026-10-08</x:v>
      </x:c>
      <x:c r="I233" s="20"/>
      <x:c r="J233" s="6" t="str">
        <x:v>W015</x:v>
      </x:c>
      <x:c r="K233" s="6" t="str">
        <x:v>已核实（官网披露）</x:v>
      </x:c>
      <x:c r="L233" s="6" t="str">
        <x:v>；官网列示联系地址;未核验工商注册地址；页面未注明发布日期；仅记录截至2026-10-08可见资料，不认定近一年发生变化</x:v>
      </x:c>
    </x:row>
    <x:row r="234" ht="40" customHeight="1">
      <x:c r="A234" s="6" t="str">
        <x:v>R0350</x:v>
      </x:c>
      <x:c r="B234" s="6" t="str">
        <x:v>白小白科技(山东)有限公司</x:v>
      </x:c>
      <x:c r="C234" s="6" t="str">
        <x:v>正式报告披露集团/子公司</x:v>
      </x:c>
      <x:c r="D234" s="6" t="str">
        <x:v>公开联系方式</x:v>
      </x:c>
      <x:c r="E234" s="6" t="str">
        <x:v>官网列示电话</x:v>
      </x:c>
      <x:c r="F234" s="6" t="str">
        <x:v>400 602 8909</x:v>
      </x:c>
      <x:c r="G234" s="6" t="str"/>
      <x:c r="H234" s="6" t="str">
        <x:v>2026-10-08</x:v>
      </x:c>
      <x:c r="I234" s="20"/>
      <x:c r="J234" s="6" t="str">
        <x:v>W015</x:v>
      </x:c>
      <x:c r="K234" s="6" t="str">
        <x:v>已核实（官网披露）</x:v>
      </x:c>
      <x:c r="L234" s="6" t="str">
        <x:v>公开原文；未拨号或验证收信；官网公开联系方式,未标为特定采购负责人；页面未注明发布日期；仅记录截至2026-10-08可见资料，不认定近一年发生变化</x:v>
      </x:c>
    </x:row>
    <x:row r="235" ht="34" customHeight="1">
      <x:c r="A235" s="6" t="str">
        <x:v>R0220</x:v>
      </x:c>
      <x:c r="B235" s="6" t="str">
        <x:v>白小白科技(山东)有限公司</x:v>
      </x:c>
      <x:c r="C235" s="6" t="str">
        <x:v>正式报告披露集团/子公司</x:v>
      </x:c>
      <x:c r="D235" s="6" t="str">
        <x:v>子公司关系</x:v>
      </x:c>
      <x:c r="E235" s="6" t="str">
        <x:v>间接持股比例</x:v>
      </x:c>
      <x:c r="F235" s="19" t="n">
        <x:v>55.5556</x:v>
      </x:c>
      <x:c r="G235" s="6" t="str">
        <x:v>%</x:v>
      </x:c>
      <x:c r="H235" s="6" t="str">
        <x:v>2026-06-30</x:v>
      </x:c>
      <x:c r="I235" s="20" t="d">
        <x:v>2026-08-17T00:00:00.000Z</x:v>
      </x:c>
      <x:c r="J235" s="6" t="str">
        <x:v>F001</x:v>
      </x:c>
      <x:c r="K235" s="6" t="str">
        <x:v>已核实原值</x:v>
      </x:c>
      <x:c r="L235" s="6" t="str">
        <x:v>；母公司在该子公司的持股比例；区分直接/间接。</x:v>
      </x:c>
    </x:row>
    <x:row r="236" ht="40" customHeight="1">
      <x:c r="A236" s="6" t="str">
        <x:v>R0340</x:v>
      </x:c>
      <x:c r="B236" s="6" t="str">
        <x:v>苏州新仪科学仪器有限公司</x:v>
      </x:c>
      <x:c r="C236" s="6" t="str">
        <x:v>正式报告披露集团/子公司</x:v>
      </x:c>
      <x:c r="D236" s="6" t="str">
        <x:v>主体识别</x:v>
      </x:c>
      <x:c r="E236" s="6" t="str">
        <x:v>官网明示企业全称</x:v>
      </x:c>
      <x:c r="F236" s="6" t="str">
        <x:v>苏州新仪科学仪器有限公司</x:v>
      </x:c>
      <x:c r="G236" s="6" t="str"/>
      <x:c r="H236" s="6" t="str">
        <x:v>2026-10-08</x:v>
      </x:c>
      <x:c r="I236" s="20"/>
      <x:c r="J236" s="6" t="str">
        <x:v>W013</x:v>
      </x:c>
      <x:c r="K236" s="6" t="str">
        <x:v>已核实（官网披露）</x:v>
      </x:c>
      <x:c r="L236" s="6" t="str">
        <x:v>；官网明示全称,非独立工商核验；页面未注明发布日期；仅记录截至2026-10-08可见资料，不认定近一年发生变化</x:v>
      </x:c>
    </x:row>
    <x:row r="237" ht="40" customHeight="1">
      <x:c r="A237" s="6" t="str">
        <x:v>R0341</x:v>
      </x:c>
      <x:c r="B237" s="6" t="str">
        <x:v>苏州新仪科学仪器有限公司</x:v>
      </x:c>
      <x:c r="C237" s="6" t="str">
        <x:v>正式报告披露集团/子公司</x:v>
      </x:c>
      <x:c r="D237" s="6" t="str">
        <x:v>公开联系方式</x:v>
      </x:c>
      <x:c r="E237" s="6" t="str">
        <x:v>官网列示地址</x:v>
      </x:c>
      <x:c r="F237" s="6" t="str">
        <x:v>苏州工业园区金鸡湖大道99号纳米城西北区9栋301</x:v>
      </x:c>
      <x:c r="G237" s="6" t="str"/>
      <x:c r="H237" s="6" t="str">
        <x:v>2026-10-08</x:v>
      </x:c>
      <x:c r="I237" s="20"/>
      <x:c r="J237" s="6" t="str">
        <x:v>W013</x:v>
      </x:c>
      <x:c r="K237" s="6" t="str">
        <x:v>已核实（官网披露）</x:v>
      </x:c>
      <x:c r="L237" s="6" t="str">
        <x:v>；官网列示联系地址;未核验工商注册地址；页面未注明发布日期；仅记录截至2026-10-08可见资料，不认定近一年发生变化</x:v>
      </x:c>
    </x:row>
    <x:row r="238" ht="40" customHeight="1">
      <x:c r="A238" s="6" t="str">
        <x:v>R0342</x:v>
      </x:c>
      <x:c r="B238" s="6" t="str">
        <x:v>苏州新仪科学仪器有限公司</x:v>
      </x:c>
      <x:c r="C238" s="6" t="str">
        <x:v>正式报告披露集团/子公司</x:v>
      </x:c>
      <x:c r="D238" s="6" t="str">
        <x:v>公开联系方式</x:v>
      </x:c>
      <x:c r="E238" s="6" t="str">
        <x:v>官网列示电话</x:v>
      </x:c>
      <x:c r="F238" s="6" t="str">
        <x:v>0512-87163115</x:v>
      </x:c>
      <x:c r="G238" s="6" t="str"/>
      <x:c r="H238" s="6" t="str">
        <x:v>2026-10-08</x:v>
      </x:c>
      <x:c r="I238" s="20"/>
      <x:c r="J238" s="6" t="str">
        <x:v>W013</x:v>
      </x:c>
      <x:c r="K238" s="6" t="str">
        <x:v>已核实（官网披露）</x:v>
      </x:c>
      <x:c r="L238" s="6" t="str">
        <x:v>公开原文；未拨号或验证收信；官网公开联系方式,未标为特定采购负责人；页面未注明发布日期；仅记录截至2026-10-08可见资料，不认定近一年发生变化</x:v>
      </x:c>
    </x:row>
    <x:row r="239" ht="34" customHeight="1">
      <x:c r="A239" s="6" t="str">
        <x:v>R0210</x:v>
      </x:c>
      <x:c r="B239" s="6" t="str">
        <x:v>苏州新仪科学仪器有限公司</x:v>
      </x:c>
      <x:c r="C239" s="6" t="str">
        <x:v>正式报告披露集团/子公司</x:v>
      </x:c>
      <x:c r="D239" s="6" t="str">
        <x:v>子公司关系</x:v>
      </x:c>
      <x:c r="E239" s="6" t="str">
        <x:v>直接持股比例</x:v>
      </x:c>
      <x:c r="F239" s="17" t="n">
        <x:v>100</x:v>
      </x:c>
      <x:c r="G239" s="6" t="str">
        <x:v>%</x:v>
      </x:c>
      <x:c r="H239" s="6" t="str">
        <x:v>2026-06-30</x:v>
      </x:c>
      <x:c r="I239" s="20" t="d">
        <x:v>2026-08-17T00:00:00.000Z</x:v>
      </x:c>
      <x:c r="J239" s="6" t="str">
        <x:v>F001</x:v>
      </x:c>
      <x:c r="K239" s="6" t="str">
        <x:v>已核实原值</x:v>
      </x:c>
      <x:c r="L239" s="6" t="str">
        <x:v>；母公司在该子公司的持股比例；区分直接/间接。</x:v>
      </x:c>
    </x:row>
    <x:row r="240" ht="40" customHeight="1">
      <x:c r="A240" s="6" t="str">
        <x:v>R0358</x:v>
      </x:c>
      <x:c r="B240" s="6" t="str">
        <x:v>郑州海能(导航名称)</x:v>
      </x:c>
      <x:c r="C240" s="6" t="str">
        <x:v>官网品牌或关系资料；法人/股权以限定说明为准</x:v>
      </x:c>
      <x:c r="D240" s="6" t="str">
        <x:v>公开联系方式</x:v>
      </x:c>
      <x:c r="E240" s="6" t="str">
        <x:v>官网列示地址</x:v>
      </x:c>
      <x:c r="F240" s="6" t="str">
        <x:v>郑州市东风路东18号金城国际广场6号楼1单元1002室</x:v>
      </x:c>
      <x:c r="G240" s="6" t="str"/>
      <x:c r="H240" s="6" t="str">
        <x:v>2026-10-08</x:v>
      </x:c>
      <x:c r="I240" s="20"/>
      <x:c r="J240" s="6" t="str">
        <x:v>W018</x:v>
      </x:c>
      <x:c r="K240" s="6" t="str">
        <x:v>已核实（官网披露）</x:v>
      </x:c>
      <x:c r="L240" s="6" t="str">
        <x:v>；官网列示联系地址;未核验工商注册地址；页面未注明发布日期；仅记录截至2026-10-08可见资料，不认定近一年发生变化</x:v>
      </x:c>
    </x:row>
    <x:row r="241" ht="40" customHeight="1">
      <x:c r="A241" s="6" t="str">
        <x:v>R0359</x:v>
      </x:c>
      <x:c r="B241" s="6" t="str">
        <x:v>郑州海能(导航名称)</x:v>
      </x:c>
      <x:c r="C241" s="6" t="str">
        <x:v>官网品牌或关系资料；法人/股权以限定说明为准</x:v>
      </x:c>
      <x:c r="D241" s="6" t="str">
        <x:v>公开联系方式</x:v>
      </x:c>
      <x:c r="E241" s="6" t="str">
        <x:v>官网列示电话</x:v>
      </x:c>
      <x:c r="F241" s="6" t="str">
        <x:v>0371-55056876</x:v>
      </x:c>
      <x:c r="G241" s="6" t="str"/>
      <x:c r="H241" s="6" t="str">
        <x:v>2026-10-08</x:v>
      </x:c>
      <x:c r="I241" s="20"/>
      <x:c r="J241" s="6" t="str">
        <x:v>W018</x:v>
      </x:c>
      <x:c r="K241" s="6" t="str">
        <x:v>已核实（官网披露）</x:v>
      </x:c>
      <x:c r="L241" s="6" t="str">
        <x:v>公开原文；未拨号或验证收信；官网公开联系方式,未标为特定采购负责人；页面未注明发布日期；仅记录截至2026-10-08可见资料，不认定近一年发生变化</x:v>
      </x:c>
    </x:row>
    <x:row r="242" ht="34" customHeight="1">
      <x:c r="A242" s="6" t="str">
        <x:v>R0207</x:v>
      </x:c>
      <x:c r="B242" s="6" t="str">
        <x:v>郑州海能仪器有限公司</x:v>
      </x:c>
      <x:c r="C242" s="6" t="str">
        <x:v>正式报告披露集团/子公司</x:v>
      </x:c>
      <x:c r="D242" s="6" t="str">
        <x:v>子公司关系</x:v>
      </x:c>
      <x:c r="E242" s="6" t="str">
        <x:v>直接持股比例</x:v>
      </x:c>
      <x:c r="F242" s="17" t="n">
        <x:v>65</x:v>
      </x:c>
      <x:c r="G242" s="6" t="str">
        <x:v>%</x:v>
      </x:c>
      <x:c r="H242" s="6" t="str">
        <x:v>2026-06-30</x:v>
      </x:c>
      <x:c r="I242" s="20" t="d">
        <x:v>2026-08-17T00:00:00.000Z</x:v>
      </x:c>
      <x:c r="J242" s="6" t="str">
        <x:v>F001</x:v>
      </x:c>
      <x:c r="K242" s="6" t="str">
        <x:v>已核实原值</x:v>
      </x:c>
      <x:c r="L242" s="6" t="str">
        <x:v>；母公司在该子公司的持股比例；区分直接/间接。</x:v>
      </x:c>
    </x:row>
  </x:sheetData>
  <x:pageMargins left="0.7" right="0.7" top="0.75" bottom="0.75" header="0.3" footer="0.3"/>
  <x:tableParts count="1">
    <x:tablePart xmlns:r="http://schemas.openxmlformats.org/officeDocument/2006/relationships" r:id="R3377736ab19744ee"/>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23" hidden="0" customWidth="1"/>
    <x:col min="4" max="4" width="44" hidden="0" customWidth="1"/>
    <x:col min="5" max="5" width="43" hidden="0" customWidth="1"/>
    <x:col min="6" max="6" width="22" hidden="0" customWidth="1"/>
    <x:col min="7" max="7" width="23" hidden="0" customWidth="1"/>
    <x:col min="8" max="8" width="24" hidden="0" customWidth="1"/>
    <x:col min="9" max="9" width="24" hidden="0" customWidth="1"/>
    <x:col min="10" max="10" width="18" hidden="0" customWidth="1"/>
    <x:col min="11" max="11" width="17" hidden="0" customWidth="1"/>
    <x:col min="12" max="12" width="30" hidden="0" customWidth="1"/>
    <x:col min="13" max="13" width="90" hidden="0" customWidth="1"/>
  </x:cols>
  <x:sheetData>
    <x:row r="2" ht="28" customHeight="1">
      <x:c r="A2" s="2" t="str">
        <x:v>海能技术财务、研发与经营指标</x:v>
      </x:c>
      <x:c r="B2" s="2"/>
      <x:c r="C2" s="2"/>
      <x:c r="D2" s="2"/>
      <x:c r="E2" s="2"/>
      <x:c r="F2" s="2"/>
      <x:c r="G2" s="2"/>
      <x:c r="H2" s="2"/>
      <x:c r="I2" s="2"/>
      <x:c r="J2" s="2"/>
      <x:c r="K2" s="2"/>
      <x:c r="L2" s="2"/>
      <x:c r="M2" s="2"/>
    </x:row>
    <x:row r="3" ht="24" customHeight="1">
      <x:c r="A3" s="3" t="str">
        <x:v>合并、子公司单体和不同报告期分别保留；不跨期累计。</x:v>
      </x:c>
      <x:c r="B3" s="3"/>
      <x:c r="C3" s="3"/>
      <x:c r="D3" s="3"/>
      <x:c r="E3" s="3"/>
      <x:c r="F3" s="3"/>
      <x:c r="G3" s="3"/>
      <x:c r="H3" s="3"/>
      <x:c r="I3" s="3"/>
      <x:c r="J3" s="3"/>
      <x:c r="K3" s="3"/>
      <x:c r="L3" s="3"/>
      <x:c r="M3" s="3"/>
    </x:row>
    <x:row r="5" ht="38" customHeight="1">
      <x:c r="A5" s="12" t="str">
        <x:v>记录ID</x:v>
      </x:c>
      <x:c r="B5" s="13" t="str">
        <x:v>企业主体</x:v>
      </x:c>
      <x:c r="C5" s="13" t="str">
        <x:v>类别</x:v>
      </x:c>
      <x:c r="D5" s="13" t="str">
        <x:v>指标</x:v>
      </x:c>
      <x:c r="E5" s="13" t="str">
        <x:v>报告期或时点</x:v>
      </x:c>
      <x:c r="F5" s="13" t="str">
        <x:v>原数值</x:v>
      </x:c>
      <x:c r="G5" s="13" t="str">
        <x:v>原单位</x:v>
      </x:c>
      <x:c r="H5" s="13" t="str">
        <x:v>标准数值</x:v>
      </x:c>
      <x:c r="I5" s="13" t="str">
        <x:v>标准单位</x:v>
      </x:c>
      <x:c r="J5" s="13" t="str">
        <x:v>披露日</x:v>
      </x:c>
      <x:c r="K5" s="13" t="str">
        <x:v>来源编号</x:v>
      </x:c>
      <x:c r="L5" s="13" t="str">
        <x:v>核验状态</x:v>
      </x:c>
      <x:c r="M5" s="14" t="str">
        <x:v>统计口径</x:v>
      </x:c>
    </x:row>
    <x:row r="6" ht="34" customHeight="1">
      <x:c r="A6" s="6" t="str">
        <x:v>R0127</x:v>
      </x:c>
      <x:c r="B6" s="6" t="str">
        <x:v>海能未来技术集团股份有限公司</x:v>
      </x:c>
      <x:c r="C6" s="6" t="str">
        <x:v>产品结构</x:v>
      </x:c>
      <x:c r="D6" s="6" t="str">
        <x:v>原材料及耗材毛利率</x:v>
      </x:c>
      <x:c r="E6" s="6" t="str">
        <x:v>2026年上半年/期末2026-06-30</x:v>
      </x:c>
      <x:c r="F6" s="19" t="n">
        <x:v>63.46</x:v>
      </x:c>
      <x:c r="G6" s="6" t="str">
        <x:v>%</x:v>
      </x:c>
      <x:c r="H6" s="19" t="n">
        <x:v>63.46</x:v>
      </x:c>
      <x:c r="I6" s="6" t="str">
        <x:v>%</x:v>
      </x:c>
      <x:c r="J6" s="20" t="d">
        <x:v>2026-08-17T00:00:00.000Z</x:v>
      </x:c>
      <x:c r="K6" s="6" t="str">
        <x:v>F001</x:v>
      </x:c>
      <x:c r="L6" s="6" t="str">
        <x:v>已核实原值</x:v>
      </x:c>
      <x:c r="M6" s="6" t="str">
        <x:v>2026年1-6月，集团合并产品收入。</x:v>
      </x:c>
    </x:row>
    <x:row r="7" ht="34" customHeight="1">
      <x:c r="A7" s="6" t="str">
        <x:v>R0126</x:v>
      </x:c>
      <x:c r="B7" s="6" t="str">
        <x:v>海能未来技术集团股份有限公司</x:v>
      </x:c>
      <x:c r="C7" s="6" t="str">
        <x:v>产品结构</x:v>
      </x:c>
      <x:c r="D7" s="6" t="str">
        <x:v>原材料及耗材营业收入</x:v>
      </x:c>
      <x:c r="E7" s="6" t="str">
        <x:v>2026年上半年/期末2026-06-30</x:v>
      </x:c>
      <x:c r="F7" s="19" t="n">
        <x:v>11914165.64</x:v>
      </x:c>
      <x:c r="G7" s="6" t="str">
        <x:v>人民币元</x:v>
      </x:c>
      <x:c r="H7" s="19" t="n">
        <x:v>11914165.64</x:v>
      </x:c>
      <x:c r="I7" s="6" t="str">
        <x:v>人民币元</x:v>
      </x:c>
      <x:c r="J7" s="20" t="d">
        <x:v>2026-08-17T00:00:00.000Z</x:v>
      </x:c>
      <x:c r="K7" s="6" t="str">
        <x:v>F001</x:v>
      </x:c>
      <x:c r="L7" s="6" t="str">
        <x:v>已核实原值</x:v>
      </x:c>
      <x:c r="M7" s="6" t="str">
        <x:v>2026年1-6月，集团合并产品收入。</x:v>
      </x:c>
    </x:row>
    <x:row r="8" ht="34" customHeight="1">
      <x:c r="A8" s="6" t="str">
        <x:v>R0117</x:v>
      </x:c>
      <x:c r="B8" s="6" t="str">
        <x:v>海能未来技术集团股份有限公司</x:v>
      </x:c>
      <x:c r="C8" s="6" t="str">
        <x:v>产品结构</x:v>
      </x:c>
      <x:c r="D8" s="6" t="str">
        <x:v>科学仪器-有机元素分析系列产品毛利率</x:v>
      </x:c>
      <x:c r="E8" s="6" t="str">
        <x:v>2026年上半年/期末2026-06-30</x:v>
      </x:c>
      <x:c r="F8" s="19" t="n">
        <x:v>75.35</x:v>
      </x:c>
      <x:c r="G8" s="6" t="str">
        <x:v>%</x:v>
      </x:c>
      <x:c r="H8" s="19" t="n">
        <x:v>75.35</x:v>
      </x:c>
      <x:c r="I8" s="6" t="str">
        <x:v>%</x:v>
      </x:c>
      <x:c r="J8" s="20" t="d">
        <x:v>2026-08-17T00:00:00.000Z</x:v>
      </x:c>
      <x:c r="K8" s="6" t="str">
        <x:v>F001</x:v>
      </x:c>
      <x:c r="L8" s="6" t="str">
        <x:v>已核实原值</x:v>
      </x:c>
      <x:c r="M8" s="6" t="str">
        <x:v>2026年1-6月，集团合并产品收入。</x:v>
      </x:c>
    </x:row>
    <x:row r="9" ht="34" customHeight="1">
      <x:c r="A9" s="6" t="str">
        <x:v>R0116</x:v>
      </x:c>
      <x:c r="B9" s="6" t="str">
        <x:v>海能未来技术集团股份有限公司</x:v>
      </x:c>
      <x:c r="C9" s="6" t="str">
        <x:v>产品结构</x:v>
      </x:c>
      <x:c r="D9" s="6" t="str">
        <x:v>科学仪器-有机元素分析系列产品营业收入</x:v>
      </x:c>
      <x:c r="E9" s="6" t="str">
        <x:v>2026年上半年/期末2026-06-30</x:v>
      </x:c>
      <x:c r="F9" s="19" t="n">
        <x:v>50164115.07</x:v>
      </x:c>
      <x:c r="G9" s="6" t="str">
        <x:v>人民币元</x:v>
      </x:c>
      <x:c r="H9" s="19" t="n">
        <x:v>50164115.07</x:v>
      </x:c>
      <x:c r="I9" s="6" t="str">
        <x:v>人民币元</x:v>
      </x:c>
      <x:c r="J9" s="20" t="d">
        <x:v>2026-08-17T00:00:00.000Z</x:v>
      </x:c>
      <x:c r="K9" s="6" t="str">
        <x:v>F001</x:v>
      </x:c>
      <x:c r="L9" s="6" t="str">
        <x:v>已核实原值</x:v>
      </x:c>
      <x:c r="M9" s="6" t="str">
        <x:v>2026年1-6月，集团合并产品收入。</x:v>
      </x:c>
    </x:row>
    <x:row r="10" ht="34" customHeight="1">
      <x:c r="A10" s="6" t="str">
        <x:v>R0121</x:v>
      </x:c>
      <x:c r="B10" s="6" t="str">
        <x:v>海能未来技术集团股份有限公司</x:v>
      </x:c>
      <x:c r="C10" s="6" t="str">
        <x:v>产品结构</x:v>
      </x:c>
      <x:c r="D10" s="6" t="str">
        <x:v>科学仪器-样品前处理系列产品毛利率</x:v>
      </x:c>
      <x:c r="E10" s="6" t="str">
        <x:v>2026年上半年/期末2026-06-30</x:v>
      </x:c>
      <x:c r="F10" s="19" t="n">
        <x:v>58.43</x:v>
      </x:c>
      <x:c r="G10" s="6" t="str">
        <x:v>%</x:v>
      </x:c>
      <x:c r="H10" s="19" t="n">
        <x:v>58.43</x:v>
      </x:c>
      <x:c r="I10" s="6" t="str">
        <x:v>%</x:v>
      </x:c>
      <x:c r="J10" s="20" t="d">
        <x:v>2026-08-17T00:00:00.000Z</x:v>
      </x:c>
      <x:c r="K10" s="6" t="str">
        <x:v>F001</x:v>
      </x:c>
      <x:c r="L10" s="6" t="str">
        <x:v>已核实原值</x:v>
      </x:c>
      <x:c r="M10" s="6" t="str">
        <x:v>2026年1-6月，集团合并产品收入。</x:v>
      </x:c>
    </x:row>
    <x:row r="11" ht="34" customHeight="1">
      <x:c r="A11" s="6" t="str">
        <x:v>R0120</x:v>
      </x:c>
      <x:c r="B11" s="6" t="str">
        <x:v>海能未来技术集团股份有限公司</x:v>
      </x:c>
      <x:c r="C11" s="6" t="str">
        <x:v>产品结构</x:v>
      </x:c>
      <x:c r="D11" s="6" t="str">
        <x:v>科学仪器-样品前处理系列产品营业收入</x:v>
      </x:c>
      <x:c r="E11" s="6" t="str">
        <x:v>2026年上半年/期末2026-06-30</x:v>
      </x:c>
      <x:c r="F11" s="19" t="n">
        <x:v>27583221.21</x:v>
      </x:c>
      <x:c r="G11" s="6" t="str">
        <x:v>人民币元</x:v>
      </x:c>
      <x:c r="H11" s="19" t="n">
        <x:v>27583221.21</x:v>
      </x:c>
      <x:c r="I11" s="6" t="str">
        <x:v>人民币元</x:v>
      </x:c>
      <x:c r="J11" s="20" t="d">
        <x:v>2026-08-17T00:00:00.000Z</x:v>
      </x:c>
      <x:c r="K11" s="6" t="str">
        <x:v>F001</x:v>
      </x:c>
      <x:c r="L11" s="6" t="str">
        <x:v>已核实原值</x:v>
      </x:c>
      <x:c r="M11" s="6" t="str">
        <x:v>2026年1-6月，集团合并产品收入。</x:v>
      </x:c>
    </x:row>
    <x:row r="12" ht="34" customHeight="1">
      <x:c r="A12" s="6" t="str">
        <x:v>R0119</x:v>
      </x:c>
      <x:c r="B12" s="6" t="str">
        <x:v>海能未来技术集团股份有限公司</x:v>
      </x:c>
      <x:c r="C12" s="6" t="str">
        <x:v>产品结构</x:v>
      </x:c>
      <x:c r="D12" s="6" t="str">
        <x:v>科学仪器-色谱光谱系列产品毛利率</x:v>
      </x:c>
      <x:c r="E12" s="6" t="str">
        <x:v>2026年上半年/期末2026-06-30</x:v>
      </x:c>
      <x:c r="F12" s="19" t="n">
        <x:v>51.69</x:v>
      </x:c>
      <x:c r="G12" s="6" t="str">
        <x:v>%</x:v>
      </x:c>
      <x:c r="H12" s="19" t="n">
        <x:v>51.69</x:v>
      </x:c>
      <x:c r="I12" s="6" t="str">
        <x:v>%</x:v>
      </x:c>
      <x:c r="J12" s="20" t="d">
        <x:v>2026-08-17T00:00:00.000Z</x:v>
      </x:c>
      <x:c r="K12" s="6" t="str">
        <x:v>F001</x:v>
      </x:c>
      <x:c r="L12" s="6" t="str">
        <x:v>已核实原值</x:v>
      </x:c>
      <x:c r="M12" s="6" t="str">
        <x:v>2026年1-6月，集团合并产品收入。</x:v>
      </x:c>
    </x:row>
    <x:row r="13" ht="34" customHeight="1">
      <x:c r="A13" s="6" t="str">
        <x:v>R0118</x:v>
      </x:c>
      <x:c r="B13" s="6" t="str">
        <x:v>海能未来技术集团股份有限公司</x:v>
      </x:c>
      <x:c r="C13" s="6" t="str">
        <x:v>产品结构</x:v>
      </x:c>
      <x:c r="D13" s="6" t="str">
        <x:v>科学仪器-色谱光谱系列产品营业收入</x:v>
      </x:c>
      <x:c r="E13" s="6" t="str">
        <x:v>2026年上半年/期末2026-06-30</x:v>
      </x:c>
      <x:c r="F13" s="19" t="n">
        <x:v>44418545.52</x:v>
      </x:c>
      <x:c r="G13" s="6" t="str">
        <x:v>人民币元</x:v>
      </x:c>
      <x:c r="H13" s="19" t="n">
        <x:v>44418545.52</x:v>
      </x:c>
      <x:c r="I13" s="6" t="str">
        <x:v>人民币元</x:v>
      </x:c>
      <x:c r="J13" s="20" t="d">
        <x:v>2026-08-17T00:00:00.000Z</x:v>
      </x:c>
      <x:c r="K13" s="6" t="str">
        <x:v>F001</x:v>
      </x:c>
      <x:c r="L13" s="6" t="str">
        <x:v>已核实原值</x:v>
      </x:c>
      <x:c r="M13" s="6" t="str">
        <x:v>2026年1-6月，集团合并产品收入。</x:v>
      </x:c>
    </x:row>
    <x:row r="14" ht="34" customHeight="1">
      <x:c r="A14" s="6" t="str">
        <x:v>R0123</x:v>
      </x:c>
      <x:c r="B14" s="6" t="str">
        <x:v>海能未来技术集团股份有限公司</x:v>
      </x:c>
      <x:c r="C14" s="6" t="str">
        <x:v>产品结构</x:v>
      </x:c>
      <x:c r="D14" s="6" t="str">
        <x:v>科学仪器-通用仪器系列产品毛利率</x:v>
      </x:c>
      <x:c r="E14" s="6" t="str">
        <x:v>2026年上半年/期末2026-06-30</x:v>
      </x:c>
      <x:c r="F14" s="19" t="n">
        <x:v>62.79</x:v>
      </x:c>
      <x:c r="G14" s="6" t="str">
        <x:v>%</x:v>
      </x:c>
      <x:c r="H14" s="19" t="n">
        <x:v>62.79</x:v>
      </x:c>
      <x:c r="I14" s="6" t="str">
        <x:v>%</x:v>
      </x:c>
      <x:c r="J14" s="20" t="d">
        <x:v>2026-08-17T00:00:00.000Z</x:v>
      </x:c>
      <x:c r="K14" s="6" t="str">
        <x:v>F001</x:v>
      </x:c>
      <x:c r="L14" s="6" t="str">
        <x:v>已核实原值</x:v>
      </x:c>
      <x:c r="M14" s="6" t="str">
        <x:v>2026年1-6月，集团合并产品收入。</x:v>
      </x:c>
    </x:row>
    <x:row r="15" ht="34" customHeight="1">
      <x:c r="A15" s="6" t="str">
        <x:v>R0122</x:v>
      </x:c>
      <x:c r="B15" s="6" t="str">
        <x:v>海能未来技术集团股份有限公司</x:v>
      </x:c>
      <x:c r="C15" s="6" t="str">
        <x:v>产品结构</x:v>
      </x:c>
      <x:c r="D15" s="6" t="str">
        <x:v>科学仪器-通用仪器系列产品营业收入</x:v>
      </x:c>
      <x:c r="E15" s="6" t="str">
        <x:v>2026年上半年/期末2026-06-30</x:v>
      </x:c>
      <x:c r="F15" s="19" t="n">
        <x:v>17940629.47</x:v>
      </x:c>
      <x:c r="G15" s="6" t="str">
        <x:v>人民币元</x:v>
      </x:c>
      <x:c r="H15" s="19" t="n">
        <x:v>17940629.47</x:v>
      </x:c>
      <x:c r="I15" s="6" t="str">
        <x:v>人民币元</x:v>
      </x:c>
      <x:c r="J15" s="20" t="d">
        <x:v>2026-08-17T00:00:00.000Z</x:v>
      </x:c>
      <x:c r="K15" s="6" t="str">
        <x:v>F001</x:v>
      </x:c>
      <x:c r="L15" s="6" t="str">
        <x:v>已核实原值</x:v>
      </x:c>
      <x:c r="M15" s="6" t="str">
        <x:v>2026年1-6月，集团合并产品收入。</x:v>
      </x:c>
    </x:row>
    <x:row r="16" ht="34" customHeight="1">
      <x:c r="A16" s="6" t="str">
        <x:v>R0125</x:v>
      </x:c>
      <x:c r="B16" s="6" t="str">
        <x:v>海能未来技术集团股份有限公司</x:v>
      </x:c>
      <x:c r="C16" s="6" t="str">
        <x:v>产品结构</x:v>
      </x:c>
      <x:c r="D16" s="6" t="str">
        <x:v>维修服务及技术服务毛利率</x:v>
      </x:c>
      <x:c r="E16" s="6" t="str">
        <x:v>2026年上半年/期末2026-06-30</x:v>
      </x:c>
      <x:c r="F16" s="19" t="n">
        <x:v>60.73</x:v>
      </x:c>
      <x:c r="G16" s="6" t="str">
        <x:v>%</x:v>
      </x:c>
      <x:c r="H16" s="19" t="n">
        <x:v>60.73</x:v>
      </x:c>
      <x:c r="I16" s="6" t="str">
        <x:v>%</x:v>
      </x:c>
      <x:c r="J16" s="20" t="d">
        <x:v>2026-08-17T00:00:00.000Z</x:v>
      </x:c>
      <x:c r="K16" s="6" t="str">
        <x:v>F001</x:v>
      </x:c>
      <x:c r="L16" s="6" t="str">
        <x:v>已核实原值</x:v>
      </x:c>
      <x:c r="M16" s="6" t="str">
        <x:v>2026年1-6月，集团合并产品收入。</x:v>
      </x:c>
    </x:row>
    <x:row r="17" ht="34" customHeight="1">
      <x:c r="A17" s="6" t="str">
        <x:v>R0124</x:v>
      </x:c>
      <x:c r="B17" s="6" t="str">
        <x:v>海能未来技术集团股份有限公司</x:v>
      </x:c>
      <x:c r="C17" s="6" t="str">
        <x:v>产品结构</x:v>
      </x:c>
      <x:c r="D17" s="6" t="str">
        <x:v>维修服务及技术服务营业收入</x:v>
      </x:c>
      <x:c r="E17" s="6" t="str">
        <x:v>2026年上半年/期末2026-06-30</x:v>
      </x:c>
      <x:c r="F17" s="19" t="n">
        <x:v>6071924.4</x:v>
      </x:c>
      <x:c r="G17" s="6" t="str">
        <x:v>人民币元</x:v>
      </x:c>
      <x:c r="H17" s="19" t="n">
        <x:v>6071924.4</x:v>
      </x:c>
      <x:c r="I17" s="6" t="str">
        <x:v>人民币元</x:v>
      </x:c>
      <x:c r="J17" s="20" t="d">
        <x:v>2026-08-17T00:00:00.000Z</x:v>
      </x:c>
      <x:c r="K17" s="6" t="str">
        <x:v>F001</x:v>
      </x:c>
      <x:c r="L17" s="6" t="str">
        <x:v>已核实原值</x:v>
      </x:c>
      <x:c r="M17" s="6" t="str">
        <x:v>2026年1-6月，集团合并产品收入。</x:v>
      </x:c>
    </x:row>
    <x:row r="18" ht="34" customHeight="1">
      <x:c r="A18" s="6" t="str">
        <x:v>R0136</x:v>
      </x:c>
      <x:c r="B18" s="6" t="str">
        <x:v>海能未来技术集团股份有限公司</x:v>
      </x:c>
      <x:c r="C18" s="6" t="str">
        <x:v>市场区域</x:v>
      </x:c>
      <x:c r="D18" s="6" t="str">
        <x:v>国内毛利率</x:v>
      </x:c>
      <x:c r="E18" s="6" t="str">
        <x:v>2025年度/期末2025-12-31</x:v>
      </x:c>
      <x:c r="F18" s="19" t="n">
        <x:v>67.71</x:v>
      </x:c>
      <x:c r="G18" s="6" t="str">
        <x:v>%</x:v>
      </x:c>
      <x:c r="H18" s="19" t="n">
        <x:v>67.71</x:v>
      </x:c>
      <x:c r="I18" s="6" t="str">
        <x:v>%</x:v>
      </x:c>
      <x:c r="J18" s="20" t="d">
        <x:v>2026-03-16T00:00:00.000Z</x:v>
      </x:c>
      <x:c r="K18" s="6" t="str">
        <x:v>F002</x:v>
      </x:c>
      <x:c r="L18" s="6" t="str">
        <x:v>已核实原值</x:v>
      </x:c>
      <x:c r="M18" s="6" t="str"/>
    </x:row>
    <x:row r="19" ht="34" customHeight="1">
      <x:c r="A19" s="6" t="str">
        <x:v>R0135</x:v>
      </x:c>
      <x:c r="B19" s="6" t="str">
        <x:v>海能未来技术集团股份有限公司</x:v>
      </x:c>
      <x:c r="C19" s="6" t="str">
        <x:v>市场区域</x:v>
      </x:c>
      <x:c r="D19" s="6" t="str">
        <x:v>国内营业成本</x:v>
      </x:c>
      <x:c r="E19" s="6" t="str">
        <x:v>2025年度/期末2025-12-31</x:v>
      </x:c>
      <x:c r="F19" s="19" t="n">
        <x:v>91722335.36</x:v>
      </x:c>
      <x:c r="G19" s="6" t="str">
        <x:v>人民币元</x:v>
      </x:c>
      <x:c r="H19" s="19" t="n">
        <x:v>91722335.36</x:v>
      </x:c>
      <x:c r="I19" s="6" t="str">
        <x:v>人民币元</x:v>
      </x:c>
      <x:c r="J19" s="20" t="d">
        <x:v>2026-03-16T00:00:00.000Z</x:v>
      </x:c>
      <x:c r="K19" s="6" t="str">
        <x:v>F002</x:v>
      </x:c>
      <x:c r="L19" s="6" t="str">
        <x:v>已核实原值</x:v>
      </x:c>
      <x:c r="M19" s="6" t="str"/>
    </x:row>
    <x:row r="20" ht="34" customHeight="1">
      <x:c r="A20" s="6" t="str">
        <x:v>R0134</x:v>
      </x:c>
      <x:c r="B20" s="6" t="str">
        <x:v>海能未来技术集团股份有限公司</x:v>
      </x:c>
      <x:c r="C20" s="6" t="str">
        <x:v>市场区域</x:v>
      </x:c>
      <x:c r="D20" s="6" t="str">
        <x:v>国内营业收入</x:v>
      </x:c>
      <x:c r="E20" s="6" t="str">
        <x:v>2025年度/期末2025-12-31</x:v>
      </x:c>
      <x:c r="F20" s="19" t="n">
        <x:v>284062791.35</x:v>
      </x:c>
      <x:c r="G20" s="6" t="str">
        <x:v>人民币元</x:v>
      </x:c>
      <x:c r="H20" s="19" t="n">
        <x:v>284062791.35</x:v>
      </x:c>
      <x:c r="I20" s="6" t="str">
        <x:v>人民币元</x:v>
      </x:c>
      <x:c r="J20" s="20" t="d">
        <x:v>2026-03-16T00:00:00.000Z</x:v>
      </x:c>
      <x:c r="K20" s="6" t="str">
        <x:v>F002</x:v>
      </x:c>
      <x:c r="L20" s="6" t="str">
        <x:v>已核实原值</x:v>
      </x:c>
      <x:c r="M20" s="6" t="str"/>
    </x:row>
    <x:row r="21" ht="34" customHeight="1">
      <x:c r="A21" s="6" t="str">
        <x:v>R0139</x:v>
      </x:c>
      <x:c r="B21" s="6" t="str">
        <x:v>海能未来技术集团股份有限公司</x:v>
      </x:c>
      <x:c r="C21" s="6" t="str">
        <x:v>市场区域</x:v>
      </x:c>
      <x:c r="D21" s="6" t="str">
        <x:v>国外毛利率</x:v>
      </x:c>
      <x:c r="E21" s="6" t="str">
        <x:v>2025年度/期末2025-12-31</x:v>
      </x:c>
      <x:c r="F21" s="19" t="n">
        <x:v>55.31</x:v>
      </x:c>
      <x:c r="G21" s="6" t="str">
        <x:v>%</x:v>
      </x:c>
      <x:c r="H21" s="19" t="n">
        <x:v>55.31</x:v>
      </x:c>
      <x:c r="I21" s="6" t="str">
        <x:v>%</x:v>
      </x:c>
      <x:c r="J21" s="20" t="d">
        <x:v>2026-03-16T00:00:00.000Z</x:v>
      </x:c>
      <x:c r="K21" s="6" t="str">
        <x:v>F002</x:v>
      </x:c>
      <x:c r="L21" s="6" t="str">
        <x:v>已核实原值</x:v>
      </x:c>
      <x:c r="M21" s="6" t="str"/>
    </x:row>
    <x:row r="22" ht="34" customHeight="1">
      <x:c r="A22" s="6" t="str">
        <x:v>R0138</x:v>
      </x:c>
      <x:c r="B22" s="6" t="str">
        <x:v>海能未来技术集团股份有限公司</x:v>
      </x:c>
      <x:c r="C22" s="6" t="str">
        <x:v>市场区域</x:v>
      </x:c>
      <x:c r="D22" s="6" t="str">
        <x:v>国外营业成本</x:v>
      </x:c>
      <x:c r="E22" s="6" t="str">
        <x:v>2025年度/期末2025-12-31</x:v>
      </x:c>
      <x:c r="F22" s="19" t="n">
        <x:v>34764486.26</x:v>
      </x:c>
      <x:c r="G22" s="6" t="str">
        <x:v>人民币元</x:v>
      </x:c>
      <x:c r="H22" s="19" t="n">
        <x:v>34764486.26</x:v>
      </x:c>
      <x:c r="I22" s="6" t="str">
        <x:v>人民币元</x:v>
      </x:c>
      <x:c r="J22" s="20" t="d">
        <x:v>2026-03-16T00:00:00.000Z</x:v>
      </x:c>
      <x:c r="K22" s="6" t="str">
        <x:v>F002</x:v>
      </x:c>
      <x:c r="L22" s="6" t="str">
        <x:v>已核实原值</x:v>
      </x:c>
      <x:c r="M22" s="6" t="str"/>
    </x:row>
    <x:row r="23" ht="34" customHeight="1">
      <x:c r="A23" s="6" t="str">
        <x:v>R0137</x:v>
      </x:c>
      <x:c r="B23" s="6" t="str">
        <x:v>海能未来技术集团股份有限公司</x:v>
      </x:c>
      <x:c r="C23" s="6" t="str">
        <x:v>市场区域</x:v>
      </x:c>
      <x:c r="D23" s="6" t="str">
        <x:v>国外营业收入</x:v>
      </x:c>
      <x:c r="E23" s="6" t="str">
        <x:v>2025年度/期末2025-12-31</x:v>
      </x:c>
      <x:c r="F23" s="19" t="n">
        <x:v>77787374.19</x:v>
      </x:c>
      <x:c r="G23" s="6" t="str">
        <x:v>人民币元</x:v>
      </x:c>
      <x:c r="H23" s="19" t="n">
        <x:v>77787374.19</x:v>
      </x:c>
      <x:c r="I23" s="6" t="str">
        <x:v>人民币元</x:v>
      </x:c>
      <x:c r="J23" s="20" t="d">
        <x:v>2026-03-16T00:00:00.000Z</x:v>
      </x:c>
      <x:c r="K23" s="6" t="str">
        <x:v>F002</x:v>
      </x:c>
      <x:c r="L23" s="6" t="str">
        <x:v>已核实原值</x:v>
      </x:c>
      <x:c r="M23" s="6" t="str"/>
    </x:row>
    <x:row r="24" ht="34" customHeight="1">
      <x:c r="A24" s="6" t="str">
        <x:v>R0130</x:v>
      </x:c>
      <x:c r="B24" s="6" t="str">
        <x:v>海能未来技术集团股份有限公司</x:v>
      </x:c>
      <x:c r="C24" s="6" t="str">
        <x:v>市场区域</x:v>
      </x:c>
      <x:c r="D24" s="6" t="str">
        <x:v>国内毛利率</x:v>
      </x:c>
      <x:c r="E24" s="6" t="str">
        <x:v>2026年上半年/期末2026-06-30</x:v>
      </x:c>
      <x:c r="F24" s="19" t="n">
        <x:v>66.5</x:v>
      </x:c>
      <x:c r="G24" s="6" t="str">
        <x:v>%</x:v>
      </x:c>
      <x:c r="H24" s="19" t="n">
        <x:v>66.5</x:v>
      </x:c>
      <x:c r="I24" s="6" t="str">
        <x:v>%</x:v>
      </x:c>
      <x:c r="J24" s="20" t="d">
        <x:v>2026-08-17T00:00:00.000Z</x:v>
      </x:c>
      <x:c r="K24" s="6" t="str">
        <x:v>F001</x:v>
      </x:c>
      <x:c r="L24" s="6" t="str">
        <x:v>已核实原值</x:v>
      </x:c>
      <x:c r="M24" s="6" t="str"/>
    </x:row>
    <x:row r="25" ht="34" customHeight="1">
      <x:c r="A25" s="6" t="str">
        <x:v>R0129</x:v>
      </x:c>
      <x:c r="B25" s="6" t="str">
        <x:v>海能未来技术集团股份有限公司</x:v>
      </x:c>
      <x:c r="C25" s="6" t="str">
        <x:v>市场区域</x:v>
      </x:c>
      <x:c r="D25" s="6" t="str">
        <x:v>国内营业成本</x:v>
      </x:c>
      <x:c r="E25" s="6" t="str">
        <x:v>2026年上半年/期末2026-06-30</x:v>
      </x:c>
      <x:c r="F25" s="19" t="n">
        <x:v>40838612.2</x:v>
      </x:c>
      <x:c r="G25" s="6" t="str">
        <x:v>人民币元</x:v>
      </x:c>
      <x:c r="H25" s="19" t="n">
        <x:v>40838612.2</x:v>
      </x:c>
      <x:c r="I25" s="6" t="str">
        <x:v>人民币元</x:v>
      </x:c>
      <x:c r="J25" s="20" t="d">
        <x:v>2026-08-17T00:00:00.000Z</x:v>
      </x:c>
      <x:c r="K25" s="6" t="str">
        <x:v>F001</x:v>
      </x:c>
      <x:c r="L25" s="6" t="str">
        <x:v>已核实原值</x:v>
      </x:c>
      <x:c r="M25" s="6" t="str"/>
    </x:row>
    <x:row r="26" ht="34" customHeight="1">
      <x:c r="A26" s="6" t="str">
        <x:v>R0128</x:v>
      </x:c>
      <x:c r="B26" s="6" t="str">
        <x:v>海能未来技术集团股份有限公司</x:v>
      </x:c>
      <x:c r="C26" s="6" t="str">
        <x:v>市场区域</x:v>
      </x:c>
      <x:c r="D26" s="6" t="str">
        <x:v>国内营业收入</x:v>
      </x:c>
      <x:c r="E26" s="6" t="str">
        <x:v>2026年上半年/期末2026-06-30</x:v>
      </x:c>
      <x:c r="F26" s="19" t="n">
        <x:v>121893694.98</x:v>
      </x:c>
      <x:c r="G26" s="6" t="str">
        <x:v>人民币元</x:v>
      </x:c>
      <x:c r="H26" s="19" t="n">
        <x:v>121893694.98</x:v>
      </x:c>
      <x:c r="I26" s="6" t="str">
        <x:v>人民币元</x:v>
      </x:c>
      <x:c r="J26" s="20" t="d">
        <x:v>2026-08-17T00:00:00.000Z</x:v>
      </x:c>
      <x:c r="K26" s="6" t="str">
        <x:v>F001</x:v>
      </x:c>
      <x:c r="L26" s="6" t="str">
        <x:v>已核实原值</x:v>
      </x:c>
      <x:c r="M26" s="6" t="str"/>
    </x:row>
    <x:row r="27" ht="34" customHeight="1">
      <x:c r="A27" s="6" t="str">
        <x:v>R0133</x:v>
      </x:c>
      <x:c r="B27" s="6" t="str">
        <x:v>海能未来技术集团股份有限公司</x:v>
      </x:c>
      <x:c r="C27" s="6" t="str">
        <x:v>市场区域</x:v>
      </x:c>
      <x:c r="D27" s="6" t="str">
        <x:v>国外毛利率</x:v>
      </x:c>
      <x:c r="E27" s="6" t="str">
        <x:v>2026年上半年/期末2026-06-30</x:v>
      </x:c>
      <x:c r="F27" s="19" t="n">
        <x:v>51.22</x:v>
      </x:c>
      <x:c r="G27" s="6" t="str">
        <x:v>%</x:v>
      </x:c>
      <x:c r="H27" s="19" t="n">
        <x:v>51.22</x:v>
      </x:c>
      <x:c r="I27" s="6" t="str">
        <x:v>%</x:v>
      </x:c>
      <x:c r="J27" s="20" t="d">
        <x:v>2026-08-17T00:00:00.000Z</x:v>
      </x:c>
      <x:c r="K27" s="6" t="str">
        <x:v>F001</x:v>
      </x:c>
      <x:c r="L27" s="6" t="str">
        <x:v>已核实原值</x:v>
      </x:c>
      <x:c r="M27" s="6" t="str"/>
    </x:row>
    <x:row r="28" ht="34" customHeight="1">
      <x:c r="A28" s="6" t="str">
        <x:v>R0132</x:v>
      </x:c>
      <x:c r="B28" s="6" t="str">
        <x:v>海能未来技术集团股份有限公司</x:v>
      </x:c>
      <x:c r="C28" s="6" t="str">
        <x:v>市场区域</x:v>
      </x:c>
      <x:c r="D28" s="6" t="str">
        <x:v>国外营业成本</x:v>
      </x:c>
      <x:c r="E28" s="6" t="str">
        <x:v>2026年上半年/期末2026-06-30</x:v>
      </x:c>
      <x:c r="F28" s="19" t="n">
        <x:v>17883538.76</x:v>
      </x:c>
      <x:c r="G28" s="6" t="str">
        <x:v>人民币元</x:v>
      </x:c>
      <x:c r="H28" s="19" t="n">
        <x:v>17883538.76</x:v>
      </x:c>
      <x:c r="I28" s="6" t="str">
        <x:v>人民币元</x:v>
      </x:c>
      <x:c r="J28" s="20" t="d">
        <x:v>2026-08-17T00:00:00.000Z</x:v>
      </x:c>
      <x:c r="K28" s="6" t="str">
        <x:v>F001</x:v>
      </x:c>
      <x:c r="L28" s="6" t="str">
        <x:v>已核实原值</x:v>
      </x:c>
      <x:c r="M28" s="6" t="str"/>
    </x:row>
    <x:row r="29" ht="34" customHeight="1">
      <x:c r="A29" s="6" t="str">
        <x:v>R0131</x:v>
      </x:c>
      <x:c r="B29" s="6" t="str">
        <x:v>海能未来技术集团股份有限公司</x:v>
      </x:c>
      <x:c r="C29" s="6" t="str">
        <x:v>市场区域</x:v>
      </x:c>
      <x:c r="D29" s="6" t="str">
        <x:v>国外营业收入</x:v>
      </x:c>
      <x:c r="E29" s="6" t="str">
        <x:v>2026年上半年/期末2026-06-30</x:v>
      </x:c>
      <x:c r="F29" s="19" t="n">
        <x:v>36663916.36</x:v>
      </x:c>
      <x:c r="G29" s="6" t="str">
        <x:v>人民币元</x:v>
      </x:c>
      <x:c r="H29" s="19" t="n">
        <x:v>36663916.36</x:v>
      </x:c>
      <x:c r="I29" s="6" t="str">
        <x:v>人民币元</x:v>
      </x:c>
      <x:c r="J29" s="20" t="d">
        <x:v>2026-08-17T00:00:00.000Z</x:v>
      </x:c>
      <x:c r="K29" s="6" t="str">
        <x:v>F001</x:v>
      </x:c>
      <x:c r="L29" s="6" t="str">
        <x:v>已核实原值</x:v>
      </x:c>
      <x:c r="M29" s="6" t="str"/>
    </x:row>
    <x:row r="30" ht="34" customHeight="1">
      <x:c r="A30" s="6" t="str">
        <x:v>R0089</x:v>
      </x:c>
      <x:c r="B30" s="6" t="str">
        <x:v>海能未来技术集团股份有限公司</x:v>
      </x:c>
      <x:c r="C30" s="6" t="str">
        <x:v>研发能力</x:v>
      </x:c>
      <x:c r="D30" s="6" t="str">
        <x:v>公司拥有的专利数量</x:v>
      </x:c>
      <x:c r="E30" s="6" t="str">
        <x:v>2025年度/期末2025-12-31</x:v>
      </x:c>
      <x:c r="F30" s="17" t="n">
        <x:v>190</x:v>
      </x:c>
      <x:c r="G30" s="6" t="str">
        <x:v>项</x:v>
      </x:c>
      <x:c r="H30" s="17" t="n">
        <x:v>190</x:v>
      </x:c>
      <x:c r="I30" s="6" t="str">
        <x:v>项</x:v>
      </x:c>
      <x:c r="J30" s="20" t="d">
        <x:v>2026-03-16T00:00:00.000Z</x:v>
      </x:c>
      <x:c r="K30" s="6" t="str">
        <x:v>F002</x:v>
      </x:c>
      <x:c r="L30" s="6" t="str">
        <x:v>已核实原值</x:v>
      </x:c>
      <x:c r="M30" s="6" t="str"/>
    </x:row>
    <x:row r="31" ht="34" customHeight="1">
      <x:c r="A31" s="6" t="str">
        <x:v>R0090</x:v>
      </x:c>
      <x:c r="B31" s="6" t="str">
        <x:v>海能未来技术集团股份有限公司</x:v>
      </x:c>
      <x:c r="C31" s="6" t="str">
        <x:v>研发能力</x:v>
      </x:c>
      <x:c r="D31" s="6" t="str">
        <x:v>公司拥有的发明专利数量</x:v>
      </x:c>
      <x:c r="E31" s="6" t="str">
        <x:v>2025年度/期末2025-12-31</x:v>
      </x:c>
      <x:c r="F31" s="17" t="n">
        <x:v>56</x:v>
      </x:c>
      <x:c r="G31" s="6" t="str">
        <x:v>项</x:v>
      </x:c>
      <x:c r="H31" s="17" t="n">
        <x:v>56</x:v>
      </x:c>
      <x:c r="I31" s="6" t="str">
        <x:v>项</x:v>
      </x:c>
      <x:c r="J31" s="20" t="d">
        <x:v>2026-03-16T00:00:00.000Z</x:v>
      </x:c>
      <x:c r="K31" s="6" t="str">
        <x:v>F002</x:v>
      </x:c>
      <x:c r="L31" s="6" t="str">
        <x:v>已核实原值</x:v>
      </x:c>
      <x:c r="M31" s="6" t="str"/>
    </x:row>
    <x:row r="32" ht="34" customHeight="1">
      <x:c r="A32" s="6" t="str">
        <x:v>R0088</x:v>
      </x:c>
      <x:c r="B32" s="6" t="str">
        <x:v>海能未来技术集团股份有限公司</x:v>
      </x:c>
      <x:c r="C32" s="6" t="str">
        <x:v>研发能力</x:v>
      </x:c>
      <x:c r="D32" s="6" t="str">
        <x:v>研发人员占员工总量的比例</x:v>
      </x:c>
      <x:c r="E32" s="6" t="str">
        <x:v>2025年度/期末2025-12-31</x:v>
      </x:c>
      <x:c r="F32" s="19" t="n">
        <x:v>22.65</x:v>
      </x:c>
      <x:c r="G32" s="6" t="str">
        <x:v>%</x:v>
      </x:c>
      <x:c r="H32" s="19" t="n">
        <x:v>22.65</x:v>
      </x:c>
      <x:c r="I32" s="6" t="str">
        <x:v>%</x:v>
      </x:c>
      <x:c r="J32" s="20" t="d">
        <x:v>2026-03-16T00:00:00.000Z</x:v>
      </x:c>
      <x:c r="K32" s="6" t="str">
        <x:v>F002</x:v>
      </x:c>
      <x:c r="L32" s="6" t="str">
        <x:v>已核实原值</x:v>
      </x:c>
      <x:c r="M32" s="6" t="str"/>
    </x:row>
    <x:row r="33" ht="34" customHeight="1">
      <x:c r="A33" s="6" t="str">
        <x:v>R0087</x:v>
      </x:c>
      <x:c r="B33" s="6" t="str">
        <x:v>海能未来技术集团股份有限公司</x:v>
      </x:c>
      <x:c r="C33" s="6" t="str">
        <x:v>研发能力</x:v>
      </x:c>
      <x:c r="D33" s="6" t="str">
        <x:v>研发人员总计</x:v>
      </x:c>
      <x:c r="E33" s="6" t="str">
        <x:v>2025年度/期末2025-12-31</x:v>
      </x:c>
      <x:c r="F33" s="17" t="n">
        <x:v>128</x:v>
      </x:c>
      <x:c r="G33" s="6" t="str">
        <x:v>人</x:v>
      </x:c>
      <x:c r="H33" s="17" t="n">
        <x:v>128</x:v>
      </x:c>
      <x:c r="I33" s="6" t="str">
        <x:v>人</x:v>
      </x:c>
      <x:c r="J33" s="20" t="d">
        <x:v>2026-03-16T00:00:00.000Z</x:v>
      </x:c>
      <x:c r="K33" s="6" t="str">
        <x:v>F002</x:v>
      </x:c>
      <x:c r="L33" s="6" t="str">
        <x:v>已核实原值</x:v>
      </x:c>
      <x:c r="M33" s="6" t="str"/>
    </x:row>
    <x:row r="34" ht="34" customHeight="1">
      <x:c r="A34" s="6" t="str">
        <x:v>R0085</x:v>
      </x:c>
      <x:c r="B34" s="6" t="str">
        <x:v>海能未来技术集团股份有限公司</x:v>
      </x:c>
      <x:c r="C34" s="6" t="str">
        <x:v>研发能力</x:v>
      </x:c>
      <x:c r="D34" s="6" t="str">
        <x:v>研发支出占营业收入的比例</x:v>
      </x:c>
      <x:c r="E34" s="6" t="str">
        <x:v>2025年度/期末2025-12-31</x:v>
      </x:c>
      <x:c r="F34" s="19" t="n">
        <x:v>14.96</x:v>
      </x:c>
      <x:c r="G34" s="6" t="str">
        <x:v>%</x:v>
      </x:c>
      <x:c r="H34" s="19" t="n">
        <x:v>14.96</x:v>
      </x:c>
      <x:c r="I34" s="6" t="str">
        <x:v>%</x:v>
      </x:c>
      <x:c r="J34" s="20" t="d">
        <x:v>2026-03-16T00:00:00.000Z</x:v>
      </x:c>
      <x:c r="K34" s="6" t="str">
        <x:v>F002</x:v>
      </x:c>
      <x:c r="L34" s="6" t="str">
        <x:v>已核实原值</x:v>
      </x:c>
      <x:c r="M34" s="6" t="str"/>
    </x:row>
    <x:row r="35" ht="34" customHeight="1">
      <x:c r="A35" s="6" t="str">
        <x:v>R0086</x:v>
      </x:c>
      <x:c r="B35" s="6" t="str">
        <x:v>海能未来技术集团股份有限公司</x:v>
      </x:c>
      <x:c r="C35" s="6" t="str">
        <x:v>研发能力</x:v>
      </x:c>
      <x:c r="D35" s="6" t="str">
        <x:v>研发支出资本化的金额</x:v>
      </x:c>
      <x:c r="E35" s="6" t="str">
        <x:v>2025年度/期末2025-12-31</x:v>
      </x:c>
      <x:c r="F35" s="17" t="n">
        <x:v>0</x:v>
      </x:c>
      <x:c r="G35" s="6" t="str">
        <x:v>人民币元</x:v>
      </x:c>
      <x:c r="H35" s="17" t="n">
        <x:v>0</x:v>
      </x:c>
      <x:c r="I35" s="6" t="str">
        <x:v>人民币元</x:v>
      </x:c>
      <x:c r="J35" s="20" t="d">
        <x:v>2026-03-16T00:00:00.000Z</x:v>
      </x:c>
      <x:c r="K35" s="6" t="str">
        <x:v>F002</x:v>
      </x:c>
      <x:c r="L35" s="6" t="str">
        <x:v>已核实原值</x:v>
      </x:c>
      <x:c r="M35" s="6" t="str"/>
    </x:row>
    <x:row r="36" ht="34" customHeight="1">
      <x:c r="A36" s="6" t="str">
        <x:v>R0084</x:v>
      </x:c>
      <x:c r="B36" s="6" t="str">
        <x:v>海能未来技术集团股份有限公司</x:v>
      </x:c>
      <x:c r="C36" s="6" t="str">
        <x:v>研发能力</x:v>
      </x:c>
      <x:c r="D36" s="6" t="str">
        <x:v>研发支出金额</x:v>
      </x:c>
      <x:c r="E36" s="6" t="str">
        <x:v>2025年度/期末2025-12-31</x:v>
      </x:c>
      <x:c r="F36" s="19" t="n">
        <x:v>54114694.86</x:v>
      </x:c>
      <x:c r="G36" s="6" t="str">
        <x:v>人民币元</x:v>
      </x:c>
      <x:c r="H36" s="19" t="n">
        <x:v>54114694.86</x:v>
      </x:c>
      <x:c r="I36" s="6" t="str">
        <x:v>人民币元</x:v>
      </x:c>
      <x:c r="J36" s="20" t="d">
        <x:v>2026-03-16T00:00:00.000Z</x:v>
      </x:c>
      <x:c r="K36" s="6" t="str">
        <x:v>F002</x:v>
      </x:c>
      <x:c r="L36" s="6" t="str">
        <x:v>已核实原值</x:v>
      </x:c>
      <x:c r="M36" s="6" t="str"/>
    </x:row>
    <x:row r="37" ht="40" customHeight="1">
      <x:c r="A37" s="6" t="str">
        <x:v>R0250</x:v>
      </x:c>
      <x:c r="B37" s="6" t="str">
        <x:v>海能未来技术集团股份有限公司</x:v>
      </x:c>
      <x:c r="C37" s="6" t="str">
        <x:v>财务数据</x:v>
      </x:c>
      <x:c r="D37" s="6" t="str">
        <x:v>归属于上市公司股东的净利润</x:v>
      </x:c>
      <x:c r="E37" s="6" t="str">
        <x:v>2025年前三季度/期末2025-09-30</x:v>
      </x:c>
      <x:c r="F37" s="19" t="n">
        <x:v>18106284.55</x:v>
      </x:c>
      <x:c r="G37" s="6" t="str">
        <x:v>人民币元</x:v>
      </x:c>
      <x:c r="H37" s="19" t="n">
        <x:v>18106284.55</x:v>
      </x:c>
      <x:c r="I37" s="6" t="str">
        <x:v>人民币元</x:v>
      </x:c>
      <x:c r="J37" s="20" t="d">
        <x:v>2025-10-27T00:00:00.000Z</x:v>
      </x:c>
      <x:c r="K37" s="6" t="str">
        <x:v>F005</x:v>
      </x:c>
      <x:c r="L37" s="6" t="str">
        <x:v>已核实原值</x:v>
      </x:c>
      <x:c r="M37" s="6" t="str">
        <x:v>集团合并，未经审计；损益为年初至报告期末（F004为1-3月，F005为1-9月），非单季度。母公司资产负债率除外。</x:v>
      </x:c>
    </x:row>
    <x:row r="38" ht="40" customHeight="1">
      <x:c r="A38" s="6" t="str">
        <x:v>R0246</x:v>
      </x:c>
      <x:c r="B38" s="6" t="str">
        <x:v>海能未来技术集团股份有限公司</x:v>
      </x:c>
      <x:c r="C38" s="6" t="str">
        <x:v>财务数据</x:v>
      </x:c>
      <x:c r="D38" s="6" t="str">
        <x:v>归属于上市公司股东的净资产</x:v>
      </x:c>
      <x:c r="E38" s="6" t="str">
        <x:v>2025年前三季度/期末2025-09-30</x:v>
      </x:c>
      <x:c r="F38" s="19" t="n">
        <x:v>430373881.96</x:v>
      </x:c>
      <x:c r="G38" s="6" t="str">
        <x:v>人民币元</x:v>
      </x:c>
      <x:c r="H38" s="19" t="n">
        <x:v>430373881.96</x:v>
      </x:c>
      <x:c r="I38" s="6" t="str">
        <x:v>人民币元</x:v>
      </x:c>
      <x:c r="J38" s="20" t="d">
        <x:v>2025-10-27T00:00:00.000Z</x:v>
      </x:c>
      <x:c r="K38" s="6" t="str">
        <x:v>F005</x:v>
      </x:c>
      <x:c r="L38" s="6" t="str">
        <x:v>已核实原值</x:v>
      </x:c>
      <x:c r="M38" s="6" t="str">
        <x:v>集团合并，未经审计；损益为年初至报告期末（F004为1-3月，F005为1-9月），非单季度。母公司资产负债率除外。</x:v>
      </x:c>
    </x:row>
    <x:row r="39" ht="40" customHeight="1">
      <x:c r="A39" s="6" t="str">
        <x:v>R0251</x:v>
      </x:c>
      <x:c r="B39" s="6" t="str">
        <x:v>海能未来技术集团股份有限公司</x:v>
      </x:c>
      <x:c r="C39" s="6" t="str">
        <x:v>财务数据</x:v>
      </x:c>
      <x:c r="D39" s="6" t="str">
        <x:v>经营活动产生的现金流量净额</x:v>
      </x:c>
      <x:c r="E39" s="6" t="str">
        <x:v>2025年前三季度/期末2025-09-30</x:v>
      </x:c>
      <x:c r="F39" s="19" t="n">
        <x:v>-154548.74</x:v>
      </x:c>
      <x:c r="G39" s="6" t="str">
        <x:v>人民币元</x:v>
      </x:c>
      <x:c r="H39" s="19" t="n">
        <x:v>-154548.74</x:v>
      </x:c>
      <x:c r="I39" s="6" t="str">
        <x:v>人民币元</x:v>
      </x:c>
      <x:c r="J39" s="20" t="d">
        <x:v>2025-10-27T00:00:00.000Z</x:v>
      </x:c>
      <x:c r="K39" s="6" t="str">
        <x:v>F005</x:v>
      </x:c>
      <x:c r="L39" s="6" t="str">
        <x:v>已核实原值</x:v>
      </x:c>
      <x:c r="M39" s="6" t="str">
        <x:v>集团合并，未经审计；损益为年初至报告期末（F004为1-3月，F005为1-9月），非单季度。母公司资产负债率除外。</x:v>
      </x:c>
    </x:row>
    <x:row r="40" ht="40" customHeight="1">
      <x:c r="A40" s="6" t="str">
        <x:v>R0249</x:v>
      </x:c>
      <x:c r="B40" s="6" t="str">
        <x:v>海能未来技术集团股份有限公司</x:v>
      </x:c>
      <x:c r="C40" s="6" t="str">
        <x:v>财务数据</x:v>
      </x:c>
      <x:c r="D40" s="6" t="str">
        <x:v>营业收入</x:v>
      </x:c>
      <x:c r="E40" s="6" t="str">
        <x:v>2025年前三季度/期末2025-09-30</x:v>
      </x:c>
      <x:c r="F40" s="19" t="n">
        <x:v>227242885.75</x:v>
      </x:c>
      <x:c r="G40" s="6" t="str">
        <x:v>人民币元</x:v>
      </x:c>
      <x:c r="H40" s="19" t="n">
        <x:v>227242885.75</x:v>
      </x:c>
      <x:c r="I40" s="6" t="str">
        <x:v>人民币元</x:v>
      </x:c>
      <x:c r="J40" s="20" t="d">
        <x:v>2025-10-27T00:00:00.000Z</x:v>
      </x:c>
      <x:c r="K40" s="6" t="str">
        <x:v>F005</x:v>
      </x:c>
      <x:c r="L40" s="6" t="str">
        <x:v>已核实原值</x:v>
      </x:c>
      <x:c r="M40" s="6" t="str">
        <x:v>集团合并，未经审计；损益为年初至报告期末（F004为1-3月，F005为1-9月），非单季度。母公司资产负债率除外。</x:v>
      </x:c>
    </x:row>
    <x:row r="41" ht="40" customHeight="1">
      <x:c r="A41" s="6" t="str">
        <x:v>R0245</x:v>
      </x:c>
      <x:c r="B41" s="6" t="str">
        <x:v>海能未来技术集团股份有限公司</x:v>
      </x:c>
      <x:c r="C41" s="6" t="str">
        <x:v>财务数据</x:v>
      </x:c>
      <x:c r="D41" s="6" t="str">
        <x:v>资产总计</x:v>
      </x:c>
      <x:c r="E41" s="6" t="str">
        <x:v>2025年前三季度/期末2025-09-30</x:v>
      </x:c>
      <x:c r="F41" s="19" t="n">
        <x:v>531559348.99</x:v>
      </x:c>
      <x:c r="G41" s="6" t="str">
        <x:v>人民币元</x:v>
      </x:c>
      <x:c r="H41" s="19" t="n">
        <x:v>531559348.99</x:v>
      </x:c>
      <x:c r="I41" s="6" t="str">
        <x:v>人民币元</x:v>
      </x:c>
      <x:c r="J41" s="20" t="d">
        <x:v>2025-10-27T00:00:00.000Z</x:v>
      </x:c>
      <x:c r="K41" s="6" t="str">
        <x:v>F005</x:v>
      </x:c>
      <x:c r="L41" s="6" t="str">
        <x:v>已核实原值</x:v>
      </x:c>
      <x:c r="M41" s="6" t="str">
        <x:v>集团合并，未经审计；损益为年初至报告期末（F004为1-3月，F005为1-9月），非单季度。母公司资产负债率除外。</x:v>
      </x:c>
    </x:row>
    <x:row r="42" ht="40" customHeight="1">
      <x:c r="A42" s="6" t="str">
        <x:v>R0248</x:v>
      </x:c>
      <x:c r="B42" s="6" t="str">
        <x:v>海能未来技术集团股份有限公司</x:v>
      </x:c>
      <x:c r="C42" s="6" t="str">
        <x:v>财务数据</x:v>
      </x:c>
      <x:c r="D42" s="6" t="str">
        <x:v>资产负债率%(合并)</x:v>
      </x:c>
      <x:c r="E42" s="6" t="str">
        <x:v>2025年前三季度/期末2025-09-30</x:v>
      </x:c>
      <x:c r="F42" s="19" t="n">
        <x:v>19.91</x:v>
      </x:c>
      <x:c r="G42" s="6" t="str">
        <x:v>%</x:v>
      </x:c>
      <x:c r="H42" s="19" t="n">
        <x:v>19.91</x:v>
      </x:c>
      <x:c r="I42" s="6" t="str">
        <x:v>%</x:v>
      </x:c>
      <x:c r="J42" s="20" t="d">
        <x:v>2025-10-27T00:00:00.000Z</x:v>
      </x:c>
      <x:c r="K42" s="6" t="str">
        <x:v>F005</x:v>
      </x:c>
      <x:c r="L42" s="6" t="str">
        <x:v>已核实原值</x:v>
      </x:c>
      <x:c r="M42" s="6" t="str">
        <x:v>集团合并，未经审计；损益为年初至报告期末（F004为1-3月，F005为1-9月），非单季度。母公司资产负债率除外。</x:v>
      </x:c>
    </x:row>
    <x:row r="43" ht="34" customHeight="1">
      <x:c r="A43" s="6" t="str">
        <x:v>R0247</x:v>
      </x:c>
      <x:c r="B43" s="6" t="str">
        <x:v>海能未来技术集团股份有限公司</x:v>
      </x:c>
      <x:c r="C43" s="6" t="str">
        <x:v>财务数据</x:v>
      </x:c>
      <x:c r="D43" s="6" t="str">
        <x:v>资产负债率%(母公司)</x:v>
      </x:c>
      <x:c r="E43" s="6" t="str">
        <x:v>2025年前三季度/期末2025-09-30</x:v>
      </x:c>
      <x:c r="F43" s="19" t="n">
        <x:v>11.15</x:v>
      </x:c>
      <x:c r="G43" s="6" t="str">
        <x:v>%</x:v>
      </x:c>
      <x:c r="H43" s="19" t="n">
        <x:v>11.15</x:v>
      </x:c>
      <x:c r="I43" s="6" t="str">
        <x:v>%</x:v>
      </x:c>
      <x:c r="J43" s="20" t="d">
        <x:v>2025-10-27T00:00:00.000Z</x:v>
      </x:c>
      <x:c r="K43" s="6" t="str">
        <x:v>F005</x:v>
      </x:c>
      <x:c r="L43" s="6" t="str">
        <x:v>已核实原值</x:v>
      </x:c>
      <x:c r="M43" s="6" t="str">
        <x:v>母公司单体资产负债率，非集团合并口径。</x:v>
      </x:c>
    </x:row>
    <x:row r="44" ht="34" customHeight="1">
      <x:c r="A44" s="6" t="str">
        <x:v>R0080</x:v>
      </x:c>
      <x:c r="B44" s="6" t="str">
        <x:v>海能未来技术集团股份有限公司</x:v>
      </x:c>
      <x:c r="C44" s="6" t="str">
        <x:v>财务数据</x:v>
      </x:c>
      <x:c r="D44" s="6" t="str">
        <x:v>净利润</x:v>
      </x:c>
      <x:c r="E44" s="6" t="str">
        <x:v>2025年度/期末2025-12-31</x:v>
      </x:c>
      <x:c r="F44" s="19" t="n">
        <x:v>38607340.54</x:v>
      </x:c>
      <x:c r="G44" s="6" t="str">
        <x:v>人民币元</x:v>
      </x:c>
      <x:c r="H44" s="19" t="n">
        <x:v>38607340.54</x:v>
      </x:c>
      <x:c r="I44" s="6" t="str">
        <x:v>人民币元</x:v>
      </x:c>
      <x:c r="J44" s="20" t="d">
        <x:v>2026-03-16T00:00:00.000Z</x:v>
      </x:c>
      <x:c r="K44" s="6" t="str">
        <x:v>F002</x:v>
      </x:c>
      <x:c r="L44" s="6" t="str">
        <x:v>已核实原值</x:v>
      </x:c>
      <x:c r="M44" s="6" t="str">
        <x:v>集团合并口径；金额为人民币元。</x:v>
      </x:c>
    </x:row>
    <x:row r="45" ht="34" customHeight="1">
      <x:c r="A45" s="6" t="str">
        <x:v>R0069</x:v>
      </x:c>
      <x:c r="B45" s="6" t="str">
        <x:v>海能未来技术集团股份有限公司</x:v>
      </x:c>
      <x:c r="C45" s="6" t="str">
        <x:v>财务数据</x:v>
      </x:c>
      <x:c r="D45" s="6" t="str">
        <x:v>归属于上市公司股东的净利润</x:v>
      </x:c>
      <x:c r="E45" s="6" t="str">
        <x:v>2025年度/期末2025-12-31</x:v>
      </x:c>
      <x:c r="F45" s="19" t="n">
        <x:v>42129735.84</x:v>
      </x:c>
      <x:c r="G45" s="6" t="str">
        <x:v>人民币元</x:v>
      </x:c>
      <x:c r="H45" s="19" t="n">
        <x:v>42129735.84</x:v>
      </x:c>
      <x:c r="I45" s="6" t="str">
        <x:v>人民币元</x:v>
      </x:c>
      <x:c r="J45" s="20" t="d">
        <x:v>2026-03-16T00:00:00.000Z</x:v>
      </x:c>
      <x:c r="K45" s="6" t="str">
        <x:v>F002</x:v>
      </x:c>
      <x:c r="L45" s="6" t="str">
        <x:v>已核实原值</x:v>
      </x:c>
      <x:c r="M45" s="6" t="str">
        <x:v>集团合并口径；金额为人民币元。</x:v>
      </x:c>
    </x:row>
    <x:row r="46" ht="34" customHeight="1">
      <x:c r="A46" s="6" t="str">
        <x:v>R0072</x:v>
      </x:c>
      <x:c r="B46" s="6" t="str">
        <x:v>海能未来技术集团股份有限公司</x:v>
      </x:c>
      <x:c r="C46" s="6" t="str">
        <x:v>财务数据</x:v>
      </x:c>
      <x:c r="D46" s="6" t="str">
        <x:v>归属于上市公司股东的净资产</x:v>
      </x:c>
      <x:c r="E46" s="6" t="str">
        <x:v>2025年度/期末2025-12-31</x:v>
      </x:c>
      <x:c r="F46" s="19" t="n">
        <x:v>449041889.6</x:v>
      </x:c>
      <x:c r="G46" s="6" t="str">
        <x:v>人民币元</x:v>
      </x:c>
      <x:c r="H46" s="19" t="n">
        <x:v>449041889.6</x:v>
      </x:c>
      <x:c r="I46" s="6" t="str">
        <x:v>人民币元</x:v>
      </x:c>
      <x:c r="J46" s="20" t="d">
        <x:v>2026-03-16T00:00:00.000Z</x:v>
      </x:c>
      <x:c r="K46" s="6" t="str">
        <x:v>F002</x:v>
      </x:c>
      <x:c r="L46" s="6" t="str">
        <x:v>已核实原值</x:v>
      </x:c>
      <x:c r="M46" s="6" t="str">
        <x:v>集团合并口径；金额为人民币元。</x:v>
      </x:c>
    </x:row>
    <x:row r="47" ht="34" customHeight="1">
      <x:c r="A47" s="6" t="str">
        <x:v>R0081</x:v>
      </x:c>
      <x:c r="B47" s="6" t="str">
        <x:v>海能未来技术集团股份有限公司</x:v>
      </x:c>
      <x:c r="C47" s="6" t="str">
        <x:v>财务数据</x:v>
      </x:c>
      <x:c r="D47" s="6" t="str">
        <x:v>所得税费用</x:v>
      </x:c>
      <x:c r="E47" s="6" t="str">
        <x:v>2025年度/期末2025-12-31</x:v>
      </x:c>
      <x:c r="F47" s="19" t="n">
        <x:v>4958191.88</x:v>
      </x:c>
      <x:c r="G47" s="6" t="str">
        <x:v>人民币元</x:v>
      </x:c>
      <x:c r="H47" s="19" t="n">
        <x:v>4958191.88</x:v>
      </x:c>
      <x:c r="I47" s="6" t="str">
        <x:v>人民币元</x:v>
      </x:c>
      <x:c r="J47" s="20" t="d">
        <x:v>2026-03-16T00:00:00.000Z</x:v>
      </x:c>
      <x:c r="K47" s="6" t="str">
        <x:v>F002</x:v>
      </x:c>
      <x:c r="L47" s="6" t="str">
        <x:v>已核实原值</x:v>
      </x:c>
      <x:c r="M47" s="6" t="str">
        <x:v>集团合并口径；金额为人民币元。</x:v>
      </x:c>
    </x:row>
    <x:row r="48" ht="34" customHeight="1">
      <x:c r="A48" s="6" t="str">
        <x:v>R0082</x:v>
      </x:c>
      <x:c r="B48" s="6" t="str">
        <x:v>海能未来技术集团股份有限公司</x:v>
      </x:c>
      <x:c r="C48" s="6" t="str">
        <x:v>财务数据</x:v>
      </x:c>
      <x:c r="D48" s="6" t="str">
        <x:v>投资活动产生的现金流量净额</x:v>
      </x:c>
      <x:c r="E48" s="6" t="str">
        <x:v>2025年度/期末2025-12-31</x:v>
      </x:c>
      <x:c r="F48" s="19" t="n">
        <x:v>-22691492.64</x:v>
      </x:c>
      <x:c r="G48" s="6" t="str">
        <x:v>人民币元</x:v>
      </x:c>
      <x:c r="H48" s="19" t="n">
        <x:v>-22691492.64</x:v>
      </x:c>
      <x:c r="I48" s="6" t="str">
        <x:v>人民币元</x:v>
      </x:c>
      <x:c r="J48" s="20" t="d">
        <x:v>2026-03-16T00:00:00.000Z</x:v>
      </x:c>
      <x:c r="K48" s="6" t="str">
        <x:v>F002</x:v>
      </x:c>
      <x:c r="L48" s="6" t="str">
        <x:v>已核实原值</x:v>
      </x:c>
      <x:c r="M48" s="6" t="str">
        <x:v>集团合并口径；金额为人民币元。</x:v>
      </x:c>
    </x:row>
    <x:row r="49" ht="34" customHeight="1">
      <x:c r="A49" s="6" t="str">
        <x:v>R0068</x:v>
      </x:c>
      <x:c r="B49" s="6" t="str">
        <x:v>海能未来技术集团股份有限公司</x:v>
      </x:c>
      <x:c r="C49" s="6" t="str">
        <x:v>财务数据</x:v>
      </x:c>
      <x:c r="D49" s="6" t="str">
        <x:v>毛利率%</x:v>
      </x:c>
      <x:c r="E49" s="6" t="str">
        <x:v>2025年度/期末2025-12-31</x:v>
      </x:c>
      <x:c r="F49" s="19" t="n">
        <x:v>65.04</x:v>
      </x:c>
      <x:c r="G49" s="6" t="str">
        <x:v>%</x:v>
      </x:c>
      <x:c r="H49" s="19" t="n">
        <x:v>65.04</x:v>
      </x:c>
      <x:c r="I49" s="6" t="str">
        <x:v>%</x:v>
      </x:c>
      <x:c r="J49" s="20" t="d">
        <x:v>2026-03-16T00:00:00.000Z</x:v>
      </x:c>
      <x:c r="K49" s="6" t="str">
        <x:v>F002</x:v>
      </x:c>
      <x:c r="L49" s="6" t="str">
        <x:v>已核实原值</x:v>
      </x:c>
      <x:c r="M49" s="6" t="str">
        <x:v>集团合并口径；金额为人民币元。</x:v>
      </x:c>
    </x:row>
    <x:row r="50" ht="34" customHeight="1">
      <x:c r="A50" s="6" t="str">
        <x:v>R0079</x:v>
      </x:c>
      <x:c r="B50" s="6" t="str">
        <x:v>海能未来技术集团股份有限公司</x:v>
      </x:c>
      <x:c r="C50" s="6" t="str">
        <x:v>财务数据</x:v>
      </x:c>
      <x:c r="D50" s="6" t="str">
        <x:v>研发费用</x:v>
      </x:c>
      <x:c r="E50" s="6" t="str">
        <x:v>2025年度/期末2025-12-31</x:v>
      </x:c>
      <x:c r="F50" s="19" t="n">
        <x:v>54114694.86</x:v>
      </x:c>
      <x:c r="G50" s="6" t="str">
        <x:v>人民币元</x:v>
      </x:c>
      <x:c r="H50" s="19" t="n">
        <x:v>54114694.86</x:v>
      </x:c>
      <x:c r="I50" s="6" t="str">
        <x:v>人民币元</x:v>
      </x:c>
      <x:c r="J50" s="20" t="d">
        <x:v>2026-03-16T00:00:00.000Z</x:v>
      </x:c>
      <x:c r="K50" s="6" t="str">
        <x:v>F002</x:v>
      </x:c>
      <x:c r="L50" s="6" t="str">
        <x:v>已核实原值</x:v>
      </x:c>
      <x:c r="M50" s="6" t="str">
        <x:v>集团合并口径；金额为人民币元。</x:v>
      </x:c>
    </x:row>
    <x:row r="51" ht="34" customHeight="1">
      <x:c r="A51" s="6" t="str">
        <x:v>R0083</x:v>
      </x:c>
      <x:c r="B51" s="6" t="str">
        <x:v>海能未来技术集团股份有限公司</x:v>
      </x:c>
      <x:c r="C51" s="6" t="str">
        <x:v>财务数据</x:v>
      </x:c>
      <x:c r="D51" s="6" t="str">
        <x:v>筹资活动产生的现金流量净额</x:v>
      </x:c>
      <x:c r="E51" s="6" t="str">
        <x:v>2025年度/期末2025-12-31</x:v>
      </x:c>
      <x:c r="F51" s="19" t="n">
        <x:v>-18905964.79</x:v>
      </x:c>
      <x:c r="G51" s="6" t="str">
        <x:v>人民币元</x:v>
      </x:c>
      <x:c r="H51" s="19" t="n">
        <x:v>-18905964.79</x:v>
      </x:c>
      <x:c r="I51" s="6" t="str">
        <x:v>人民币元</x:v>
      </x:c>
      <x:c r="J51" s="20" t="d">
        <x:v>2026-03-16T00:00:00.000Z</x:v>
      </x:c>
      <x:c r="K51" s="6" t="str">
        <x:v>F002</x:v>
      </x:c>
      <x:c r="L51" s="6" t="str">
        <x:v>已核实原值</x:v>
      </x:c>
      <x:c r="M51" s="6" t="str">
        <x:v>集团合并口径；金额为人民币元。</x:v>
      </x:c>
    </x:row>
    <x:row r="52" ht="34" customHeight="1">
      <x:c r="A52" s="6" t="str">
        <x:v>R0078</x:v>
      </x:c>
      <x:c r="B52" s="6" t="str">
        <x:v>海能未来技术集团股份有限公司</x:v>
      </x:c>
      <x:c r="C52" s="6" t="str">
        <x:v>财务数据</x:v>
      </x:c>
      <x:c r="D52" s="6" t="str">
        <x:v>管理费用</x:v>
      </x:c>
      <x:c r="E52" s="6" t="str">
        <x:v>2025年度/期末2025-12-31</x:v>
      </x:c>
      <x:c r="F52" s="19" t="n">
        <x:v>61218431.69</x:v>
      </x:c>
      <x:c r="G52" s="6" t="str">
        <x:v>人民币元</x:v>
      </x:c>
      <x:c r="H52" s="19" t="n">
        <x:v>61218431.69</x:v>
      </x:c>
      <x:c r="I52" s="6" t="str">
        <x:v>人民币元</x:v>
      </x:c>
      <x:c r="J52" s="20" t="d">
        <x:v>2026-03-16T00:00:00.000Z</x:v>
      </x:c>
      <x:c r="K52" s="6" t="str">
        <x:v>F002</x:v>
      </x:c>
      <x:c r="L52" s="6" t="str">
        <x:v>已核实原值</x:v>
      </x:c>
      <x:c r="M52" s="6" t="str">
        <x:v>集团合并口径；金额为人民币元。</x:v>
      </x:c>
    </x:row>
    <x:row r="53" ht="34" customHeight="1">
      <x:c r="A53" s="6" t="str">
        <x:v>R0075</x:v>
      </x:c>
      <x:c r="B53" s="6" t="str">
        <x:v>海能未来技术集团股份有限公司</x:v>
      </x:c>
      <x:c r="C53" s="6" t="str">
        <x:v>财务数据</x:v>
      </x:c>
      <x:c r="D53" s="6" t="str">
        <x:v>经营活动产生的现金流量净额</x:v>
      </x:c>
      <x:c r="E53" s="6" t="str">
        <x:v>2025年度/期末2025-12-31</x:v>
      </x:c>
      <x:c r="F53" s="19" t="n">
        <x:v>50521242.74</x:v>
      </x:c>
      <x:c r="G53" s="6" t="str">
        <x:v>人民币元</x:v>
      </x:c>
      <x:c r="H53" s="19" t="n">
        <x:v>50521242.74</x:v>
      </x:c>
      <x:c r="I53" s="6" t="str">
        <x:v>人民币元</x:v>
      </x:c>
      <x:c r="J53" s="20" t="d">
        <x:v>2026-03-16T00:00:00.000Z</x:v>
      </x:c>
      <x:c r="K53" s="6" t="str">
        <x:v>F002</x:v>
      </x:c>
      <x:c r="L53" s="6" t="str">
        <x:v>已核实原值</x:v>
      </x:c>
      <x:c r="M53" s="6" t="str">
        <x:v>集团合并口径；金额为人民币元。</x:v>
      </x:c>
    </x:row>
    <x:row r="54" ht="34" customHeight="1">
      <x:c r="A54" s="6" t="str">
        <x:v>R0076</x:v>
      </x:c>
      <x:c r="B54" s="6" t="str">
        <x:v>海能未来技术集团股份有限公司</x:v>
      </x:c>
      <x:c r="C54" s="6" t="str">
        <x:v>财务数据</x:v>
      </x:c>
      <x:c r="D54" s="6" t="str">
        <x:v>营业成本</x:v>
      </x:c>
      <x:c r="E54" s="6" t="str">
        <x:v>2025年度/期末2025-12-31</x:v>
      </x:c>
      <x:c r="F54" s="19" t="n">
        <x:v>126486821.62</x:v>
      </x:c>
      <x:c r="G54" s="6" t="str">
        <x:v>人民币元</x:v>
      </x:c>
      <x:c r="H54" s="19" t="n">
        <x:v>126486821.62</x:v>
      </x:c>
      <x:c r="I54" s="6" t="str">
        <x:v>人民币元</x:v>
      </x:c>
      <x:c r="J54" s="20" t="d">
        <x:v>2026-03-16T00:00:00.000Z</x:v>
      </x:c>
      <x:c r="K54" s="6" t="str">
        <x:v>F002</x:v>
      </x:c>
      <x:c r="L54" s="6" t="str">
        <x:v>已核实原值</x:v>
      </x:c>
      <x:c r="M54" s="6" t="str">
        <x:v>集团合并口径；金额为人民币元。</x:v>
      </x:c>
    </x:row>
    <x:row r="55" ht="34" customHeight="1">
      <x:c r="A55" s="6" t="str">
        <x:v>R0067</x:v>
      </x:c>
      <x:c r="B55" s="6" t="str">
        <x:v>海能未来技术集团股份有限公司</x:v>
      </x:c>
      <x:c r="C55" s="6" t="str">
        <x:v>财务数据</x:v>
      </x:c>
      <x:c r="D55" s="6" t="str">
        <x:v>营业收入</x:v>
      </x:c>
      <x:c r="E55" s="6" t="str">
        <x:v>2025年度/期末2025-12-31</x:v>
      </x:c>
      <x:c r="F55" s="19" t="n">
        <x:v>361850165.54</x:v>
      </x:c>
      <x:c r="G55" s="6" t="str">
        <x:v>人民币元</x:v>
      </x:c>
      <x:c r="H55" s="19" t="n">
        <x:v>361850165.54</x:v>
      </x:c>
      <x:c r="I55" s="6" t="str">
        <x:v>人民币元</x:v>
      </x:c>
      <x:c r="J55" s="20" t="d">
        <x:v>2026-03-16T00:00:00.000Z</x:v>
      </x:c>
      <x:c r="K55" s="6" t="str">
        <x:v>F002</x:v>
      </x:c>
      <x:c r="L55" s="6" t="str">
        <x:v>已核实原值</x:v>
      </x:c>
      <x:c r="M55" s="6" t="str">
        <x:v>集团合并口径；金额为人民币元。</x:v>
      </x:c>
    </x:row>
    <x:row r="56" ht="34" customHeight="1">
      <x:c r="A56" s="6" t="str">
        <x:v>R0071</x:v>
      </x:c>
      <x:c r="B56" s="6" t="str">
        <x:v>海能未来技术集团股份有限公司</x:v>
      </x:c>
      <x:c r="C56" s="6" t="str">
        <x:v>财务数据</x:v>
      </x:c>
      <x:c r="D56" s="6" t="str">
        <x:v>负债总计</x:v>
      </x:c>
      <x:c r="E56" s="6" t="str">
        <x:v>2025年度/期末2025-12-31</x:v>
      </x:c>
      <x:c r="F56" s="19" t="n">
        <x:v>132220447.86</x:v>
      </x:c>
      <x:c r="G56" s="6" t="str">
        <x:v>人民币元</x:v>
      </x:c>
      <x:c r="H56" s="19" t="n">
        <x:v>132220447.86</x:v>
      </x:c>
      <x:c r="I56" s="6" t="str">
        <x:v>人民币元</x:v>
      </x:c>
      <x:c r="J56" s="20" t="d">
        <x:v>2026-03-16T00:00:00.000Z</x:v>
      </x:c>
      <x:c r="K56" s="6" t="str">
        <x:v>F002</x:v>
      </x:c>
      <x:c r="L56" s="6" t="str">
        <x:v>已核实原值</x:v>
      </x:c>
      <x:c r="M56" s="6" t="str">
        <x:v>集团合并口径；金额为人民币元。</x:v>
      </x:c>
    </x:row>
    <x:row r="57" ht="34" customHeight="1">
      <x:c r="A57" s="6" t="str">
        <x:v>R0070</x:v>
      </x:c>
      <x:c r="B57" s="6" t="str">
        <x:v>海能未来技术集团股份有限公司</x:v>
      </x:c>
      <x:c r="C57" s="6" t="str">
        <x:v>财务数据</x:v>
      </x:c>
      <x:c r="D57" s="6" t="str">
        <x:v>资产总计</x:v>
      </x:c>
      <x:c r="E57" s="6" t="str">
        <x:v>2025年度/期末2025-12-31</x:v>
      </x:c>
      <x:c r="F57" s="19" t="n">
        <x:v>577396084.86</x:v>
      </x:c>
      <x:c r="G57" s="6" t="str">
        <x:v>人民币元</x:v>
      </x:c>
      <x:c r="H57" s="19" t="n">
        <x:v>577396084.86</x:v>
      </x:c>
      <x:c r="I57" s="6" t="str">
        <x:v>人民币元</x:v>
      </x:c>
      <x:c r="J57" s="20" t="d">
        <x:v>2026-03-16T00:00:00.000Z</x:v>
      </x:c>
      <x:c r="K57" s="6" t="str">
        <x:v>F002</x:v>
      </x:c>
      <x:c r="L57" s="6" t="str">
        <x:v>已核实原值</x:v>
      </x:c>
      <x:c r="M57" s="6" t="str">
        <x:v>集团合并口径；金额为人民币元。</x:v>
      </x:c>
    </x:row>
    <x:row r="58" ht="34" customHeight="1">
      <x:c r="A58" s="6" t="str">
        <x:v>R0074</x:v>
      </x:c>
      <x:c r="B58" s="6" t="str">
        <x:v>海能未来技术集团股份有限公司</x:v>
      </x:c>
      <x:c r="C58" s="6" t="str">
        <x:v>财务数据</x:v>
      </x:c>
      <x:c r="D58" s="6" t="str">
        <x:v>资产负债率%(合并)</x:v>
      </x:c>
      <x:c r="E58" s="6" t="str">
        <x:v>2025年度/期末2025-12-31</x:v>
      </x:c>
      <x:c r="F58" s="19" t="n">
        <x:v>22.9</x:v>
      </x:c>
      <x:c r="G58" s="6" t="str">
        <x:v>%</x:v>
      </x:c>
      <x:c r="H58" s="19" t="n">
        <x:v>22.9</x:v>
      </x:c>
      <x:c r="I58" s="6" t="str">
        <x:v>%</x:v>
      </x:c>
      <x:c r="J58" s="20" t="d">
        <x:v>2026-03-16T00:00:00.000Z</x:v>
      </x:c>
      <x:c r="K58" s="6" t="str">
        <x:v>F002</x:v>
      </x:c>
      <x:c r="L58" s="6" t="str">
        <x:v>已核实原值</x:v>
      </x:c>
      <x:c r="M58" s="6" t="str">
        <x:v>集团合并口径；金额为人民币元。</x:v>
      </x:c>
    </x:row>
    <x:row r="59" ht="34" customHeight="1">
      <x:c r="A59" s="6" t="str">
        <x:v>R0073</x:v>
      </x:c>
      <x:c r="B59" s="6" t="str">
        <x:v>海能未来技术集团股份有限公司</x:v>
      </x:c>
      <x:c r="C59" s="6" t="str">
        <x:v>财务数据</x:v>
      </x:c>
      <x:c r="D59" s="6" t="str">
        <x:v>资产负债率%(母公司)</x:v>
      </x:c>
      <x:c r="E59" s="6" t="str">
        <x:v>2025年度/期末2025-12-31</x:v>
      </x:c>
      <x:c r="F59" s="19" t="n">
        <x:v>11.38</x:v>
      </x:c>
      <x:c r="G59" s="6" t="str">
        <x:v>%</x:v>
      </x:c>
      <x:c r="H59" s="19" t="n">
        <x:v>11.38</x:v>
      </x:c>
      <x:c r="I59" s="6" t="str">
        <x:v>%</x:v>
      </x:c>
      <x:c r="J59" s="20" t="d">
        <x:v>2026-03-16T00:00:00.000Z</x:v>
      </x:c>
      <x:c r="K59" s="6" t="str">
        <x:v>F002</x:v>
      </x:c>
      <x:c r="L59" s="6" t="str">
        <x:v>已核实原值</x:v>
      </x:c>
      <x:c r="M59" s="6" t="str">
        <x:v>母公司单体资产负债率，非集团合并口径。</x:v>
      </x:c>
    </x:row>
    <x:row r="60" ht="34" customHeight="1">
      <x:c r="A60" s="6" t="str">
        <x:v>R0077</x:v>
      </x:c>
      <x:c r="B60" s="6" t="str">
        <x:v>海能未来技术集团股份有限公司</x:v>
      </x:c>
      <x:c r="C60" s="6" t="str">
        <x:v>财务数据</x:v>
      </x:c>
      <x:c r="D60" s="6" t="str">
        <x:v>销售费用</x:v>
      </x:c>
      <x:c r="E60" s="6" t="str">
        <x:v>2025年度/期末2025-12-31</x:v>
      </x:c>
      <x:c r="F60" s="19" t="n">
        <x:v>80818889.67</x:v>
      </x:c>
      <x:c r="G60" s="6" t="str">
        <x:v>人民币元</x:v>
      </x:c>
      <x:c r="H60" s="19" t="n">
        <x:v>80818889.67</x:v>
      </x:c>
      <x:c r="I60" s="6" t="str">
        <x:v>人民币元</x:v>
      </x:c>
      <x:c r="J60" s="20" t="d">
        <x:v>2026-03-16T00:00:00.000Z</x:v>
      </x:c>
      <x:c r="K60" s="6" t="str">
        <x:v>F002</x:v>
      </x:c>
      <x:c r="L60" s="6" t="str">
        <x:v>已核实原值</x:v>
      </x:c>
      <x:c r="M60" s="6" t="str">
        <x:v>集团合并口径；金额为人民币元。</x:v>
      </x:c>
    </x:row>
    <x:row r="61" ht="40" customHeight="1">
      <x:c r="A61" s="6" t="str">
        <x:v>R0243</x:v>
      </x:c>
      <x:c r="B61" s="6" t="str">
        <x:v>海能未来技术集团股份有限公司</x:v>
      </x:c>
      <x:c r="C61" s="6" t="str">
        <x:v>财务数据</x:v>
      </x:c>
      <x:c r="D61" s="6" t="str">
        <x:v>归属于上市公司股东的净利润</x:v>
      </x:c>
      <x:c r="E61" s="6" t="str">
        <x:v>2026年一季度/期末2026-03-31</x:v>
      </x:c>
      <x:c r="F61" s="19" t="n">
        <x:v>-285088.83</x:v>
      </x:c>
      <x:c r="G61" s="6" t="str">
        <x:v>人民币元</x:v>
      </x:c>
      <x:c r="H61" s="19" t="n">
        <x:v>-285088.83</x:v>
      </x:c>
      <x:c r="I61" s="6" t="str">
        <x:v>人民币元</x:v>
      </x:c>
      <x:c r="J61" s="20" t="d">
        <x:v>2026-04-27T00:00:00.000Z</x:v>
      </x:c>
      <x:c r="K61" s="6" t="str">
        <x:v>F004</x:v>
      </x:c>
      <x:c r="L61" s="6" t="str">
        <x:v>已核实原值</x:v>
      </x:c>
      <x:c r="M61" s="6" t="str">
        <x:v>集团合并，未经审计；损益为年初至报告期末（F004为1-3月，F005为1-9月），非单季度。母公司资产负债率除外。</x:v>
      </x:c>
    </x:row>
    <x:row r="62" ht="40" customHeight="1">
      <x:c r="A62" s="6" t="str">
        <x:v>R0239</x:v>
      </x:c>
      <x:c r="B62" s="6" t="str">
        <x:v>海能未来技术集团股份有限公司</x:v>
      </x:c>
      <x:c r="C62" s="6" t="str">
        <x:v>财务数据</x:v>
      </x:c>
      <x:c r="D62" s="6" t="str">
        <x:v>归属于上市公司股东的净资产</x:v>
      </x:c>
      <x:c r="E62" s="6" t="str">
        <x:v>2026年一季度/期末2026-03-31</x:v>
      </x:c>
      <x:c r="F62" s="19" t="n">
        <x:v>447760719.88</x:v>
      </x:c>
      <x:c r="G62" s="6" t="str">
        <x:v>人民币元</x:v>
      </x:c>
      <x:c r="H62" s="19" t="n">
        <x:v>447760719.88</x:v>
      </x:c>
      <x:c r="I62" s="6" t="str">
        <x:v>人民币元</x:v>
      </x:c>
      <x:c r="J62" s="20" t="d">
        <x:v>2026-04-27T00:00:00.000Z</x:v>
      </x:c>
      <x:c r="K62" s="6" t="str">
        <x:v>F004</x:v>
      </x:c>
      <x:c r="L62" s="6" t="str">
        <x:v>已核实原值</x:v>
      </x:c>
      <x:c r="M62" s="6" t="str">
        <x:v>集团合并，未经审计；损益为年初至报告期末（F004为1-3月，F005为1-9月），非单季度。母公司资产负债率除外。</x:v>
      </x:c>
    </x:row>
    <x:row r="63" ht="40" customHeight="1">
      <x:c r="A63" s="6" t="str">
        <x:v>R0244</x:v>
      </x:c>
      <x:c r="B63" s="6" t="str">
        <x:v>海能未来技术集团股份有限公司</x:v>
      </x:c>
      <x:c r="C63" s="6" t="str">
        <x:v>财务数据</x:v>
      </x:c>
      <x:c r="D63" s="6" t="str">
        <x:v>经营活动产生的现金流量净额</x:v>
      </x:c>
      <x:c r="E63" s="6" t="str">
        <x:v>2026年一季度/期末2026-03-31</x:v>
      </x:c>
      <x:c r="F63" s="19" t="n">
        <x:v>-18906849.39</x:v>
      </x:c>
      <x:c r="G63" s="6" t="str">
        <x:v>人民币元</x:v>
      </x:c>
      <x:c r="H63" s="19" t="n">
        <x:v>-18906849.39</x:v>
      </x:c>
      <x:c r="I63" s="6" t="str">
        <x:v>人民币元</x:v>
      </x:c>
      <x:c r="J63" s="20" t="d">
        <x:v>2026-04-27T00:00:00.000Z</x:v>
      </x:c>
      <x:c r="K63" s="6" t="str">
        <x:v>F004</x:v>
      </x:c>
      <x:c r="L63" s="6" t="str">
        <x:v>已核实原值</x:v>
      </x:c>
      <x:c r="M63" s="6" t="str">
        <x:v>集团合并，未经审计；损益为年初至报告期末（F004为1-3月，F005为1-9月），非单季度。母公司资产负债率除外。</x:v>
      </x:c>
    </x:row>
    <x:row r="64" ht="40" customHeight="1">
      <x:c r="A64" s="6" t="str">
        <x:v>R0242</x:v>
      </x:c>
      <x:c r="B64" s="6" t="str">
        <x:v>海能未来技术集团股份有限公司</x:v>
      </x:c>
      <x:c r="C64" s="6" t="str">
        <x:v>财务数据</x:v>
      </x:c>
      <x:c r="D64" s="6" t="str">
        <x:v>营业收入</x:v>
      </x:c>
      <x:c r="E64" s="6" t="str">
        <x:v>2026年一季度/期末2026-03-31</x:v>
      </x:c>
      <x:c r="F64" s="19" t="n">
        <x:v>66424451.2</x:v>
      </x:c>
      <x:c r="G64" s="6" t="str">
        <x:v>人民币元</x:v>
      </x:c>
      <x:c r="H64" s="19" t="n">
        <x:v>66424451.2</x:v>
      </x:c>
      <x:c r="I64" s="6" t="str">
        <x:v>人民币元</x:v>
      </x:c>
      <x:c r="J64" s="20" t="d">
        <x:v>2026-04-27T00:00:00.000Z</x:v>
      </x:c>
      <x:c r="K64" s="6" t="str">
        <x:v>F004</x:v>
      </x:c>
      <x:c r="L64" s="6" t="str">
        <x:v>已核实原值</x:v>
      </x:c>
      <x:c r="M64" s="6" t="str">
        <x:v>集团合并，未经审计；损益为年初至报告期末（F004为1-3月，F005为1-9月），非单季度。母公司资产负债率除外。</x:v>
      </x:c>
    </x:row>
    <x:row r="65" ht="40" customHeight="1">
      <x:c r="A65" s="6" t="str">
        <x:v>R0238</x:v>
      </x:c>
      <x:c r="B65" s="6" t="str">
        <x:v>海能未来技术集团股份有限公司</x:v>
      </x:c>
      <x:c r="C65" s="6" t="str">
        <x:v>财务数据</x:v>
      </x:c>
      <x:c r="D65" s="6" t="str">
        <x:v>资产总计</x:v>
      </x:c>
      <x:c r="E65" s="6" t="str">
        <x:v>2026年一季度/期末2026-03-31</x:v>
      </x:c>
      <x:c r="F65" s="19" t="n">
        <x:v>563586080.76</x:v>
      </x:c>
      <x:c r="G65" s="6" t="str">
        <x:v>人民币元</x:v>
      </x:c>
      <x:c r="H65" s="19" t="n">
        <x:v>563586080.76</x:v>
      </x:c>
      <x:c r="I65" s="6" t="str">
        <x:v>人民币元</x:v>
      </x:c>
      <x:c r="J65" s="20" t="d">
        <x:v>2026-04-27T00:00:00.000Z</x:v>
      </x:c>
      <x:c r="K65" s="6" t="str">
        <x:v>F004</x:v>
      </x:c>
      <x:c r="L65" s="6" t="str">
        <x:v>已核实原值</x:v>
      </x:c>
      <x:c r="M65" s="6" t="str">
        <x:v>集团合并，未经审计；损益为年初至报告期末（F004为1-3月，F005为1-9月），非单季度。母公司资产负债率除外。</x:v>
      </x:c>
    </x:row>
    <x:row r="66" ht="40" customHeight="1">
      <x:c r="A66" s="6" t="str">
        <x:v>R0241</x:v>
      </x:c>
      <x:c r="B66" s="6" t="str">
        <x:v>海能未来技术集团股份有限公司</x:v>
      </x:c>
      <x:c r="C66" s="6" t="str">
        <x:v>财务数据</x:v>
      </x:c>
      <x:c r="D66" s="6" t="str">
        <x:v>资产负债率%(合并)</x:v>
      </x:c>
      <x:c r="E66" s="6" t="str">
        <x:v>2026年一季度/期末2026-03-31</x:v>
      </x:c>
      <x:c r="F66" s="19" t="n">
        <x:v>21.5</x:v>
      </x:c>
      <x:c r="G66" s="6" t="str">
        <x:v>%</x:v>
      </x:c>
      <x:c r="H66" s="19" t="n">
        <x:v>21.5</x:v>
      </x:c>
      <x:c r="I66" s="6" t="str">
        <x:v>%</x:v>
      </x:c>
      <x:c r="J66" s="20" t="d">
        <x:v>2026-04-27T00:00:00.000Z</x:v>
      </x:c>
      <x:c r="K66" s="6" t="str">
        <x:v>F004</x:v>
      </x:c>
      <x:c r="L66" s="6" t="str">
        <x:v>已核实原值</x:v>
      </x:c>
      <x:c r="M66" s="6" t="str">
        <x:v>集团合并，未经审计；损益为年初至报告期末（F004为1-3月，F005为1-9月），非单季度。母公司资产负债率除外。</x:v>
      </x:c>
    </x:row>
    <x:row r="67" ht="34" customHeight="1">
      <x:c r="A67" s="6" t="str">
        <x:v>R0240</x:v>
      </x:c>
      <x:c r="B67" s="6" t="str">
        <x:v>海能未来技术集团股份有限公司</x:v>
      </x:c>
      <x:c r="C67" s="6" t="str">
        <x:v>财务数据</x:v>
      </x:c>
      <x:c r="D67" s="6" t="str">
        <x:v>资产负债率%(母公司)</x:v>
      </x:c>
      <x:c r="E67" s="6" t="str">
        <x:v>2026年一季度/期末2026-03-31</x:v>
      </x:c>
      <x:c r="F67" s="19" t="n">
        <x:v>13.1</x:v>
      </x:c>
      <x:c r="G67" s="6" t="str">
        <x:v>%</x:v>
      </x:c>
      <x:c r="H67" s="19" t="n">
        <x:v>13.1</x:v>
      </x:c>
      <x:c r="I67" s="6" t="str">
        <x:v>%</x:v>
      </x:c>
      <x:c r="J67" s="20" t="d">
        <x:v>2026-04-27T00:00:00.000Z</x:v>
      </x:c>
      <x:c r="K67" s="6" t="str">
        <x:v>F004</x:v>
      </x:c>
      <x:c r="L67" s="6" t="str">
        <x:v>已核实原值</x:v>
      </x:c>
      <x:c r="M67" s="6" t="str">
        <x:v>母公司单体资产负债率，非集团合并口径。</x:v>
      </x:c>
    </x:row>
    <x:row r="68" ht="40" customHeight="1">
      <x:c r="A68" s="6" t="str">
        <x:v>R0063</x:v>
      </x:c>
      <x:c r="B68" s="6" t="str">
        <x:v>海能未来技术集团股份有限公司</x:v>
      </x:c>
      <x:c r="C68" s="6" t="str">
        <x:v>财务数据</x:v>
      </x:c>
      <x:c r="D68" s="6" t="str">
        <x:v>主营业务收入</x:v>
      </x:c>
      <x:c r="E68" s="6" t="str">
        <x:v>2026年上半年/期末2026-06-30</x:v>
      </x:c>
      <x:c r="F68" s="19" t="n">
        <x:v>158092601.31</x:v>
      </x:c>
      <x:c r="G68" s="6" t="str">
        <x:v>人民币元</x:v>
      </x:c>
      <x:c r="H68" s="19" t="n">
        <x:v>158092601.31</x:v>
      </x:c>
      <x:c r="I68" s="6" t="str">
        <x:v>人民币元</x:v>
      </x:c>
      <x:c r="J68" s="20" t="d">
        <x:v>2026-08-17T00:00:00.000Z</x:v>
      </x:c>
      <x:c r="K68" s="6" t="str">
        <x:v>F001</x:v>
      </x:c>
      <x:c r="L68" s="6" t="str">
        <x:v>已核实原值</x:v>
      </x:c>
      <x:c r="M68" s="6" t="str">
        <x:v>集团合并口径；金额为人民币元。 2026年1-6月/2026-06-30，半年度财务报告未经审计。</x:v>
      </x:c>
    </x:row>
    <x:row r="69" ht="40" customHeight="1">
      <x:c r="A69" s="6" t="str">
        <x:v>R0064</x:v>
      </x:c>
      <x:c r="B69" s="6" t="str">
        <x:v>海能未来技术集团股份有限公司</x:v>
      </x:c>
      <x:c r="C69" s="6" t="str">
        <x:v>财务数据</x:v>
      </x:c>
      <x:c r="D69" s="6" t="str">
        <x:v>其他业务收入</x:v>
      </x:c>
      <x:c r="E69" s="6" t="str">
        <x:v>2026年上半年/期末2026-06-30</x:v>
      </x:c>
      <x:c r="F69" s="19" t="n">
        <x:v>465010.03</x:v>
      </x:c>
      <x:c r="G69" s="6" t="str">
        <x:v>人民币元</x:v>
      </x:c>
      <x:c r="H69" s="19" t="n">
        <x:v>465010.03</x:v>
      </x:c>
      <x:c r="I69" s="6" t="str">
        <x:v>人民币元</x:v>
      </x:c>
      <x:c r="J69" s="20" t="d">
        <x:v>2026-08-17T00:00:00.000Z</x:v>
      </x:c>
      <x:c r="K69" s="6" t="str">
        <x:v>F001</x:v>
      </x:c>
      <x:c r="L69" s="6" t="str">
        <x:v>已核实原值</x:v>
      </x:c>
      <x:c r="M69" s="6" t="str">
        <x:v>集团合并口径；金额为人民币元。 2026年1-6月/2026-06-30，半年度财务报告未经审计。</x:v>
      </x:c>
    </x:row>
    <x:row r="70" ht="40" customHeight="1">
      <x:c r="A70" s="6" t="str">
        <x:v>R0061</x:v>
      </x:c>
      <x:c r="B70" s="6" t="str">
        <x:v>海能未来技术集团股份有限公司</x:v>
      </x:c>
      <x:c r="C70" s="6" t="str">
        <x:v>财务数据</x:v>
      </x:c>
      <x:c r="D70" s="6" t="str">
        <x:v>净利润</x:v>
      </x:c>
      <x:c r="E70" s="6" t="str">
        <x:v>2026年上半年/期末2026-06-30</x:v>
      </x:c>
      <x:c r="F70" s="19" t="n">
        <x:v>9378155.88</x:v>
      </x:c>
      <x:c r="G70" s="6" t="str">
        <x:v>人民币元</x:v>
      </x:c>
      <x:c r="H70" s="19" t="n">
        <x:v>9378155.88</x:v>
      </x:c>
      <x:c r="I70" s="6" t="str">
        <x:v>人民币元</x:v>
      </x:c>
      <x:c r="J70" s="20" t="d">
        <x:v>2026-08-17T00:00:00.000Z</x:v>
      </x:c>
      <x:c r="K70" s="6" t="str">
        <x:v>F001</x:v>
      </x:c>
      <x:c r="L70" s="6" t="str">
        <x:v>已核实原值</x:v>
      </x:c>
      <x:c r="M70" s="6" t="str">
        <x:v>集团合并口径；金额为人民币元。 2026年1-6月/2026-06-30，半年度财务报告未经审计。</x:v>
      </x:c>
    </x:row>
    <x:row r="71" ht="40" customHeight="1">
      <x:c r="A71" s="6" t="str">
        <x:v>R0037</x:v>
      </x:c>
      <x:c r="B71" s="6" t="str">
        <x:v>海能未来技术集团股份有限公司</x:v>
      </x:c>
      <x:c r="C71" s="6" t="str">
        <x:v>财务数据</x:v>
      </x:c>
      <x:c r="D71" s="6" t="str">
        <x:v>利息保障倍数</x:v>
      </x:c>
      <x:c r="E71" s="6" t="str">
        <x:v>2026年上半年/期末2026-06-30</x:v>
      </x:c>
      <x:c r="F71" s="19" t="n">
        <x:v>17.63</x:v>
      </x:c>
      <x:c r="G71" s="6" t="str">
        <x:v>倍</x:v>
      </x:c>
      <x:c r="H71" s="19" t="n">
        <x:v>17.63</x:v>
      </x:c>
      <x:c r="I71" s="6" t="str">
        <x:v>倍</x:v>
      </x:c>
      <x:c r="J71" s="20" t="d">
        <x:v>2026-08-17T00:00:00.000Z</x:v>
      </x:c>
      <x:c r="K71" s="6" t="str">
        <x:v>F001</x:v>
      </x:c>
      <x:c r="L71" s="6" t="str">
        <x:v>已核实原值</x:v>
      </x:c>
      <x:c r="M71" s="6" t="str">
        <x:v>集团合并口径；金额为人民币元。 2026年1-6月/2026-06-30，半年度财务报告未经审计。</x:v>
      </x:c>
    </x:row>
    <x:row r="72" ht="40" customHeight="1">
      <x:c r="A72" s="6" t="str">
        <x:v>R0053</x:v>
      </x:c>
      <x:c r="B72" s="6" t="str">
        <x:v>海能未来技术集团股份有限公司</x:v>
      </x:c>
      <x:c r="C72" s="6" t="str">
        <x:v>财务数据</x:v>
      </x:c>
      <x:c r="D72" s="6" t="str">
        <x:v>合同负债</x:v>
      </x:c>
      <x:c r="E72" s="6" t="str">
        <x:v>2026年上半年/期末2026-06-30</x:v>
      </x:c>
      <x:c r="F72" s="19" t="n">
        <x:v>18626258.56</x:v>
      </x:c>
      <x:c r="G72" s="6" t="str">
        <x:v>人民币元</x:v>
      </x:c>
      <x:c r="H72" s="19" t="n">
        <x:v>18626258.56</x:v>
      </x:c>
      <x:c r="I72" s="6" t="str">
        <x:v>人民币元</x:v>
      </x:c>
      <x:c r="J72" s="20" t="d">
        <x:v>2026-08-17T00:00:00.000Z</x:v>
      </x:c>
      <x:c r="K72" s="6" t="str">
        <x:v>F001</x:v>
      </x:c>
      <x:c r="L72" s="6" t="str">
        <x:v>已核实原值</x:v>
      </x:c>
      <x:c r="M72" s="6" t="str">
        <x:v>集团合并口径；金额为人民币元。 2026年1-6月/2026-06-30，半年度财务报告未经审计。</x:v>
      </x:c>
    </x:row>
    <x:row r="73" ht="40" customHeight="1">
      <x:c r="A73" s="6" t="str">
        <x:v>R0050</x:v>
      </x:c>
      <x:c r="B73" s="6" t="str">
        <x:v>海能未来技术集团股份有限公司</x:v>
      </x:c>
      <x:c r="C73" s="6" t="str">
        <x:v>财务数据</x:v>
      </x:c>
      <x:c r="D73" s="6" t="str">
        <x:v>商誉</x:v>
      </x:c>
      <x:c r="E73" s="6" t="str">
        <x:v>2026年上半年/期末2026-06-30</x:v>
      </x:c>
      <x:c r="F73" s="19" t="n">
        <x:v>80409708.03</x:v>
      </x:c>
      <x:c r="G73" s="6" t="str">
        <x:v>人民币元</x:v>
      </x:c>
      <x:c r="H73" s="19" t="n">
        <x:v>80409708.03</x:v>
      </x:c>
      <x:c r="I73" s="6" t="str">
        <x:v>人民币元</x:v>
      </x:c>
      <x:c r="J73" s="20" t="d">
        <x:v>2026-08-17T00:00:00.000Z</x:v>
      </x:c>
      <x:c r="K73" s="6" t="str">
        <x:v>F001</x:v>
      </x:c>
      <x:c r="L73" s="6" t="str">
        <x:v>已核实原值</x:v>
      </x:c>
      <x:c r="M73" s="6" t="str">
        <x:v>集团合并口径；金额为人民币元。 2026年1-6月/2026-06-30，半年度财务报告未经审计。</x:v>
      </x:c>
    </x:row>
    <x:row r="74" ht="40" customHeight="1">
      <x:c r="A74" s="6" t="str">
        <x:v>R0047</x:v>
      </x:c>
      <x:c r="B74" s="6" t="str">
        <x:v>海能未来技术集团股份有限公司</x:v>
      </x:c>
      <x:c r="C74" s="6" t="str">
        <x:v>财务数据</x:v>
      </x:c>
      <x:c r="D74" s="6" t="str">
        <x:v>固定资产</x:v>
      </x:c>
      <x:c r="E74" s="6" t="str">
        <x:v>2026年上半年/期末2026-06-30</x:v>
      </x:c>
      <x:c r="F74" s="19" t="n">
        <x:v>113812061.16</x:v>
      </x:c>
      <x:c r="G74" s="6" t="str">
        <x:v>人民币元</x:v>
      </x:c>
      <x:c r="H74" s="19" t="n">
        <x:v>113812061.16</x:v>
      </x:c>
      <x:c r="I74" s="6" t="str">
        <x:v>人民币元</x:v>
      </x:c>
      <x:c r="J74" s="20" t="d">
        <x:v>2026-08-17T00:00:00.000Z</x:v>
      </x:c>
      <x:c r="K74" s="6" t="str">
        <x:v>F001</x:v>
      </x:c>
      <x:c r="L74" s="6" t="str">
        <x:v>已核实原值</x:v>
      </x:c>
      <x:c r="M74" s="6" t="str">
        <x:v>集团合并口径；金额为人民币元。 2026年1-6月/2026-06-30，半年度财务报告未经审计。</x:v>
      </x:c>
    </x:row>
    <x:row r="75" ht="40" customHeight="1">
      <x:c r="A75" s="6" t="str">
        <x:v>R0048</x:v>
      </x:c>
      <x:c r="B75" s="6" t="str">
        <x:v>海能未来技术集团股份有限公司</x:v>
      </x:c>
      <x:c r="C75" s="6" t="str">
        <x:v>财务数据</x:v>
      </x:c>
      <x:c r="D75" s="6" t="str">
        <x:v>在建工程</x:v>
      </x:c>
      <x:c r="E75" s="6" t="str">
        <x:v>2026年上半年/期末2026-06-30</x:v>
      </x:c>
      <x:c r="F75" s="19" t="n">
        <x:v>14285237.74</x:v>
      </x:c>
      <x:c r="G75" s="6" t="str">
        <x:v>人民币元</x:v>
      </x:c>
      <x:c r="H75" s="19" t="n">
        <x:v>14285237.74</x:v>
      </x:c>
      <x:c r="I75" s="6" t="str">
        <x:v>人民币元</x:v>
      </x:c>
      <x:c r="J75" s="20" t="d">
        <x:v>2026-08-17T00:00:00.000Z</x:v>
      </x:c>
      <x:c r="K75" s="6" t="str">
        <x:v>F001</x:v>
      </x:c>
      <x:c r="L75" s="6" t="str">
        <x:v>已核实原值</x:v>
      </x:c>
      <x:c r="M75" s="6" t="str">
        <x:v>集团合并口径；金额为人民币元。 2026年1-6月/2026-06-30，半年度财务报告未经审计。</x:v>
      </x:c>
    </x:row>
    <x:row r="76" ht="40" customHeight="1">
      <x:c r="A76" s="6" t="str">
        <x:v>R0045</x:v>
      </x:c>
      <x:c r="B76" s="6" t="str">
        <x:v>海能未来技术集团股份有限公司</x:v>
      </x:c>
      <x:c r="C76" s="6" t="str">
        <x:v>财务数据</x:v>
      </x:c>
      <x:c r="D76" s="6" t="str">
        <x:v>存货</x:v>
      </x:c>
      <x:c r="E76" s="6" t="str">
        <x:v>2026年上半年/期末2026-06-30</x:v>
      </x:c>
      <x:c r="F76" s="19" t="n">
        <x:v>86084561.63</x:v>
      </x:c>
      <x:c r="G76" s="6" t="str">
        <x:v>人民币元</x:v>
      </x:c>
      <x:c r="H76" s="19" t="n">
        <x:v>86084561.63</x:v>
      </x:c>
      <x:c r="I76" s="6" t="str">
        <x:v>人民币元</x:v>
      </x:c>
      <x:c r="J76" s="20" t="d">
        <x:v>2026-08-17T00:00:00.000Z</x:v>
      </x:c>
      <x:c r="K76" s="6" t="str">
        <x:v>F001</x:v>
      </x:c>
      <x:c r="L76" s="6" t="str">
        <x:v>已核实原值</x:v>
      </x:c>
      <x:c r="M76" s="6" t="str">
        <x:v>集团合并口径；金额为人民币元。 2026年1-6月/2026-06-30，半年度财务报告未经审计。</x:v>
      </x:c>
    </x:row>
    <x:row r="77" ht="40" customHeight="1">
      <x:c r="A77" s="6" t="str">
        <x:v>R0040</x:v>
      </x:c>
      <x:c r="B77" s="6" t="str">
        <x:v>海能未来技术集团股份有限公司</x:v>
      </x:c>
      <x:c r="C77" s="6" t="str">
        <x:v>财务数据</x:v>
      </x:c>
      <x:c r="D77" s="6" t="str">
        <x:v>存货周转率</x:v>
      </x:c>
      <x:c r="E77" s="6" t="str">
        <x:v>2026年上半年/期末2026-06-30</x:v>
      </x:c>
      <x:c r="F77" s="19" t="n">
        <x:v>67.82</x:v>
      </x:c>
      <x:c r="G77" s="6" t="str">
        <x:v>%</x:v>
      </x:c>
      <x:c r="H77" s="19" t="n">
        <x:v>67.82</x:v>
      </x:c>
      <x:c r="I77" s="6" t="str">
        <x:v>%</x:v>
      </x:c>
      <x:c r="J77" s="20" t="d">
        <x:v>2026-08-17T00:00:00.000Z</x:v>
      </x:c>
      <x:c r="K77" s="6" t="str">
        <x:v>F001</x:v>
      </x:c>
      <x:c r="L77" s="6" t="str">
        <x:v>已核实原值</x:v>
      </x:c>
      <x:c r="M77" s="6" t="str">
        <x:v>集团合并口径;金额为人民币元。 2026年1-6月/2026-06-30,半年度财务报告未经审计。；周转率单位按报告原表%保留，不擅自改为倍数</x:v>
      </x:c>
    </x:row>
    <x:row r="78" ht="40" customHeight="1">
      <x:c r="A78" s="6" t="str">
        <x:v>R0054</x:v>
      </x:c>
      <x:c r="B78" s="6" t="str">
        <x:v>海能未来技术集团股份有限公司</x:v>
      </x:c>
      <x:c r="C78" s="6" t="str">
        <x:v>财务数据</x:v>
      </x:c>
      <x:c r="D78" s="6" t="str">
        <x:v>应付职工薪酬</x:v>
      </x:c>
      <x:c r="E78" s="6" t="str">
        <x:v>2026年上半年/期末2026-06-30</x:v>
      </x:c>
      <x:c r="F78" s="19" t="n">
        <x:v>11195443.3</x:v>
      </x:c>
      <x:c r="G78" s="6" t="str">
        <x:v>人民币元</x:v>
      </x:c>
      <x:c r="H78" s="19" t="n">
        <x:v>11195443.3</x:v>
      </x:c>
      <x:c r="I78" s="6" t="str">
        <x:v>人民币元</x:v>
      </x:c>
      <x:c r="J78" s="20" t="d">
        <x:v>2026-08-17T00:00:00.000Z</x:v>
      </x:c>
      <x:c r="K78" s="6" t="str">
        <x:v>F001</x:v>
      </x:c>
      <x:c r="L78" s="6" t="str">
        <x:v>已核实原值</x:v>
      </x:c>
      <x:c r="M78" s="6" t="str">
        <x:v>集团合并口径；金额为人民币元。 2026年1-6月/2026-06-30，半年度财务报告未经审计。</x:v>
      </x:c>
    </x:row>
    <x:row r="79" ht="40" customHeight="1">
      <x:c r="A79" s="6" t="str">
        <x:v>R0052</x:v>
      </x:c>
      <x:c r="B79" s="6" t="str">
        <x:v>海能未来技术集团股份有限公司</x:v>
      </x:c>
      <x:c r="C79" s="6" t="str">
        <x:v>财务数据</x:v>
      </x:c>
      <x:c r="D79" s="6" t="str">
        <x:v>应付账款</x:v>
      </x:c>
      <x:c r="E79" s="6" t="str">
        <x:v>2026年上半年/期末2026-06-30</x:v>
      </x:c>
      <x:c r="F79" s="19" t="n">
        <x:v>21684549.5</x:v>
      </x:c>
      <x:c r="G79" s="6" t="str">
        <x:v>人民币元</x:v>
      </x:c>
      <x:c r="H79" s="19" t="n">
        <x:v>21684549.5</x:v>
      </x:c>
      <x:c r="I79" s="6" t="str">
        <x:v>人民币元</x:v>
      </x:c>
      <x:c r="J79" s="20" t="d">
        <x:v>2026-08-17T00:00:00.000Z</x:v>
      </x:c>
      <x:c r="K79" s="6" t="str">
        <x:v>F001</x:v>
      </x:c>
      <x:c r="L79" s="6" t="str">
        <x:v>已核实原值</x:v>
      </x:c>
      <x:c r="M79" s="6" t="str">
        <x:v>集团合并口径；金额为人民币元。 2026年1-6月/2026-06-30，半年度财务报告未经审计。</x:v>
      </x:c>
    </x:row>
    <x:row r="80" ht="40" customHeight="1">
      <x:c r="A80" s="6" t="str">
        <x:v>R0043</x:v>
      </x:c>
      <x:c r="B80" s="6" t="str">
        <x:v>海能未来技术集团股份有限公司</x:v>
      </x:c>
      <x:c r="C80" s="6" t="str">
        <x:v>财务数据</x:v>
      </x:c>
      <x:c r="D80" s="6" t="str">
        <x:v>应收票据</x:v>
      </x:c>
      <x:c r="E80" s="6" t="str">
        <x:v>2026年上半年/期末2026-06-30</x:v>
      </x:c>
      <x:c r="F80" s="19" t="n">
        <x:v>2492681.36</x:v>
      </x:c>
      <x:c r="G80" s="6" t="str">
        <x:v>人民币元</x:v>
      </x:c>
      <x:c r="H80" s="19" t="n">
        <x:v>2492681.36</x:v>
      </x:c>
      <x:c r="I80" s="6" t="str">
        <x:v>人民币元</x:v>
      </x:c>
      <x:c r="J80" s="20" t="d">
        <x:v>2026-08-17T00:00:00.000Z</x:v>
      </x:c>
      <x:c r="K80" s="6" t="str">
        <x:v>F001</x:v>
      </x:c>
      <x:c r="L80" s="6" t="str">
        <x:v>已核实原值</x:v>
      </x:c>
      <x:c r="M80" s="6" t="str">
        <x:v>集团合并口径；金额为人民币元。 2026年1-6月/2026-06-30，半年度财务报告未经审计。</x:v>
      </x:c>
    </x:row>
    <x:row r="81" ht="40" customHeight="1">
      <x:c r="A81" s="6" t="str">
        <x:v>R0044</x:v>
      </x:c>
      <x:c r="B81" s="6" t="str">
        <x:v>海能未来技术集团股份有限公司</x:v>
      </x:c>
      <x:c r="C81" s="6" t="str">
        <x:v>财务数据</x:v>
      </x:c>
      <x:c r="D81" s="6" t="str">
        <x:v>应收账款</x:v>
      </x:c>
      <x:c r="E81" s="6" t="str">
        <x:v>2026年上半年/期末2026-06-30</x:v>
      </x:c>
      <x:c r="F81" s="19" t="n">
        <x:v>14401599.71</x:v>
      </x:c>
      <x:c r="G81" s="6" t="str">
        <x:v>人民币元</x:v>
      </x:c>
      <x:c r="H81" s="19" t="n">
        <x:v>14401599.71</x:v>
      </x:c>
      <x:c r="I81" s="6" t="str">
        <x:v>人民币元</x:v>
      </x:c>
      <x:c r="J81" s="20" t="d">
        <x:v>2026-08-17T00:00:00.000Z</x:v>
      </x:c>
      <x:c r="K81" s="6" t="str">
        <x:v>F001</x:v>
      </x:c>
      <x:c r="L81" s="6" t="str">
        <x:v>已核实原值</x:v>
      </x:c>
      <x:c r="M81" s="6" t="str">
        <x:v>集团合并口径；金额为人民币元。 2026年1-6月/2026-06-30，半年度财务报告未经审计。</x:v>
      </x:c>
    </x:row>
    <x:row r="82" ht="40" customHeight="1">
      <x:c r="A82" s="6" t="str">
        <x:v>R0039</x:v>
      </x:c>
      <x:c r="B82" s="6" t="str">
        <x:v>海能未来技术集团股份有限公司</x:v>
      </x:c>
      <x:c r="C82" s="6" t="str">
        <x:v>财务数据</x:v>
      </x:c>
      <x:c r="D82" s="6" t="str">
        <x:v>应收账款周转率</x:v>
      </x:c>
      <x:c r="E82" s="6" t="str">
        <x:v>2026年上半年/期末2026-06-30</x:v>
      </x:c>
      <x:c r="F82" s="19" t="n">
        <x:v>9.28</x:v>
      </x:c>
      <x:c r="G82" s="6" t="str">
        <x:v>倍</x:v>
      </x:c>
      <x:c r="H82" s="19" t="n">
        <x:v>9.28</x:v>
      </x:c>
      <x:c r="I82" s="6" t="str">
        <x:v>倍</x:v>
      </x:c>
      <x:c r="J82" s="20" t="d">
        <x:v>2026-08-17T00:00:00.000Z</x:v>
      </x:c>
      <x:c r="K82" s="6" t="str">
        <x:v>F001</x:v>
      </x:c>
      <x:c r="L82" s="6" t="str">
        <x:v>已核实原值</x:v>
      </x:c>
      <x:c r="M82" s="6" t="str">
        <x:v>集团合并口径；金额为人民币元。 2026年1-6月/2026-06-30，半年度财务报告未经审计。</x:v>
      </x:c>
    </x:row>
    <x:row r="83" ht="40" customHeight="1">
      <x:c r="A83" s="6" t="str">
        <x:v>R0029</x:v>
      </x:c>
      <x:c r="B83" s="6" t="str">
        <x:v>海能未来技术集团股份有限公司</x:v>
      </x:c>
      <x:c r="C83" s="6" t="str">
        <x:v>财务数据</x:v>
      </x:c>
      <x:c r="D83" s="6" t="str">
        <x:v>归属于上市公司股东的净利润</x:v>
      </x:c>
      <x:c r="E83" s="6" t="str">
        <x:v>2026年上半年/期末2026-06-30</x:v>
      </x:c>
      <x:c r="F83" s="19" t="n">
        <x:v>11342210.58</x:v>
      </x:c>
      <x:c r="G83" s="6" t="str">
        <x:v>人民币元</x:v>
      </x:c>
      <x:c r="H83" s="19" t="n">
        <x:v>11342210.58</x:v>
      </x:c>
      <x:c r="I83" s="6" t="str">
        <x:v>人民币元</x:v>
      </x:c>
      <x:c r="J83" s="20" t="d">
        <x:v>2026-08-17T00:00:00.000Z</x:v>
      </x:c>
      <x:c r="K83" s="6" t="str">
        <x:v>F001</x:v>
      </x:c>
      <x:c r="L83" s="6" t="str">
        <x:v>已核实原值</x:v>
      </x:c>
      <x:c r="M83" s="6" t="str">
        <x:v>集团合并口径；金额为人民币元。 2026年1-6月/2026-06-30，半年度财务报告未经审计。</x:v>
      </x:c>
    </x:row>
    <x:row r="84" ht="40" customHeight="1">
      <x:c r="A84" s="6" t="str">
        <x:v>R0032</x:v>
      </x:c>
      <x:c r="B84" s="6" t="str">
        <x:v>海能未来技术集团股份有限公司</x:v>
      </x:c>
      <x:c r="C84" s="6" t="str">
        <x:v>财务数据</x:v>
      </x:c>
      <x:c r="D84" s="6" t="str">
        <x:v>归属于上市公司股东的净资产</x:v>
      </x:c>
      <x:c r="E84" s="6" t="str">
        <x:v>2026年上半年/期末2026-06-30</x:v>
      </x:c>
      <x:c r="F84" s="19" t="n">
        <x:v>450850327.63</x:v>
      </x:c>
      <x:c r="G84" s="6" t="str">
        <x:v>人民币元</x:v>
      </x:c>
      <x:c r="H84" s="19" t="n">
        <x:v>450850327.63</x:v>
      </x:c>
      <x:c r="I84" s="6" t="str">
        <x:v>人民币元</x:v>
      </x:c>
      <x:c r="J84" s="20" t="d">
        <x:v>2026-08-17T00:00:00.000Z</x:v>
      </x:c>
      <x:c r="K84" s="6" t="str">
        <x:v>F001</x:v>
      </x:c>
      <x:c r="L84" s="6" t="str">
        <x:v>已核实原值</x:v>
      </x:c>
      <x:c r="M84" s="6" t="str">
        <x:v>集团合并口径；金额为人民币元。 2026年1-6月/2026-06-30，半年度财务报告未经审计。</x:v>
      </x:c>
    </x:row>
    <x:row r="85" ht="40" customHeight="1">
      <x:c r="A85" s="6" t="str">
        <x:v>R0033</x:v>
      </x:c>
      <x:c r="B85" s="6" t="str">
        <x:v>海能未来技术集团股份有限公司</x:v>
      </x:c>
      <x:c r="C85" s="6" t="str">
        <x:v>财务数据</x:v>
      </x:c>
      <x:c r="D85" s="6" t="str">
        <x:v>归属于上市公司股东的每股净资产</x:v>
      </x:c>
      <x:c r="E85" s="6" t="str">
        <x:v>2026年上半年/期末2026-06-30</x:v>
      </x:c>
      <x:c r="F85" s="19" t="n">
        <x:v>5.63</x:v>
      </x:c>
      <x:c r="G85" s="6" t="str">
        <x:v>人民币元/股</x:v>
      </x:c>
      <x:c r="H85" s="19" t="n">
        <x:v>5.63</x:v>
      </x:c>
      <x:c r="I85" s="6" t="str">
        <x:v>人民币元/股</x:v>
      </x:c>
      <x:c r="J85" s="20" t="d">
        <x:v>2026-08-17T00:00:00.000Z</x:v>
      </x:c>
      <x:c r="K85" s="6" t="str">
        <x:v>F001</x:v>
      </x:c>
      <x:c r="L85" s="6" t="str">
        <x:v>已核实原值</x:v>
      </x:c>
      <x:c r="M85" s="6" t="str">
        <x:v>集团合并口径；金额为人民币元。 2026年1-6月/2026-06-30，半年度财务报告未经审计。</x:v>
      </x:c>
    </x:row>
    <x:row r="86" ht="40" customHeight="1">
      <x:c r="A86" s="6" t="str">
        <x:v>R0041</x:v>
      </x:c>
      <x:c r="B86" s="6" t="str">
        <x:v>海能未来技术集团股份有限公司</x:v>
      </x:c>
      <x:c r="C86" s="6" t="str">
        <x:v>财务数据</x:v>
      </x:c>
      <x:c r="D86" s="6" t="str">
        <x:v>归母扣非净利润</x:v>
      </x:c>
      <x:c r="E86" s="6" t="str">
        <x:v>2026年上半年/期末2026-06-30</x:v>
      </x:c>
      <x:c r="F86" s="19" t="n">
        <x:v>10691610.23</x:v>
      </x:c>
      <x:c r="G86" s="6" t="str">
        <x:v>人民币元</x:v>
      </x:c>
      <x:c r="H86" s="19" t="n">
        <x:v>10691610.23</x:v>
      </x:c>
      <x:c r="I86" s="6" t="str">
        <x:v>人民币元</x:v>
      </x:c>
      <x:c r="J86" s="20" t="d">
        <x:v>2026-08-17T00:00:00.000Z</x:v>
      </x:c>
      <x:c r="K86" s="6" t="str">
        <x:v>F001</x:v>
      </x:c>
      <x:c r="L86" s="6" t="str">
        <x:v>已核实原值</x:v>
      </x:c>
      <x:c r="M86" s="6" t="str">
        <x:v>2026年1-6月，集团合并，未经审计。 2026年1-6月/2026-06-30，半年度财务报告未经审计。</x:v>
      </x:c>
    </x:row>
    <x:row r="87" ht="40" customHeight="1">
      <x:c r="A87" s="6" t="str">
        <x:v>R0062</x:v>
      </x:c>
      <x:c r="B87" s="6" t="str">
        <x:v>海能未来技术集团股份有限公司</x:v>
      </x:c>
      <x:c r="C87" s="6" t="str">
        <x:v>财务数据</x:v>
      </x:c>
      <x:c r="D87" s="6" t="str">
        <x:v>所得税费用</x:v>
      </x:c>
      <x:c r="E87" s="6" t="str">
        <x:v>2026年上半年/期末2026-06-30</x:v>
      </x:c>
      <x:c r="F87" s="19" t="n">
        <x:v>1359918.02</x:v>
      </x:c>
      <x:c r="G87" s="6" t="str">
        <x:v>人民币元</x:v>
      </x:c>
      <x:c r="H87" s="19" t="n">
        <x:v>1359918.02</x:v>
      </x:c>
      <x:c r="I87" s="6" t="str">
        <x:v>人民币元</x:v>
      </x:c>
      <x:c r="J87" s="20" t="d">
        <x:v>2026-08-17T00:00:00.000Z</x:v>
      </x:c>
      <x:c r="K87" s="6" t="str">
        <x:v>F001</x:v>
      </x:c>
      <x:c r="L87" s="6" t="str">
        <x:v>已核实原值</x:v>
      </x:c>
      <x:c r="M87" s="6" t="str">
        <x:v>集团合并口径；金额为人民币元。 2026年1-6月/2026-06-30，半年度财务报告未经审计。</x:v>
      </x:c>
    </x:row>
    <x:row r="88" ht="40" customHeight="1">
      <x:c r="A88" s="6" t="str">
        <x:v>R0065</x:v>
      </x:c>
      <x:c r="B88" s="6" t="str">
        <x:v>海能未来技术集团股份有限公司</x:v>
      </x:c>
      <x:c r="C88" s="6" t="str">
        <x:v>财务数据</x:v>
      </x:c>
      <x:c r="D88" s="6" t="str">
        <x:v>投资活动产生的现金流量净额</x:v>
      </x:c>
      <x:c r="E88" s="6" t="str">
        <x:v>2026年上半年/期末2026-06-30</x:v>
      </x:c>
      <x:c r="F88" s="19" t="n">
        <x:v>-34698018.04</x:v>
      </x:c>
      <x:c r="G88" s="6" t="str">
        <x:v>人民币元</x:v>
      </x:c>
      <x:c r="H88" s="19" t="n">
        <x:v>-34698018.04</x:v>
      </x:c>
      <x:c r="I88" s="6" t="str">
        <x:v>人民币元</x:v>
      </x:c>
      <x:c r="J88" s="20" t="d">
        <x:v>2026-08-17T00:00:00.000Z</x:v>
      </x:c>
      <x:c r="K88" s="6" t="str">
        <x:v>F001</x:v>
      </x:c>
      <x:c r="L88" s="6" t="str">
        <x:v>已核实原值</x:v>
      </x:c>
      <x:c r="M88" s="6" t="str">
        <x:v>集团合并口径；金额为人民币元。 2026年1-6月/2026-06-30，半年度财务报告未经审计。</x:v>
      </x:c>
    </x:row>
    <x:row r="89" ht="40" customHeight="1">
      <x:c r="A89" s="6" t="str">
        <x:v>R0049</x:v>
      </x:c>
      <x:c r="B89" s="6" t="str">
        <x:v>海能未来技术集团股份有限公司</x:v>
      </x:c>
      <x:c r="C89" s="6" t="str">
        <x:v>财务数据</x:v>
      </x:c>
      <x:c r="D89" s="6" t="str">
        <x:v>无形资产</x:v>
      </x:c>
      <x:c r="E89" s="6" t="str">
        <x:v>2026年上半年/期末2026-06-30</x:v>
      </x:c>
      <x:c r="F89" s="19" t="n">
        <x:v>56604682.92</x:v>
      </x:c>
      <x:c r="G89" s="6" t="str">
        <x:v>人民币元</x:v>
      </x:c>
      <x:c r="H89" s="19" t="n">
        <x:v>56604682.92</x:v>
      </x:c>
      <x:c r="I89" s="6" t="str">
        <x:v>人民币元</x:v>
      </x:c>
      <x:c r="J89" s="20" t="d">
        <x:v>2026-08-17T00:00:00.000Z</x:v>
      </x:c>
      <x:c r="K89" s="6" t="str">
        <x:v>F001</x:v>
      </x:c>
      <x:c r="L89" s="6" t="str">
        <x:v>已核实原值</x:v>
      </x:c>
      <x:c r="M89" s="6" t="str">
        <x:v>集团合并口径；金额为人民币元。 2026年1-6月/2026-06-30，半年度财务报告未经审计。</x:v>
      </x:c>
    </x:row>
    <x:row r="90" ht="40" customHeight="1">
      <x:c r="A90" s="6" t="str">
        <x:v>R0028</x:v>
      </x:c>
      <x:c r="B90" s="6" t="str">
        <x:v>海能未来技术集团股份有限公司</x:v>
      </x:c>
      <x:c r="C90" s="6" t="str">
        <x:v>财务数据</x:v>
      </x:c>
      <x:c r="D90" s="6" t="str">
        <x:v>毛利率%</x:v>
      </x:c>
      <x:c r="E90" s="6" t="str">
        <x:v>2026年上半年/期末2026-06-30</x:v>
      </x:c>
      <x:c r="F90" s="19" t="n">
        <x:v>62.96</x:v>
      </x:c>
      <x:c r="G90" s="6" t="str">
        <x:v>%</x:v>
      </x:c>
      <x:c r="H90" s="19" t="n">
        <x:v>62.96</x:v>
      </x:c>
      <x:c r="I90" s="6" t="str">
        <x:v>%</x:v>
      </x:c>
      <x:c r="J90" s="20" t="d">
        <x:v>2026-08-17T00:00:00.000Z</x:v>
      </x:c>
      <x:c r="K90" s="6" t="str">
        <x:v>F001</x:v>
      </x:c>
      <x:c r="L90" s="6" t="str">
        <x:v>已核实原值</x:v>
      </x:c>
      <x:c r="M90" s="6" t="str">
        <x:v>集团合并口径；金额为人民币元。 2026年1-6月/2026-06-30，半年度财务报告未经审计。</x:v>
      </x:c>
    </x:row>
    <x:row r="91" ht="40" customHeight="1">
      <x:c r="A91" s="6" t="str">
        <x:v>R0036</x:v>
      </x:c>
      <x:c r="B91" s="6" t="str">
        <x:v>海能未来技术集团股份有限公司</x:v>
      </x:c>
      <x:c r="C91" s="6" t="str">
        <x:v>财务数据</x:v>
      </x:c>
      <x:c r="D91" s="6" t="str">
        <x:v>流动比率</x:v>
      </x:c>
      <x:c r="E91" s="6" t="str">
        <x:v>2026年上半年/期末2026-06-30</x:v>
      </x:c>
      <x:c r="F91" s="19" t="n">
        <x:v>3.9</x:v>
      </x:c>
      <x:c r="G91" s="6" t="str">
        <x:v>倍</x:v>
      </x:c>
      <x:c r="H91" s="19" t="n">
        <x:v>3.9</x:v>
      </x:c>
      <x:c r="I91" s="6" t="str">
        <x:v>倍</x:v>
      </x:c>
      <x:c r="J91" s="20" t="d">
        <x:v>2026-08-17T00:00:00.000Z</x:v>
      </x:c>
      <x:c r="K91" s="6" t="str">
        <x:v>F001</x:v>
      </x:c>
      <x:c r="L91" s="6" t="str">
        <x:v>已核实原值</x:v>
      </x:c>
      <x:c r="M91" s="6" t="str">
        <x:v>集团合并口径；金额为人民币元。 2026年1-6月/2026-06-30，半年度财务报告未经审计。</x:v>
      </x:c>
    </x:row>
    <x:row r="92" ht="40" customHeight="1">
      <x:c r="A92" s="6" t="str">
        <x:v>R0058</x:v>
      </x:c>
      <x:c r="B92" s="6" t="str">
        <x:v>海能未来技术集团股份有限公司</x:v>
      </x:c>
      <x:c r="C92" s="6" t="str">
        <x:v>财务数据</x:v>
      </x:c>
      <x:c r="D92" s="6" t="str">
        <x:v>研发费用</x:v>
      </x:c>
      <x:c r="E92" s="6" t="str">
        <x:v>2026年上半年/期末2026-06-30</x:v>
      </x:c>
      <x:c r="F92" s="19" t="n">
        <x:v>23859765.74</x:v>
      </x:c>
      <x:c r="G92" s="6" t="str">
        <x:v>人民币元</x:v>
      </x:c>
      <x:c r="H92" s="19" t="n">
        <x:v>23859765.74</x:v>
      </x:c>
      <x:c r="I92" s="6" t="str">
        <x:v>人民币元</x:v>
      </x:c>
      <x:c r="J92" s="20" t="d">
        <x:v>2026-08-17T00:00:00.000Z</x:v>
      </x:c>
      <x:c r="K92" s="6" t="str">
        <x:v>F001</x:v>
      </x:c>
      <x:c r="L92" s="6" t="str">
        <x:v>已核实原值</x:v>
      </x:c>
      <x:c r="M92" s="6" t="str">
        <x:v>集团合并口径；金额为人民币元。 2026年1-6月/2026-06-30，半年度财务报告未经审计。</x:v>
      </x:c>
    </x:row>
    <x:row r="93" ht="40" customHeight="1">
      <x:c r="A93" s="6" t="str">
        <x:v>R0066</x:v>
      </x:c>
      <x:c r="B93" s="6" t="str">
        <x:v>海能未来技术集团股份有限公司</x:v>
      </x:c>
      <x:c r="C93" s="6" t="str">
        <x:v>财务数据</x:v>
      </x:c>
      <x:c r="D93" s="6" t="str">
        <x:v>筹资活动产生的现金流量净额</x:v>
      </x:c>
      <x:c r="E93" s="6" t="str">
        <x:v>2026年上半年/期末2026-06-30</x:v>
      </x:c>
      <x:c r="F93" s="19" t="n">
        <x:v>-11780891.62</x:v>
      </x:c>
      <x:c r="G93" s="6" t="str">
        <x:v>人民币元</x:v>
      </x:c>
      <x:c r="H93" s="19" t="n">
        <x:v>-11780891.62</x:v>
      </x:c>
      <x:c r="I93" s="6" t="str">
        <x:v>人民币元</x:v>
      </x:c>
      <x:c r="J93" s="20" t="d">
        <x:v>2026-08-17T00:00:00.000Z</x:v>
      </x:c>
      <x:c r="K93" s="6" t="str">
        <x:v>F001</x:v>
      </x:c>
      <x:c r="L93" s="6" t="str">
        <x:v>已核实原值</x:v>
      </x:c>
      <x:c r="M93" s="6" t="str">
        <x:v>集团合并口径；金额为人民币元。 2026年1-6月/2026-06-30，半年度财务报告未经审计。</x:v>
      </x:c>
    </x:row>
    <x:row r="94" ht="40" customHeight="1">
      <x:c r="A94" s="6" t="str">
        <x:v>R0057</x:v>
      </x:c>
      <x:c r="B94" s="6" t="str">
        <x:v>海能未来技术集团股份有限公司</x:v>
      </x:c>
      <x:c r="C94" s="6" t="str">
        <x:v>财务数据</x:v>
      </x:c>
      <x:c r="D94" s="6" t="str">
        <x:v>管理费用</x:v>
      </x:c>
      <x:c r="E94" s="6" t="str">
        <x:v>2026年上半年/期末2026-06-30</x:v>
      </x:c>
      <x:c r="F94" s="19" t="n">
        <x:v>27942504.26</x:v>
      </x:c>
      <x:c r="G94" s="6" t="str">
        <x:v>人民币元</x:v>
      </x:c>
      <x:c r="H94" s="19" t="n">
        <x:v>27942504.26</x:v>
      </x:c>
      <x:c r="I94" s="6" t="str">
        <x:v>人民币元</x:v>
      </x:c>
      <x:c r="J94" s="20" t="d">
        <x:v>2026-08-17T00:00:00.000Z</x:v>
      </x:c>
      <x:c r="K94" s="6" t="str">
        <x:v>F001</x:v>
      </x:c>
      <x:c r="L94" s="6" t="str">
        <x:v>已核实原值</x:v>
      </x:c>
      <x:c r="M94" s="6" t="str">
        <x:v>集团合并口径；金额为人民币元。 2026年1-6月/2026-06-30，半年度财务报告未经审计。</x:v>
      </x:c>
    </x:row>
    <x:row r="95" ht="40" customHeight="1">
      <x:c r="A95" s="6" t="str">
        <x:v>R0038</x:v>
      </x:c>
      <x:c r="B95" s="6" t="str">
        <x:v>海能未来技术集团股份有限公司</x:v>
      </x:c>
      <x:c r="C95" s="6" t="str">
        <x:v>财务数据</x:v>
      </x:c>
      <x:c r="D95" s="6" t="str">
        <x:v>经营活动产生的现金流量净额</x:v>
      </x:c>
      <x:c r="E95" s="6" t="str">
        <x:v>2026年上半年/期末2026-06-30</x:v>
      </x:c>
      <x:c r="F95" s="19" t="n">
        <x:v>12909870.96</x:v>
      </x:c>
      <x:c r="G95" s="6" t="str">
        <x:v>人民币元</x:v>
      </x:c>
      <x:c r="H95" s="19" t="n">
        <x:v>12909870.96</x:v>
      </x:c>
      <x:c r="I95" s="6" t="str">
        <x:v>人民币元</x:v>
      </x:c>
      <x:c r="J95" s="20" t="d">
        <x:v>2026-08-17T00:00:00.000Z</x:v>
      </x:c>
      <x:c r="K95" s="6" t="str">
        <x:v>F001</x:v>
      </x:c>
      <x:c r="L95" s="6" t="str">
        <x:v>已核实原值</x:v>
      </x:c>
      <x:c r="M95" s="6" t="str">
        <x:v>集团合并口径；金额为人民币元。 2026年1-6月/2026-06-30，半年度财务报告未经审计。</x:v>
      </x:c>
    </x:row>
    <x:row r="96" ht="40" customHeight="1">
      <x:c r="A96" s="6" t="str">
        <x:v>R0060</x:v>
      </x:c>
      <x:c r="B96" s="6" t="str">
        <x:v>海能未来技术集团股份有限公司</x:v>
      </x:c>
      <x:c r="C96" s="6" t="str">
        <x:v>财务数据</x:v>
      </x:c>
      <x:c r="D96" s="6" t="str">
        <x:v>营业利润</x:v>
      </x:c>
      <x:c r="E96" s="6" t="str">
        <x:v>2026年上半年/期末2026-06-30</x:v>
      </x:c>
      <x:c r="F96" s="19" t="n">
        <x:v>11714447.11</x:v>
      </x:c>
      <x:c r="G96" s="6" t="str">
        <x:v>人民币元</x:v>
      </x:c>
      <x:c r="H96" s="19" t="n">
        <x:v>11714447.11</x:v>
      </x:c>
      <x:c r="I96" s="6" t="str">
        <x:v>人民币元</x:v>
      </x:c>
      <x:c r="J96" s="20" t="d">
        <x:v>2026-08-17T00:00:00.000Z</x:v>
      </x:c>
      <x:c r="K96" s="6" t="str">
        <x:v>F001</x:v>
      </x:c>
      <x:c r="L96" s="6" t="str">
        <x:v>已核实原值</x:v>
      </x:c>
      <x:c r="M96" s="6" t="str">
        <x:v>集团合并口径；金额为人民币元。 2026年1-6月/2026-06-30，半年度财务报告未经审计。</x:v>
      </x:c>
    </x:row>
    <x:row r="97" ht="40" customHeight="1">
      <x:c r="A97" s="6" t="str">
        <x:v>R0055</x:v>
      </x:c>
      <x:c r="B97" s="6" t="str">
        <x:v>海能未来技术集团股份有限公司</x:v>
      </x:c>
      <x:c r="C97" s="6" t="str">
        <x:v>财务数据</x:v>
      </x:c>
      <x:c r="D97" s="6" t="str">
        <x:v>营业成本</x:v>
      </x:c>
      <x:c r="E97" s="6" t="str">
        <x:v>2026年上半年/期末2026-06-30</x:v>
      </x:c>
      <x:c r="F97" s="19" t="n">
        <x:v>58722150.96</x:v>
      </x:c>
      <x:c r="G97" s="6" t="str">
        <x:v>人民币元</x:v>
      </x:c>
      <x:c r="H97" s="19" t="n">
        <x:v>58722150.96</x:v>
      </x:c>
      <x:c r="I97" s="6" t="str">
        <x:v>人民币元</x:v>
      </x:c>
      <x:c r="J97" s="20" t="d">
        <x:v>2026-08-17T00:00:00.000Z</x:v>
      </x:c>
      <x:c r="K97" s="6" t="str">
        <x:v>F001</x:v>
      </x:c>
      <x:c r="L97" s="6" t="str">
        <x:v>已核实原值</x:v>
      </x:c>
      <x:c r="M97" s="6" t="str">
        <x:v>集团合并口径；金额为人民币元。 2026年1-6月/2026-06-30，半年度财务报告未经审计。</x:v>
      </x:c>
    </x:row>
    <x:row r="98" ht="40" customHeight="1">
      <x:c r="A98" s="6" t="str">
        <x:v>R0027</x:v>
      </x:c>
      <x:c r="B98" s="6" t="str">
        <x:v>海能未来技术集团股份有限公司</x:v>
      </x:c>
      <x:c r="C98" s="6" t="str">
        <x:v>财务数据</x:v>
      </x:c>
      <x:c r="D98" s="6" t="str">
        <x:v>营业收入</x:v>
      </x:c>
      <x:c r="E98" s="6" t="str">
        <x:v>2026年上半年/期末2026-06-30</x:v>
      </x:c>
      <x:c r="F98" s="19" t="n">
        <x:v>158557611.34</x:v>
      </x:c>
      <x:c r="G98" s="6" t="str">
        <x:v>人民币元</x:v>
      </x:c>
      <x:c r="H98" s="19" t="n">
        <x:v>158557611.34</x:v>
      </x:c>
      <x:c r="I98" s="6" t="str">
        <x:v>人民币元</x:v>
      </x:c>
      <x:c r="J98" s="20" t="d">
        <x:v>2026-08-17T00:00:00.000Z</x:v>
      </x:c>
      <x:c r="K98" s="6" t="str">
        <x:v>F001</x:v>
      </x:c>
      <x:c r="L98" s="6" t="str">
        <x:v>已核实原值</x:v>
      </x:c>
      <x:c r="M98" s="6" t="str">
        <x:v>集团合并口径；金额为人民币元。 2026年1-6月/2026-06-30，半年度财务报告未经审计。</x:v>
      </x:c>
    </x:row>
    <x:row r="99" ht="40" customHeight="1">
      <x:c r="A99" s="6" t="str">
        <x:v>R0031</x:v>
      </x:c>
      <x:c r="B99" s="6" t="str">
        <x:v>海能未来技术集团股份有限公司</x:v>
      </x:c>
      <x:c r="C99" s="6" t="str">
        <x:v>财务数据</x:v>
      </x:c>
      <x:c r="D99" s="6" t="str">
        <x:v>负债总计</x:v>
      </x:c>
      <x:c r="E99" s="6" t="str">
        <x:v>2026年上半年/期末2026-06-30</x:v>
      </x:c>
      <x:c r="F99" s="19" t="n">
        <x:v>137060485.55</x:v>
      </x:c>
      <x:c r="G99" s="6" t="str">
        <x:v>人民币元</x:v>
      </x:c>
      <x:c r="H99" s="19" t="n">
        <x:v>137060485.55</x:v>
      </x:c>
      <x:c r="I99" s="6" t="str">
        <x:v>人民币元</x:v>
      </x:c>
      <x:c r="J99" s="20" t="d">
        <x:v>2026-08-17T00:00:00.000Z</x:v>
      </x:c>
      <x:c r="K99" s="6" t="str">
        <x:v>F001</x:v>
      </x:c>
      <x:c r="L99" s="6" t="str">
        <x:v>已核实原值</x:v>
      </x:c>
      <x:c r="M99" s="6" t="str">
        <x:v>集团合并口径；金额为人民币元。 2026年1-6月/2026-06-30，半年度财务报告未经审计。</x:v>
      </x:c>
    </x:row>
    <x:row r="100" ht="40" customHeight="1">
      <x:c r="A100" s="6" t="str">
        <x:v>R0059</x:v>
      </x:c>
      <x:c r="B100" s="6" t="str">
        <x:v>海能未来技术集团股份有限公司</x:v>
      </x:c>
      <x:c r="C100" s="6" t="str">
        <x:v>财务数据</x:v>
      </x:c>
      <x:c r="D100" s="6" t="str">
        <x:v>财务费用</x:v>
      </x:c>
      <x:c r="E100" s="6" t="str">
        <x:v>2026年上半年/期末2026-06-30</x:v>
      </x:c>
      <x:c r="F100" s="19" t="n">
        <x:v>949809.1</x:v>
      </x:c>
      <x:c r="G100" s="6" t="str">
        <x:v>人民币元</x:v>
      </x:c>
      <x:c r="H100" s="19" t="n">
        <x:v>949809.1</x:v>
      </x:c>
      <x:c r="I100" s="6" t="str">
        <x:v>人民币元</x:v>
      </x:c>
      <x:c r="J100" s="20" t="d">
        <x:v>2026-08-17T00:00:00.000Z</x:v>
      </x:c>
      <x:c r="K100" s="6" t="str">
        <x:v>F001</x:v>
      </x:c>
      <x:c r="L100" s="6" t="str">
        <x:v>已核实原值</x:v>
      </x:c>
      <x:c r="M100" s="6" t="str">
        <x:v>集团合并口径；金额为人民币元。 2026年1-6月/2026-06-30，半年度财务报告未经审计。</x:v>
      </x:c>
    </x:row>
    <x:row r="101" ht="40" customHeight="1">
      <x:c r="A101" s="6" t="str">
        <x:v>R0042</x:v>
      </x:c>
      <x:c r="B101" s="6" t="str">
        <x:v>海能未来技术集团股份有限公司</x:v>
      </x:c>
      <x:c r="C101" s="6" t="str">
        <x:v>财务数据</x:v>
      </x:c>
      <x:c r="D101" s="6" t="str">
        <x:v>货币资金</x:v>
      </x:c>
      <x:c r="E101" s="6" t="str">
        <x:v>2026年上半年/期末2026-06-30</x:v>
      </x:c>
      <x:c r="F101" s="19" t="n">
        <x:v>137034551.33</x:v>
      </x:c>
      <x:c r="G101" s="6" t="str">
        <x:v>人民币元</x:v>
      </x:c>
      <x:c r="H101" s="19" t="n">
        <x:v>137034551.33</x:v>
      </x:c>
      <x:c r="I101" s="6" t="str">
        <x:v>人民币元</x:v>
      </x:c>
      <x:c r="J101" s="20" t="d">
        <x:v>2026-08-17T00:00:00.000Z</x:v>
      </x:c>
      <x:c r="K101" s="6" t="str">
        <x:v>F001</x:v>
      </x:c>
      <x:c r="L101" s="6" t="str">
        <x:v>已核实原值</x:v>
      </x:c>
      <x:c r="M101" s="6" t="str">
        <x:v>集团合并口径；金额为人民币元。 2026年1-6月/2026-06-30，半年度财务报告未经审计。</x:v>
      </x:c>
    </x:row>
    <x:row r="102" ht="40" customHeight="1">
      <x:c r="A102" s="6" t="str">
        <x:v>R0030</x:v>
      </x:c>
      <x:c r="B102" s="6" t="str">
        <x:v>海能未来技术集团股份有限公司</x:v>
      </x:c>
      <x:c r="C102" s="6" t="str">
        <x:v>财务数据</x:v>
      </x:c>
      <x:c r="D102" s="6" t="str">
        <x:v>资产总计</x:v>
      </x:c>
      <x:c r="E102" s="6" t="str">
        <x:v>2026年上半年/期末2026-06-30</x:v>
      </x:c>
      <x:c r="F102" s="19" t="n">
        <x:v>581658810.32</x:v>
      </x:c>
      <x:c r="G102" s="6" t="str">
        <x:v>人民币元</x:v>
      </x:c>
      <x:c r="H102" s="19" t="n">
        <x:v>581658810.32</x:v>
      </x:c>
      <x:c r="I102" s="6" t="str">
        <x:v>人民币元</x:v>
      </x:c>
      <x:c r="J102" s="20" t="d">
        <x:v>2026-08-17T00:00:00.000Z</x:v>
      </x:c>
      <x:c r="K102" s="6" t="str">
        <x:v>F001</x:v>
      </x:c>
      <x:c r="L102" s="6" t="str">
        <x:v>已核实原值</x:v>
      </x:c>
      <x:c r="M102" s="6" t="str">
        <x:v>集团合并口径；金额为人民币元。 2026年1-6月/2026-06-30，半年度财务报告未经审计。</x:v>
      </x:c>
    </x:row>
    <x:row r="103" ht="40" customHeight="1">
      <x:c r="A103" s="6" t="str">
        <x:v>R0035</x:v>
      </x:c>
      <x:c r="B103" s="6" t="str">
        <x:v>海能未来技术集团股份有限公司</x:v>
      </x:c>
      <x:c r="C103" s="6" t="str">
        <x:v>财务数据</x:v>
      </x:c>
      <x:c r="D103" s="6" t="str">
        <x:v>资产负债率%(合并)</x:v>
      </x:c>
      <x:c r="E103" s="6" t="str">
        <x:v>2026年上半年/期末2026-06-30</x:v>
      </x:c>
      <x:c r="F103" s="19" t="n">
        <x:v>23.56</x:v>
      </x:c>
      <x:c r="G103" s="6" t="str">
        <x:v>%</x:v>
      </x:c>
      <x:c r="H103" s="19" t="n">
        <x:v>23.56</x:v>
      </x:c>
      <x:c r="I103" s="6" t="str">
        <x:v>%</x:v>
      </x:c>
      <x:c r="J103" s="20" t="d">
        <x:v>2026-08-17T00:00:00.000Z</x:v>
      </x:c>
      <x:c r="K103" s="6" t="str">
        <x:v>F001</x:v>
      </x:c>
      <x:c r="L103" s="6" t="str">
        <x:v>已核实原值</x:v>
      </x:c>
      <x:c r="M103" s="6" t="str">
        <x:v>集团合并口径；金额为人民币元。 2026年1-6月/2026-06-30，半年度财务报告未经审计。</x:v>
      </x:c>
    </x:row>
    <x:row r="104" ht="34" customHeight="1">
      <x:c r="A104" s="6" t="str">
        <x:v>R0034</x:v>
      </x:c>
      <x:c r="B104" s="6" t="str">
        <x:v>海能未来技术集团股份有限公司</x:v>
      </x:c>
      <x:c r="C104" s="6" t="str">
        <x:v>财务数据</x:v>
      </x:c>
      <x:c r="D104" s="6" t="str">
        <x:v>资产负债率%(母公司)</x:v>
      </x:c>
      <x:c r="E104" s="6" t="str">
        <x:v>2026年上半年/期末2026-06-30</x:v>
      </x:c>
      <x:c r="F104" s="19" t="n">
        <x:v>11.61</x:v>
      </x:c>
      <x:c r="G104" s="6" t="str">
        <x:v>%</x:v>
      </x:c>
      <x:c r="H104" s="19" t="n">
        <x:v>11.61</x:v>
      </x:c>
      <x:c r="I104" s="6" t="str">
        <x:v>%</x:v>
      </x:c>
      <x:c r="J104" s="20" t="d">
        <x:v>2026-08-17T00:00:00.000Z</x:v>
      </x:c>
      <x:c r="K104" s="6" t="str">
        <x:v>F001</x:v>
      </x:c>
      <x:c r="L104" s="6" t="str">
        <x:v>已核实原值</x:v>
      </x:c>
      <x:c r="M104" s="6" t="str">
        <x:v>母公司单体资产负债率，非集团合并口径。</x:v>
      </x:c>
    </x:row>
    <x:row r="105" ht="40" customHeight="1">
      <x:c r="A105" s="6" t="str">
        <x:v>R0056</x:v>
      </x:c>
      <x:c r="B105" s="6" t="str">
        <x:v>海能未来技术集团股份有限公司</x:v>
      </x:c>
      <x:c r="C105" s="6" t="str">
        <x:v>财务数据</x:v>
      </x:c>
      <x:c r="D105" s="6" t="str">
        <x:v>销售费用</x:v>
      </x:c>
      <x:c r="E105" s="6" t="str">
        <x:v>2026年上半年/期末2026-06-30</x:v>
      </x:c>
      <x:c r="F105" s="19" t="n">
        <x:v>36454441.76</x:v>
      </x:c>
      <x:c r="G105" s="6" t="str">
        <x:v>人民币元</x:v>
      </x:c>
      <x:c r="H105" s="19" t="n">
        <x:v>36454441.76</x:v>
      </x:c>
      <x:c r="I105" s="6" t="str">
        <x:v>人民币元</x:v>
      </x:c>
      <x:c r="J105" s="20" t="d">
        <x:v>2026-08-17T00:00:00.000Z</x:v>
      </x:c>
      <x:c r="K105" s="6" t="str">
        <x:v>F001</x:v>
      </x:c>
      <x:c r="L105" s="6" t="str">
        <x:v>已核实原值</x:v>
      </x:c>
      <x:c r="M105" s="6" t="str">
        <x:v>集团合并口径；金额为人民币元。 2026年1-6月/2026-06-30，半年度财务报告未经审计。</x:v>
      </x:c>
    </x:row>
    <x:row r="106" ht="40" customHeight="1">
      <x:c r="A106" s="6" t="str">
        <x:v>R0051</x:v>
      </x:c>
      <x:c r="B106" s="6" t="str">
        <x:v>海能未来技术集团股份有限公司</x:v>
      </x:c>
      <x:c r="C106" s="6" t="str">
        <x:v>财务数据</x:v>
      </x:c>
      <x:c r="D106" s="6" t="str">
        <x:v>长期借款</x:v>
      </x:c>
      <x:c r="E106" s="6" t="str">
        <x:v>2026年上半年/期末2026-06-30</x:v>
      </x:c>
      <x:c r="F106" s="17" t="n">
        <x:v>49800000</x:v>
      </x:c>
      <x:c r="G106" s="6" t="str">
        <x:v>人民币元</x:v>
      </x:c>
      <x:c r="H106" s="17" t="n">
        <x:v>49800000</x:v>
      </x:c>
      <x:c r="I106" s="6" t="str">
        <x:v>人民币元</x:v>
      </x:c>
      <x:c r="J106" s="20" t="d">
        <x:v>2026-08-17T00:00:00.000Z</x:v>
      </x:c>
      <x:c r="K106" s="6" t="str">
        <x:v>F001</x:v>
      </x:c>
      <x:c r="L106" s="6" t="str">
        <x:v>已核实原值</x:v>
      </x:c>
      <x:c r="M106" s="6" t="str">
        <x:v>集团合并口径；金额为人民币元。 2026年1-6月/2026-06-30，半年度财务报告未经审计。</x:v>
      </x:c>
    </x:row>
    <x:row r="107" ht="40" customHeight="1">
      <x:c r="A107" s="6" t="str">
        <x:v>R0046</x:v>
      </x:c>
      <x:c r="B107" s="6" t="str">
        <x:v>海能未来技术集团股份有限公司</x:v>
      </x:c>
      <x:c r="C107" s="6" t="str">
        <x:v>财务数据</x:v>
      </x:c>
      <x:c r="D107" s="6" t="str">
        <x:v>长期股权投资</x:v>
      </x:c>
      <x:c r="E107" s="6" t="str">
        <x:v>2026年上半年/期末2026-06-30</x:v>
      </x:c>
      <x:c r="F107" s="19" t="n">
        <x:v>5636949.86</x:v>
      </x:c>
      <x:c r="G107" s="6" t="str">
        <x:v>人民币元</x:v>
      </x:c>
      <x:c r="H107" s="19" t="n">
        <x:v>5636949.86</x:v>
      </x:c>
      <x:c r="I107" s="6" t="str">
        <x:v>人民币元</x:v>
      </x:c>
      <x:c r="J107" s="20" t="d">
        <x:v>2026-08-17T00:00:00.000Z</x:v>
      </x:c>
      <x:c r="K107" s="6" t="str">
        <x:v>F001</x:v>
      </x:c>
      <x:c r="L107" s="6" t="str">
        <x:v>已核实原值</x:v>
      </x:c>
      <x:c r="M107" s="6" t="str">
        <x:v>集团合并口径；金额为人民币元。 2026年1-6月/2026-06-30，半年度财务报告未经审计。</x:v>
      </x:c>
    </x:row>
    <x:row r="108" ht="56" customHeight="1">
      <x:c r="A108" s="6" t="str">
        <x:v>R0203</x:v>
      </x:c>
      <x:c r="B108" s="6" t="str">
        <x:v>G.A.S. Gesellschaft für analytische Sensorsysteme m.b.H</x:v>
      </x:c>
      <x:c r="C108" s="6" t="str">
        <x:v>子公司单体财务</x:v>
      </x:c>
      <x:c r="D108" s="6" t="str">
        <x:v>净利润</x:v>
      </x:c>
      <x:c r="E108" s="6" t="str">
        <x:v>2026年上半年/期末2026-06-30</x:v>
      </x:c>
      <x:c r="F108" s="19" t="n">
        <x:v>-5568953.46</x:v>
      </x:c>
      <x:c r="G108" s="6" t="str">
        <x:v>人民币元</x:v>
      </x:c>
      <x:c r="H108" s="19" t="n">
        <x:v>-5568953.46</x:v>
      </x:c>
      <x:c r="I108" s="6" t="str">
        <x:v>人民币元</x:v>
      </x:c>
      <x:c r="J108" s="20" t="d">
        <x:v>2026-08-17T00:00:00.000Z</x:v>
      </x:c>
      <x:c r="K108" s="6" t="str">
        <x:v>F001</x:v>
      </x:c>
      <x:c r="L108" s="6" t="str">
        <x:v>已核实原值</x:v>
      </x:c>
      <x:c r="M108" s="6" t="str">
        <x:v>报告表内简称G.A.S.；子公司单体报表，不可与集团合并相加。G.A.S.注册资本为欧元，其余数据人民币元。</x:v>
      </x:c>
    </x:row>
    <x:row r="109" ht="56" customHeight="1">
      <x:c r="A109" s="6" t="str">
        <x:v>R0201</x:v>
      </x:c>
      <x:c r="B109" s="6" t="str">
        <x:v>G.A.S. Gesellschaft für analytische Sensorsysteme m.b.H</x:v>
      </x:c>
      <x:c r="C109" s="6" t="str">
        <x:v>子公司单体财务</x:v>
      </x:c>
      <x:c r="D109" s="6" t="str">
        <x:v>净资产</x:v>
      </x:c>
      <x:c r="E109" s="6" t="str">
        <x:v>2026年上半年/期末2026-06-30</x:v>
      </x:c>
      <x:c r="F109" s="19" t="n">
        <x:v>38698979.04</x:v>
      </x:c>
      <x:c r="G109" s="6" t="str">
        <x:v>人民币元</x:v>
      </x:c>
      <x:c r="H109" s="19" t="n">
        <x:v>38698979.04</x:v>
      </x:c>
      <x:c r="I109" s="6" t="str">
        <x:v>人民币元</x:v>
      </x:c>
      <x:c r="J109" s="20" t="d">
        <x:v>2026-08-17T00:00:00.000Z</x:v>
      </x:c>
      <x:c r="K109" s="6" t="str">
        <x:v>F001</x:v>
      </x:c>
      <x:c r="L109" s="6" t="str">
        <x:v>已核实原值</x:v>
      </x:c>
      <x:c r="M109" s="6" t="str">
        <x:v>报告表内简称G.A.S.；子公司单体报表，不可与集团合并相加。G.A.S.注册资本为欧元，其余数据人民币元。</x:v>
      </x:c>
    </x:row>
    <x:row r="110" ht="56" customHeight="1">
      <x:c r="A110" s="6" t="str">
        <x:v>R0200</x:v>
      </x:c>
      <x:c r="B110" s="6" t="str">
        <x:v>G.A.S. Gesellschaft für analytische Sensorsysteme m.b.H</x:v>
      </x:c>
      <x:c r="C110" s="6" t="str">
        <x:v>子公司单体财务</x:v>
      </x:c>
      <x:c r="D110" s="6" t="str">
        <x:v>总资产</x:v>
      </x:c>
      <x:c r="E110" s="6" t="str">
        <x:v>2026年上半年/期末2026-06-30</x:v>
      </x:c>
      <x:c r="F110" s="19" t="n">
        <x:v>51687820.83</x:v>
      </x:c>
      <x:c r="G110" s="6" t="str">
        <x:v>人民币元</x:v>
      </x:c>
      <x:c r="H110" s="19" t="n">
        <x:v>51687820.83</x:v>
      </x:c>
      <x:c r="I110" s="6" t="str">
        <x:v>人民币元</x:v>
      </x:c>
      <x:c r="J110" s="20" t="d">
        <x:v>2026-08-17T00:00:00.000Z</x:v>
      </x:c>
      <x:c r="K110" s="6" t="str">
        <x:v>F001</x:v>
      </x:c>
      <x:c r="L110" s="6" t="str">
        <x:v>已核实原值</x:v>
      </x:c>
      <x:c r="M110" s="6" t="str">
        <x:v>报告表内简称G.A.S.；子公司单体报表，不可与集团合并相加。G.A.S.注册资本为欧元，其余数据人民币元。</x:v>
      </x:c>
    </x:row>
    <x:row r="111" ht="56" customHeight="1">
      <x:c r="A111" s="6" t="str">
        <x:v>R0199</x:v>
      </x:c>
      <x:c r="B111" s="6" t="str">
        <x:v>G.A.S. Gesellschaft für analytische Sensorsysteme m.b.H</x:v>
      </x:c>
      <x:c r="C111" s="6" t="str">
        <x:v>子公司单体财务</x:v>
      </x:c>
      <x:c r="D111" s="6" t="str">
        <x:v>注册资本</x:v>
      </x:c>
      <x:c r="E111" s="6" t="str">
        <x:v>2026年上半年/期末2026-06-30</x:v>
      </x:c>
      <x:c r="F111" s="17" t="n">
        <x:v>98300</x:v>
      </x:c>
      <x:c r="G111" s="6" t="str">
        <x:v>欧元</x:v>
      </x:c>
      <x:c r="H111" s="17" t="n">
        <x:v>98300</x:v>
      </x:c>
      <x:c r="I111" s="6" t="str">
        <x:v>欧元</x:v>
      </x:c>
      <x:c r="J111" s="20" t="d">
        <x:v>2026-08-17T00:00:00.000Z</x:v>
      </x:c>
      <x:c r="K111" s="6" t="str">
        <x:v>F001</x:v>
      </x:c>
      <x:c r="L111" s="6" t="str">
        <x:v>已核实原值</x:v>
      </x:c>
      <x:c r="M111" s="6" t="str">
        <x:v>报告表内简称G.A.S.；子公司单体报表，不可与集团合并相加。G.A.S.注册资本为欧元，其余数据人民币元。</x:v>
      </x:c>
    </x:row>
    <x:row r="112" ht="56" customHeight="1">
      <x:c r="A112" s="6" t="str">
        <x:v>R0202</x:v>
      </x:c>
      <x:c r="B112" s="6" t="str">
        <x:v>G.A.S. Gesellschaft für analytische Sensorsysteme m.b.H</x:v>
      </x:c>
      <x:c r="C112" s="6" t="str">
        <x:v>子公司单体财务</x:v>
      </x:c>
      <x:c r="D112" s="6" t="str">
        <x:v>营业收入</x:v>
      </x:c>
      <x:c r="E112" s="6" t="str">
        <x:v>2026年上半年/期末2026-06-30</x:v>
      </x:c>
      <x:c r="F112" s="19" t="n">
        <x:v>12523361.3</x:v>
      </x:c>
      <x:c r="G112" s="6" t="str">
        <x:v>人民币元</x:v>
      </x:c>
      <x:c r="H112" s="19" t="n">
        <x:v>12523361.3</x:v>
      </x:c>
      <x:c r="I112" s="6" t="str">
        <x:v>人民币元</x:v>
      </x:c>
      <x:c r="J112" s="20" t="d">
        <x:v>2026-08-17T00:00:00.000Z</x:v>
      </x:c>
      <x:c r="K112" s="6" t="str">
        <x:v>F001</x:v>
      </x:c>
      <x:c r="L112" s="6" t="str">
        <x:v>已核实原值</x:v>
      </x:c>
      <x:c r="M112" s="6" t="str">
        <x:v>报告表内简称G.A.S.；子公司单体报表，不可与集团合并相加。G.A.S.注册资本为欧元，其余数据人民币元。</x:v>
      </x:c>
    </x:row>
    <x:row r="113" ht="40" customHeight="1">
      <x:c r="A113" s="6" t="str">
        <x:v>R0188</x:v>
      </x:c>
      <x:c r="B113" s="6" t="str">
        <x:v>上海新仪微波化学科技有限公司</x:v>
      </x:c>
      <x:c r="C113" s="6" t="str">
        <x:v>子公司单体财务</x:v>
      </x:c>
      <x:c r="D113" s="6" t="str">
        <x:v>净利润</x:v>
      </x:c>
      <x:c r="E113" s="6" t="str">
        <x:v>2026年上半年/期末2026-06-30</x:v>
      </x:c>
      <x:c r="F113" s="19" t="n">
        <x:v>1704666.8</x:v>
      </x:c>
      <x:c r="G113" s="6" t="str">
        <x:v>人民币元</x:v>
      </x:c>
      <x:c r="H113" s="19" t="n">
        <x:v>1704666.8</x:v>
      </x:c>
      <x:c r="I113" s="6" t="str">
        <x:v>人民币元</x:v>
      </x:c>
      <x:c r="J113" s="20" t="d">
        <x:v>2026-08-17T00:00:00.000Z</x:v>
      </x:c>
      <x:c r="K113" s="6" t="str">
        <x:v>F001</x:v>
      </x:c>
      <x:c r="L113" s="6" t="str">
        <x:v>已核实原值</x:v>
      </x:c>
      <x:c r="M113" s="6" t="str">
        <x:v>报告表内简称上海新仪；子公司单体报表，不可与集团合并相加。G.A.S.注册资本为欧元，其余数据人民币元。</x:v>
      </x:c>
    </x:row>
    <x:row r="114" ht="40" customHeight="1">
      <x:c r="A114" s="6" t="str">
        <x:v>R0186</x:v>
      </x:c>
      <x:c r="B114" s="6" t="str">
        <x:v>上海新仪微波化学科技有限公司</x:v>
      </x:c>
      <x:c r="C114" s="6" t="str">
        <x:v>子公司单体财务</x:v>
      </x:c>
      <x:c r="D114" s="6" t="str">
        <x:v>净资产</x:v>
      </x:c>
      <x:c r="E114" s="6" t="str">
        <x:v>2026年上半年/期末2026-06-30</x:v>
      </x:c>
      <x:c r="F114" s="19" t="n">
        <x:v>21868946.47</x:v>
      </x:c>
      <x:c r="G114" s="6" t="str">
        <x:v>人民币元</x:v>
      </x:c>
      <x:c r="H114" s="19" t="n">
        <x:v>21868946.47</x:v>
      </x:c>
      <x:c r="I114" s="6" t="str">
        <x:v>人民币元</x:v>
      </x:c>
      <x:c r="J114" s="20" t="d">
        <x:v>2026-08-17T00:00:00.000Z</x:v>
      </x:c>
      <x:c r="K114" s="6" t="str">
        <x:v>F001</x:v>
      </x:c>
      <x:c r="L114" s="6" t="str">
        <x:v>已核实原值</x:v>
      </x:c>
      <x:c r="M114" s="6" t="str">
        <x:v>报告表内简称上海新仪；子公司单体报表，不可与集团合并相加。G.A.S.注册资本为欧元，其余数据人民币元。</x:v>
      </x:c>
    </x:row>
    <x:row r="115" ht="40" customHeight="1">
      <x:c r="A115" s="6" t="str">
        <x:v>R0185</x:v>
      </x:c>
      <x:c r="B115" s="6" t="str">
        <x:v>上海新仪微波化学科技有限公司</x:v>
      </x:c>
      <x:c r="C115" s="6" t="str">
        <x:v>子公司单体财务</x:v>
      </x:c>
      <x:c r="D115" s="6" t="str">
        <x:v>总资产</x:v>
      </x:c>
      <x:c r="E115" s="6" t="str">
        <x:v>2026年上半年/期末2026-06-30</x:v>
      </x:c>
      <x:c r="F115" s="19" t="n">
        <x:v>28376741.08</x:v>
      </x:c>
      <x:c r="G115" s="6" t="str">
        <x:v>人民币元</x:v>
      </x:c>
      <x:c r="H115" s="19" t="n">
        <x:v>28376741.08</x:v>
      </x:c>
      <x:c r="I115" s="6" t="str">
        <x:v>人民币元</x:v>
      </x:c>
      <x:c r="J115" s="20" t="d">
        <x:v>2026-08-17T00:00:00.000Z</x:v>
      </x:c>
      <x:c r="K115" s="6" t="str">
        <x:v>F001</x:v>
      </x:c>
      <x:c r="L115" s="6" t="str">
        <x:v>已核实原值</x:v>
      </x:c>
      <x:c r="M115" s="6" t="str">
        <x:v>报告表内简称上海新仪；子公司单体报表，不可与集团合并相加。G.A.S.注册资本为欧元，其余数据人民币元。</x:v>
      </x:c>
    </x:row>
    <x:row r="116" ht="40" customHeight="1">
      <x:c r="A116" s="6" t="str">
        <x:v>R0184</x:v>
      </x:c>
      <x:c r="B116" s="6" t="str">
        <x:v>上海新仪微波化学科技有限公司</x:v>
      </x:c>
      <x:c r="C116" s="6" t="str">
        <x:v>子公司单体财务</x:v>
      </x:c>
      <x:c r="D116" s="6" t="str">
        <x:v>注册资本</x:v>
      </x:c>
      <x:c r="E116" s="6" t="str">
        <x:v>2026年上半年/期末2026-06-30</x:v>
      </x:c>
      <x:c r="F116" s="17" t="n">
        <x:v>10000000</x:v>
      </x:c>
      <x:c r="G116" s="6" t="str">
        <x:v>人民币元</x:v>
      </x:c>
      <x:c r="H116" s="17" t="n">
        <x:v>10000000</x:v>
      </x:c>
      <x:c r="I116" s="6" t="str">
        <x:v>人民币元</x:v>
      </x:c>
      <x:c r="J116" s="20" t="d">
        <x:v>2026-08-17T00:00:00.000Z</x:v>
      </x:c>
      <x:c r="K116" s="6" t="str">
        <x:v>F001</x:v>
      </x:c>
      <x:c r="L116" s="6" t="str">
        <x:v>已核实原值</x:v>
      </x:c>
      <x:c r="M116" s="6" t="str">
        <x:v>报告表内简称上海新仪；子公司单体报表，不可与集团合并相加。G.A.S.注册资本为欧元，其余数据人民币元。</x:v>
      </x:c>
    </x:row>
    <x:row r="117" ht="40" customHeight="1">
      <x:c r="A117" s="6" t="str">
        <x:v>R0187</x:v>
      </x:c>
      <x:c r="B117" s="6" t="str">
        <x:v>上海新仪微波化学科技有限公司</x:v>
      </x:c>
      <x:c r="C117" s="6" t="str">
        <x:v>子公司单体财务</x:v>
      </x:c>
      <x:c r="D117" s="6" t="str">
        <x:v>营业收入</x:v>
      </x:c>
      <x:c r="E117" s="6" t="str">
        <x:v>2026年上半年/期末2026-06-30</x:v>
      </x:c>
      <x:c r="F117" s="19" t="n">
        <x:v>25901908.37</x:v>
      </x:c>
      <x:c r="G117" s="6" t="str">
        <x:v>人民币元</x:v>
      </x:c>
      <x:c r="H117" s="19" t="n">
        <x:v>25901908.37</x:v>
      </x:c>
      <x:c r="I117" s="6" t="str">
        <x:v>人民币元</x:v>
      </x:c>
      <x:c r="J117" s="20" t="d">
        <x:v>2026-08-17T00:00:00.000Z</x:v>
      </x:c>
      <x:c r="K117" s="6" t="str">
        <x:v>F001</x:v>
      </x:c>
      <x:c r="L117" s="6" t="str">
        <x:v>已核实原值</x:v>
      </x:c>
      <x:c r="M117" s="6" t="str">
        <x:v>报告表内简称上海新仪；子公司单体报表，不可与集团合并相加。G.A.S.注册资本为欧元，其余数据人民币元。</x:v>
      </x:c>
    </x:row>
    <x:row r="118" ht="40" customHeight="1">
      <x:c r="A118" s="6" t="str">
        <x:v>R0178</x:v>
      </x:c>
      <x:c r="B118" s="6" t="str">
        <x:v>山东海能科学仪器有限公司</x:v>
      </x:c>
      <x:c r="C118" s="6" t="str">
        <x:v>子公司单体财务</x:v>
      </x:c>
      <x:c r="D118" s="6" t="str">
        <x:v>净利润</x:v>
      </x:c>
      <x:c r="E118" s="6" t="str">
        <x:v>2026年上半年/期末2026-06-30</x:v>
      </x:c>
      <x:c r="F118" s="19" t="n">
        <x:v>430856.65</x:v>
      </x:c>
      <x:c r="G118" s="6" t="str">
        <x:v>人民币元</x:v>
      </x:c>
      <x:c r="H118" s="19" t="n">
        <x:v>430856.65</x:v>
      </x:c>
      <x:c r="I118" s="6" t="str">
        <x:v>人民币元</x:v>
      </x:c>
      <x:c r="J118" s="20" t="d">
        <x:v>2026-08-17T00:00:00.000Z</x:v>
      </x:c>
      <x:c r="K118" s="6" t="str">
        <x:v>F001</x:v>
      </x:c>
      <x:c r="L118" s="6" t="str">
        <x:v>已核实原值</x:v>
      </x:c>
      <x:c r="M118" s="6" t="str">
        <x:v>报告表内简称山东海能；子公司单体报表，不可与集团合并相加。G.A.S.注册资本为欧元，其余数据人民币元。</x:v>
      </x:c>
    </x:row>
    <x:row r="119" ht="40" customHeight="1">
      <x:c r="A119" s="6" t="str">
        <x:v>R0176</x:v>
      </x:c>
      <x:c r="B119" s="6" t="str">
        <x:v>山东海能科学仪器有限公司</x:v>
      </x:c>
      <x:c r="C119" s="6" t="str">
        <x:v>子公司单体财务</x:v>
      </x:c>
      <x:c r="D119" s="6" t="str">
        <x:v>净资产</x:v>
      </x:c>
      <x:c r="E119" s="6" t="str">
        <x:v>2026年上半年/期末2026-06-30</x:v>
      </x:c>
      <x:c r="F119" s="19" t="n">
        <x:v>97587159.69</x:v>
      </x:c>
      <x:c r="G119" s="6" t="str">
        <x:v>人民币元</x:v>
      </x:c>
      <x:c r="H119" s="19" t="n">
        <x:v>97587159.69</x:v>
      </x:c>
      <x:c r="I119" s="6" t="str">
        <x:v>人民币元</x:v>
      </x:c>
      <x:c r="J119" s="20" t="d">
        <x:v>2026-08-17T00:00:00.000Z</x:v>
      </x:c>
      <x:c r="K119" s="6" t="str">
        <x:v>F001</x:v>
      </x:c>
      <x:c r="L119" s="6" t="str">
        <x:v>已核实原值</x:v>
      </x:c>
      <x:c r="M119" s="6" t="str">
        <x:v>报告表内简称山东海能；子公司单体报表，不可与集团合并相加。G.A.S.注册资本为欧元，其余数据人民币元。</x:v>
      </x:c>
    </x:row>
    <x:row r="120" ht="40" customHeight="1">
      <x:c r="A120" s="6" t="str">
        <x:v>R0175</x:v>
      </x:c>
      <x:c r="B120" s="6" t="str">
        <x:v>山东海能科学仪器有限公司</x:v>
      </x:c>
      <x:c r="C120" s="6" t="str">
        <x:v>子公司单体财务</x:v>
      </x:c>
      <x:c r="D120" s="6" t="str">
        <x:v>总资产</x:v>
      </x:c>
      <x:c r="E120" s="6" t="str">
        <x:v>2026年上半年/期末2026-06-30</x:v>
      </x:c>
      <x:c r="F120" s="19" t="n">
        <x:v>245213238.86</x:v>
      </x:c>
      <x:c r="G120" s="6" t="str">
        <x:v>人民币元</x:v>
      </x:c>
      <x:c r="H120" s="19" t="n">
        <x:v>245213238.86</x:v>
      </x:c>
      <x:c r="I120" s="6" t="str">
        <x:v>人民币元</x:v>
      </x:c>
      <x:c r="J120" s="20" t="d">
        <x:v>2026-08-17T00:00:00.000Z</x:v>
      </x:c>
      <x:c r="K120" s="6" t="str">
        <x:v>F001</x:v>
      </x:c>
      <x:c r="L120" s="6" t="str">
        <x:v>已核实原值</x:v>
      </x:c>
      <x:c r="M120" s="6" t="str">
        <x:v>报告表内简称山东海能；子公司单体报表，不可与集团合并相加。G.A.S.注册资本为欧元，其余数据人民币元。</x:v>
      </x:c>
    </x:row>
    <x:row r="121" ht="40" customHeight="1">
      <x:c r="A121" s="6" t="str">
        <x:v>R0174</x:v>
      </x:c>
      <x:c r="B121" s="6" t="str">
        <x:v>山东海能科学仪器有限公司</x:v>
      </x:c>
      <x:c r="C121" s="6" t="str">
        <x:v>子公司单体财务</x:v>
      </x:c>
      <x:c r="D121" s="6" t="str">
        <x:v>注册资本</x:v>
      </x:c>
      <x:c r="E121" s="6" t="str">
        <x:v>2026年上半年/期末2026-06-30</x:v>
      </x:c>
      <x:c r="F121" s="17" t="n">
        <x:v>100000000</x:v>
      </x:c>
      <x:c r="G121" s="6" t="str">
        <x:v>人民币元</x:v>
      </x:c>
      <x:c r="H121" s="17" t="n">
        <x:v>100000000</x:v>
      </x:c>
      <x:c r="I121" s="6" t="str">
        <x:v>人民币元</x:v>
      </x:c>
      <x:c r="J121" s="20" t="d">
        <x:v>2026-08-17T00:00:00.000Z</x:v>
      </x:c>
      <x:c r="K121" s="6" t="str">
        <x:v>F001</x:v>
      </x:c>
      <x:c r="L121" s="6" t="str">
        <x:v>已核实原值</x:v>
      </x:c>
      <x:c r="M121" s="6" t="str">
        <x:v>报告表内简称山东海能；子公司单体报表，不可与集团合并相加。G.A.S.注册资本为欧元，其余数据人民币元。</x:v>
      </x:c>
    </x:row>
    <x:row r="122" ht="40" customHeight="1">
      <x:c r="A122" s="6" t="str">
        <x:v>R0177</x:v>
      </x:c>
      <x:c r="B122" s="6" t="str">
        <x:v>山东海能科学仪器有限公司</x:v>
      </x:c>
      <x:c r="C122" s="6" t="str">
        <x:v>子公司单体财务</x:v>
      </x:c>
      <x:c r="D122" s="6" t="str">
        <x:v>营业收入</x:v>
      </x:c>
      <x:c r="E122" s="6" t="str">
        <x:v>2026年上半年/期末2026-06-30</x:v>
      </x:c>
      <x:c r="F122" s="19" t="n">
        <x:v>68453805.66</x:v>
      </x:c>
      <x:c r="G122" s="6" t="str">
        <x:v>人民币元</x:v>
      </x:c>
      <x:c r="H122" s="19" t="n">
        <x:v>68453805.66</x:v>
      </x:c>
      <x:c r="I122" s="6" t="str">
        <x:v>人民币元</x:v>
      </x:c>
      <x:c r="J122" s="20" t="d">
        <x:v>2026-08-17T00:00:00.000Z</x:v>
      </x:c>
      <x:c r="K122" s="6" t="str">
        <x:v>F001</x:v>
      </x:c>
      <x:c r="L122" s="6" t="str">
        <x:v>已核实原值</x:v>
      </x:c>
      <x:c r="M122" s="6" t="str">
        <x:v>报告表内简称山东海能；子公司单体报表，不可与集团合并相加。G.A.S.注册资本为欧元，其余数据人民币元。</x:v>
      </x:c>
    </x:row>
    <x:row r="123" ht="40" customHeight="1">
      <x:c r="A123" s="6" t="str">
        <x:v>R0198</x:v>
      </x:c>
      <x:c r="B123" s="6" t="str">
        <x:v>悟空科学仪器(上海)有限公司</x:v>
      </x:c>
      <x:c r="C123" s="6" t="str">
        <x:v>子公司单体财务</x:v>
      </x:c>
      <x:c r="D123" s="6" t="str">
        <x:v>净利润</x:v>
      </x:c>
      <x:c r="E123" s="6" t="str">
        <x:v>2026年上半年/期末2026-06-30</x:v>
      </x:c>
      <x:c r="F123" s="19" t="n">
        <x:v>-1624868.14</x:v>
      </x:c>
      <x:c r="G123" s="6" t="str">
        <x:v>人民币元</x:v>
      </x:c>
      <x:c r="H123" s="19" t="n">
        <x:v>-1624868.14</x:v>
      </x:c>
      <x:c r="I123" s="6" t="str">
        <x:v>人民币元</x:v>
      </x:c>
      <x:c r="J123" s="20" t="d">
        <x:v>2026-08-17T00:00:00.000Z</x:v>
      </x:c>
      <x:c r="K123" s="6" t="str">
        <x:v>F001</x:v>
      </x:c>
      <x:c r="L123" s="6" t="str">
        <x:v>已核实原值</x:v>
      </x:c>
      <x:c r="M123" s="6" t="str">
        <x:v>报告表内简称悟空仪器；子公司单体报表，不可与集团合并相加。G.A.S.注册资本为欧元，其余数据人民币元。</x:v>
      </x:c>
    </x:row>
    <x:row r="124" ht="40" customHeight="1">
      <x:c r="A124" s="6" t="str">
        <x:v>R0196</x:v>
      </x:c>
      <x:c r="B124" s="6" t="str">
        <x:v>悟空科学仪器(上海)有限公司</x:v>
      </x:c>
      <x:c r="C124" s="6" t="str">
        <x:v>子公司单体财务</x:v>
      </x:c>
      <x:c r="D124" s="6" t="str">
        <x:v>净资产</x:v>
      </x:c>
      <x:c r="E124" s="6" t="str">
        <x:v>2026年上半年/期末2026-06-30</x:v>
      </x:c>
      <x:c r="F124" s="19" t="n">
        <x:v>-40007406.67</x:v>
      </x:c>
      <x:c r="G124" s="6" t="str">
        <x:v>人民币元</x:v>
      </x:c>
      <x:c r="H124" s="19" t="n">
        <x:v>-40007406.67</x:v>
      </x:c>
      <x:c r="I124" s="6" t="str">
        <x:v>人民币元</x:v>
      </x:c>
      <x:c r="J124" s="20" t="d">
        <x:v>2026-08-17T00:00:00.000Z</x:v>
      </x:c>
      <x:c r="K124" s="6" t="str">
        <x:v>F001</x:v>
      </x:c>
      <x:c r="L124" s="6" t="str">
        <x:v>已核实原值</x:v>
      </x:c>
      <x:c r="M124" s="6" t="str">
        <x:v>报告表内简称悟空仪器；子公司单体报表，不可与集团合并相加。G.A.S.注册资本为欧元，其余数据人民币元。</x:v>
      </x:c>
    </x:row>
    <x:row r="125" ht="40" customHeight="1">
      <x:c r="A125" s="6" t="str">
        <x:v>R0195</x:v>
      </x:c>
      <x:c r="B125" s="6" t="str">
        <x:v>悟空科学仪器(上海)有限公司</x:v>
      </x:c>
      <x:c r="C125" s="6" t="str">
        <x:v>子公司单体财务</x:v>
      </x:c>
      <x:c r="D125" s="6" t="str">
        <x:v>总资产</x:v>
      </x:c>
      <x:c r="E125" s="6" t="str">
        <x:v>2026年上半年/期末2026-06-30</x:v>
      </x:c>
      <x:c r="F125" s="19" t="n">
        <x:v>24155097.76</x:v>
      </x:c>
      <x:c r="G125" s="6" t="str">
        <x:v>人民币元</x:v>
      </x:c>
      <x:c r="H125" s="19" t="n">
        <x:v>24155097.76</x:v>
      </x:c>
      <x:c r="I125" s="6" t="str">
        <x:v>人民币元</x:v>
      </x:c>
      <x:c r="J125" s="20" t="d">
        <x:v>2026-08-17T00:00:00.000Z</x:v>
      </x:c>
      <x:c r="K125" s="6" t="str">
        <x:v>F001</x:v>
      </x:c>
      <x:c r="L125" s="6" t="str">
        <x:v>已核实原值</x:v>
      </x:c>
      <x:c r="M125" s="6" t="str">
        <x:v>报告表内简称悟空仪器；子公司单体报表，不可与集团合并相加。G.A.S.注册资本为欧元，其余数据人民币元。</x:v>
      </x:c>
    </x:row>
    <x:row r="126" ht="40" customHeight="1">
      <x:c r="A126" s="6" t="str">
        <x:v>R0194</x:v>
      </x:c>
      <x:c r="B126" s="6" t="str">
        <x:v>悟空科学仪器(上海)有限公司</x:v>
      </x:c>
      <x:c r="C126" s="6" t="str">
        <x:v>子公司单体财务</x:v>
      </x:c>
      <x:c r="D126" s="6" t="str">
        <x:v>注册资本</x:v>
      </x:c>
      <x:c r="E126" s="6" t="str">
        <x:v>2026年上半年/期末2026-06-30</x:v>
      </x:c>
      <x:c r="F126" s="17" t="n">
        <x:v>20000000</x:v>
      </x:c>
      <x:c r="G126" s="6" t="str">
        <x:v>人民币元</x:v>
      </x:c>
      <x:c r="H126" s="17" t="n">
        <x:v>20000000</x:v>
      </x:c>
      <x:c r="I126" s="6" t="str">
        <x:v>人民币元</x:v>
      </x:c>
      <x:c r="J126" s="20" t="d">
        <x:v>2026-08-17T00:00:00.000Z</x:v>
      </x:c>
      <x:c r="K126" s="6" t="str">
        <x:v>F001</x:v>
      </x:c>
      <x:c r="L126" s="6" t="str">
        <x:v>已核实原值</x:v>
      </x:c>
      <x:c r="M126" s="6" t="str">
        <x:v>报告表内简称悟空仪器；子公司单体报表，不可与集团合并相加。G.A.S.注册资本为欧元，其余数据人民币元。</x:v>
      </x:c>
    </x:row>
    <x:row r="127" ht="40" customHeight="1">
      <x:c r="A127" s="6" t="str">
        <x:v>R0197</x:v>
      </x:c>
      <x:c r="B127" s="6" t="str">
        <x:v>悟空科学仪器(上海)有限公司</x:v>
      </x:c>
      <x:c r="C127" s="6" t="str">
        <x:v>子公司单体财务</x:v>
      </x:c>
      <x:c r="D127" s="6" t="str">
        <x:v>营业收入</x:v>
      </x:c>
      <x:c r="E127" s="6" t="str">
        <x:v>2026年上半年/期末2026-06-30</x:v>
      </x:c>
      <x:c r="F127" s="19" t="n">
        <x:v>25333813.34</x:v>
      </x:c>
      <x:c r="G127" s="6" t="str">
        <x:v>人民币元</x:v>
      </x:c>
      <x:c r="H127" s="19" t="n">
        <x:v>25333813.34</x:v>
      </x:c>
      <x:c r="I127" s="6" t="str">
        <x:v>人民币元</x:v>
      </x:c>
      <x:c r="J127" s="20" t="d">
        <x:v>2026-08-17T00:00:00.000Z</x:v>
      </x:c>
      <x:c r="K127" s="6" t="str">
        <x:v>F001</x:v>
      </x:c>
      <x:c r="L127" s="6" t="str">
        <x:v>已核实原值</x:v>
      </x:c>
      <x:c r="M127" s="6" t="str">
        <x:v>报告表内简称悟空仪器；子公司单体报表，不可与集团合并相加。G.A.S.注册资本为欧元，其余数据人民币元。</x:v>
      </x:c>
    </x:row>
    <x:row r="128" ht="40" customHeight="1">
      <x:c r="A128" s="6" t="str">
        <x:v>R0193</x:v>
      </x:c>
      <x:c r="B128" s="6" t="str">
        <x:v>海能有为科学仪器(上海)有限公司</x:v>
      </x:c>
      <x:c r="C128" s="6" t="str">
        <x:v>子公司单体财务</x:v>
      </x:c>
      <x:c r="D128" s="6" t="str">
        <x:v>净利润</x:v>
      </x:c>
      <x:c r="E128" s="6" t="str">
        <x:v>2026年上半年/期末2026-06-30</x:v>
      </x:c>
      <x:c r="F128" s="19" t="n">
        <x:v>5943047.17</x:v>
      </x:c>
      <x:c r="G128" s="6" t="str">
        <x:v>人民币元</x:v>
      </x:c>
      <x:c r="H128" s="19" t="n">
        <x:v>5943047.17</x:v>
      </x:c>
      <x:c r="I128" s="6" t="str">
        <x:v>人民币元</x:v>
      </x:c>
      <x:c r="J128" s="20" t="d">
        <x:v>2026-08-17T00:00:00.000Z</x:v>
      </x:c>
      <x:c r="K128" s="6" t="str">
        <x:v>F001</x:v>
      </x:c>
      <x:c r="L128" s="6" t="str">
        <x:v>已核实原值</x:v>
      </x:c>
      <x:c r="M128" s="6" t="str">
        <x:v>报告表内简称海能有为；子公司单体报表，不可与集团合并相加。G.A.S.注册资本为欧元，其余数据人民币元。</x:v>
      </x:c>
    </x:row>
    <x:row r="129" ht="40" customHeight="1">
      <x:c r="A129" s="6" t="str">
        <x:v>R0191</x:v>
      </x:c>
      <x:c r="B129" s="6" t="str">
        <x:v>海能有为科学仪器(上海)有限公司</x:v>
      </x:c>
      <x:c r="C129" s="6" t="str">
        <x:v>子公司单体财务</x:v>
      </x:c>
      <x:c r="D129" s="6" t="str">
        <x:v>净资产</x:v>
      </x:c>
      <x:c r="E129" s="6" t="str">
        <x:v>2026年上半年/期末2026-06-30</x:v>
      </x:c>
      <x:c r="F129" s="19" t="n">
        <x:v>14110709.23</x:v>
      </x:c>
      <x:c r="G129" s="6" t="str">
        <x:v>人民币元</x:v>
      </x:c>
      <x:c r="H129" s="19" t="n">
        <x:v>14110709.23</x:v>
      </x:c>
      <x:c r="I129" s="6" t="str">
        <x:v>人民币元</x:v>
      </x:c>
      <x:c r="J129" s="20" t="d">
        <x:v>2026-08-17T00:00:00.000Z</x:v>
      </x:c>
      <x:c r="K129" s="6" t="str">
        <x:v>F001</x:v>
      </x:c>
      <x:c r="L129" s="6" t="str">
        <x:v>已核实原值</x:v>
      </x:c>
      <x:c r="M129" s="6" t="str">
        <x:v>报告表内简称海能有为；子公司单体报表，不可与集团合并相加。G.A.S.注册资本为欧元，其余数据人民币元。</x:v>
      </x:c>
    </x:row>
    <x:row r="130" ht="40" customHeight="1">
      <x:c r="A130" s="6" t="str">
        <x:v>R0190</x:v>
      </x:c>
      <x:c r="B130" s="6" t="str">
        <x:v>海能有为科学仪器(上海)有限公司</x:v>
      </x:c>
      <x:c r="C130" s="6" t="str">
        <x:v>子公司单体财务</x:v>
      </x:c>
      <x:c r="D130" s="6" t="str">
        <x:v>总资产</x:v>
      </x:c>
      <x:c r="E130" s="6" t="str">
        <x:v>2026年上半年/期末2026-06-30</x:v>
      </x:c>
      <x:c r="F130" s="19" t="n">
        <x:v>16192629.48</x:v>
      </x:c>
      <x:c r="G130" s="6" t="str">
        <x:v>人民币元</x:v>
      </x:c>
      <x:c r="H130" s="19" t="n">
        <x:v>16192629.48</x:v>
      </x:c>
      <x:c r="I130" s="6" t="str">
        <x:v>人民币元</x:v>
      </x:c>
      <x:c r="J130" s="20" t="d">
        <x:v>2026-08-17T00:00:00.000Z</x:v>
      </x:c>
      <x:c r="K130" s="6" t="str">
        <x:v>F001</x:v>
      </x:c>
      <x:c r="L130" s="6" t="str">
        <x:v>已核实原值</x:v>
      </x:c>
      <x:c r="M130" s="6" t="str">
        <x:v>报告表内简称海能有为；子公司单体报表，不可与集团合并相加。G.A.S.注册资本为欧元，其余数据人民币元。</x:v>
      </x:c>
    </x:row>
    <x:row r="131" ht="40" customHeight="1">
      <x:c r="A131" s="6" t="str">
        <x:v>R0189</x:v>
      </x:c>
      <x:c r="B131" s="6" t="str">
        <x:v>海能有为科学仪器(上海)有限公司</x:v>
      </x:c>
      <x:c r="C131" s="6" t="str">
        <x:v>子公司单体财务</x:v>
      </x:c>
      <x:c r="D131" s="6" t="str">
        <x:v>注册资本</x:v>
      </x:c>
      <x:c r="E131" s="6" t="str">
        <x:v>2026年上半年/期末2026-06-30</x:v>
      </x:c>
      <x:c r="F131" s="17" t="n">
        <x:v>10000000</x:v>
      </x:c>
      <x:c r="G131" s="6" t="str">
        <x:v>人民币元</x:v>
      </x:c>
      <x:c r="H131" s="17" t="n">
        <x:v>10000000</x:v>
      </x:c>
      <x:c r="I131" s="6" t="str">
        <x:v>人民币元</x:v>
      </x:c>
      <x:c r="J131" s="20" t="d">
        <x:v>2026-08-17T00:00:00.000Z</x:v>
      </x:c>
      <x:c r="K131" s="6" t="str">
        <x:v>F001</x:v>
      </x:c>
      <x:c r="L131" s="6" t="str">
        <x:v>已核实原值</x:v>
      </x:c>
      <x:c r="M131" s="6" t="str">
        <x:v>报告表内简称海能有为；子公司单体报表，不可与集团合并相加。G.A.S.注册资本为欧元，其余数据人民币元。</x:v>
      </x:c>
    </x:row>
    <x:row r="132" ht="40" customHeight="1">
      <x:c r="A132" s="6" t="str">
        <x:v>R0192</x:v>
      </x:c>
      <x:c r="B132" s="6" t="str">
        <x:v>海能有为科学仪器(上海)有限公司</x:v>
      </x:c>
      <x:c r="C132" s="6" t="str">
        <x:v>子公司单体财务</x:v>
      </x:c>
      <x:c r="D132" s="6" t="str">
        <x:v>营业收入</x:v>
      </x:c>
      <x:c r="E132" s="6" t="str">
        <x:v>2026年上半年/期末2026-06-30</x:v>
      </x:c>
      <x:c r="F132" s="17" t="n">
        <x:v>15925208</x:v>
      </x:c>
      <x:c r="G132" s="6" t="str">
        <x:v>人民币元</x:v>
      </x:c>
      <x:c r="H132" s="17" t="n">
        <x:v>15925208</x:v>
      </x:c>
      <x:c r="I132" s="6" t="str">
        <x:v>人民币元</x:v>
      </x:c>
      <x:c r="J132" s="20" t="d">
        <x:v>2026-08-17T00:00:00.000Z</x:v>
      </x:c>
      <x:c r="K132" s="6" t="str">
        <x:v>F001</x:v>
      </x:c>
      <x:c r="L132" s="6" t="str">
        <x:v>已核实原值</x:v>
      </x:c>
      <x:c r="M132" s="6" t="str">
        <x:v>报告表内简称海能有为；子公司单体报表，不可与集团合并相加。G.A.S.注册资本为欧元，其余数据人民币元。</x:v>
      </x:c>
    </x:row>
    <x:row r="133" ht="40" customHeight="1">
      <x:c r="A133" s="6" t="str">
        <x:v>R0183</x:v>
      </x:c>
      <x:c r="B133" s="6" t="str">
        <x:v>苏州新仪科学仪器有限公司</x:v>
      </x:c>
      <x:c r="C133" s="6" t="str">
        <x:v>子公司单体财务</x:v>
      </x:c>
      <x:c r="D133" s="6" t="str">
        <x:v>净利润</x:v>
      </x:c>
      <x:c r="E133" s="6" t="str">
        <x:v>2026年上半年/期末2026-06-30</x:v>
      </x:c>
      <x:c r="F133" s="19" t="n">
        <x:v>1451859.78</x:v>
      </x:c>
      <x:c r="G133" s="6" t="str">
        <x:v>人民币元</x:v>
      </x:c>
      <x:c r="H133" s="19" t="n">
        <x:v>1451859.78</x:v>
      </x:c>
      <x:c r="I133" s="6" t="str">
        <x:v>人民币元</x:v>
      </x:c>
      <x:c r="J133" s="20" t="d">
        <x:v>2026-08-17T00:00:00.000Z</x:v>
      </x:c>
      <x:c r="K133" s="6" t="str">
        <x:v>F001</x:v>
      </x:c>
      <x:c r="L133" s="6" t="str">
        <x:v>已核实原值</x:v>
      </x:c>
      <x:c r="M133" s="6" t="str">
        <x:v>报告表内简称新仪科学；子公司单体报表，不可与集团合并相加。G.A.S.注册资本为欧元，其余数据人民币元。</x:v>
      </x:c>
    </x:row>
    <x:row r="134" ht="40" customHeight="1">
      <x:c r="A134" s="6" t="str">
        <x:v>R0181</x:v>
      </x:c>
      <x:c r="B134" s="6" t="str">
        <x:v>苏州新仪科学仪器有限公司</x:v>
      </x:c>
      <x:c r="C134" s="6" t="str">
        <x:v>子公司单体财务</x:v>
      </x:c>
      <x:c r="D134" s="6" t="str">
        <x:v>净资产</x:v>
      </x:c>
      <x:c r="E134" s="6" t="str">
        <x:v>2026年上半年/期末2026-06-30</x:v>
      </x:c>
      <x:c r="F134" s="19" t="n">
        <x:v>11420170.19</x:v>
      </x:c>
      <x:c r="G134" s="6" t="str">
        <x:v>人民币元</x:v>
      </x:c>
      <x:c r="H134" s="19" t="n">
        <x:v>11420170.19</x:v>
      </x:c>
      <x:c r="I134" s="6" t="str">
        <x:v>人民币元</x:v>
      </x:c>
      <x:c r="J134" s="20" t="d">
        <x:v>2026-08-17T00:00:00.000Z</x:v>
      </x:c>
      <x:c r="K134" s="6" t="str">
        <x:v>F001</x:v>
      </x:c>
      <x:c r="L134" s="6" t="str">
        <x:v>已核实原值</x:v>
      </x:c>
      <x:c r="M134" s="6" t="str">
        <x:v>报告表内简称新仪科学；子公司单体报表，不可与集团合并相加。G.A.S.注册资本为欧元，其余数据人民币元。</x:v>
      </x:c>
    </x:row>
    <x:row r="135" ht="40" customHeight="1">
      <x:c r="A135" s="6" t="str">
        <x:v>R0180</x:v>
      </x:c>
      <x:c r="B135" s="6" t="str">
        <x:v>苏州新仪科学仪器有限公司</x:v>
      </x:c>
      <x:c r="C135" s="6" t="str">
        <x:v>子公司单体财务</x:v>
      </x:c>
      <x:c r="D135" s="6" t="str">
        <x:v>总资产</x:v>
      </x:c>
      <x:c r="E135" s="6" t="str">
        <x:v>2026年上半年/期末2026-06-30</x:v>
      </x:c>
      <x:c r="F135" s="19" t="n">
        <x:v>12657169.14</x:v>
      </x:c>
      <x:c r="G135" s="6" t="str">
        <x:v>人民币元</x:v>
      </x:c>
      <x:c r="H135" s="19" t="n">
        <x:v>12657169.14</x:v>
      </x:c>
      <x:c r="I135" s="6" t="str">
        <x:v>人民币元</x:v>
      </x:c>
      <x:c r="J135" s="20" t="d">
        <x:v>2026-08-17T00:00:00.000Z</x:v>
      </x:c>
      <x:c r="K135" s="6" t="str">
        <x:v>F001</x:v>
      </x:c>
      <x:c r="L135" s="6" t="str">
        <x:v>已核实原值</x:v>
      </x:c>
      <x:c r="M135" s="6" t="str">
        <x:v>报告表内简称新仪科学；子公司单体报表，不可与集团合并相加。G.A.S.注册资本为欧元，其余数据人民币元。</x:v>
      </x:c>
    </x:row>
    <x:row r="136" ht="40" customHeight="1">
      <x:c r="A136" s="6" t="str">
        <x:v>R0179</x:v>
      </x:c>
      <x:c r="B136" s="6" t="str">
        <x:v>苏州新仪科学仪器有限公司</x:v>
      </x:c>
      <x:c r="C136" s="6" t="str">
        <x:v>子公司单体财务</x:v>
      </x:c>
      <x:c r="D136" s="6" t="str">
        <x:v>注册资本</x:v>
      </x:c>
      <x:c r="E136" s="6" t="str">
        <x:v>2026年上半年/期末2026-06-30</x:v>
      </x:c>
      <x:c r="F136" s="17" t="n">
        <x:v>30000000</x:v>
      </x:c>
      <x:c r="G136" s="6" t="str">
        <x:v>人民币元</x:v>
      </x:c>
      <x:c r="H136" s="17" t="n">
        <x:v>30000000</x:v>
      </x:c>
      <x:c r="I136" s="6" t="str">
        <x:v>人民币元</x:v>
      </x:c>
      <x:c r="J136" s="20" t="d">
        <x:v>2026-08-17T00:00:00.000Z</x:v>
      </x:c>
      <x:c r="K136" s="6" t="str">
        <x:v>F001</x:v>
      </x:c>
      <x:c r="L136" s="6" t="str">
        <x:v>已核实原值</x:v>
      </x:c>
      <x:c r="M136" s="6" t="str">
        <x:v>报告表内简称新仪科学；子公司单体报表，不可与集团合并相加。G.A.S.注册资本为欧元，其余数据人民币元。</x:v>
      </x:c>
    </x:row>
    <x:row r="137" ht="40" customHeight="1">
      <x:c r="A137" s="6" t="str">
        <x:v>R0182</x:v>
      </x:c>
      <x:c r="B137" s="6" t="str">
        <x:v>苏州新仪科学仪器有限公司</x:v>
      </x:c>
      <x:c r="C137" s="6" t="str">
        <x:v>子公司单体财务</x:v>
      </x:c>
      <x:c r="D137" s="6" t="str">
        <x:v>营业收入</x:v>
      </x:c>
      <x:c r="E137" s="6" t="str">
        <x:v>2026年上半年/期末2026-06-30</x:v>
      </x:c>
      <x:c r="F137" s="19" t="n">
        <x:v>4564853.26</x:v>
      </x:c>
      <x:c r="G137" s="6" t="str">
        <x:v>人民币元</x:v>
      </x:c>
      <x:c r="H137" s="19" t="n">
        <x:v>4564853.26</x:v>
      </x:c>
      <x:c r="I137" s="6" t="str">
        <x:v>人民币元</x:v>
      </x:c>
      <x:c r="J137" s="20" t="d">
        <x:v>2026-08-17T00:00:00.000Z</x:v>
      </x:c>
      <x:c r="K137" s="6" t="str">
        <x:v>F001</x:v>
      </x:c>
      <x:c r="L137" s="6" t="str">
        <x:v>已核实原值</x:v>
      </x:c>
      <x:c r="M137" s="6" t="str">
        <x:v>报告表内简称新仪科学；子公司单体报表，不可与集团合并相加。G.A.S.注册资本为欧元，其余数据人民币元。</x:v>
      </x:c>
    </x:row>
  </x:sheetData>
  <x:pageMargins left="0.7" right="0.7" top="0.75" bottom="0.75" header="0.3" footer="0.3"/>
  <x:tableParts count="1">
    <x:tablePart xmlns:r="http://schemas.openxmlformats.org/officeDocument/2006/relationships" r:id="R97a2e7a15498480a"/>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3" hidden="0" customWidth="1"/>
    <x:col min="3" max="3" width="40" hidden="0" customWidth="1"/>
    <x:col min="4" max="4" width="31" hidden="0" customWidth="1"/>
    <x:col min="5" max="5" width="70" hidden="0" customWidth="1"/>
    <x:col min="6" max="6" width="42" hidden="0" customWidth="1"/>
    <x:col min="7" max="7" width="18" hidden="0" customWidth="1"/>
    <x:col min="8" max="8" width="42" hidden="0" customWidth="1"/>
    <x:col min="9" max="9" width="41" hidden="0" customWidth="1"/>
    <x:col min="10" max="10" width="42" hidden="0" customWidth="1"/>
    <x:col min="11" max="11" width="28" hidden="0" customWidth="1"/>
    <x:col min="12" max="12" width="65" hidden="0" customWidth="1"/>
    <x:col min="13" max="13" width="23" hidden="0" customWidth="1"/>
    <x:col min="14" max="14" width="15" hidden="0" customWidth="1"/>
    <x:col min="15" max="15" width="27" hidden="0" customWidth="1"/>
    <x:col min="16" max="16" width="55" hidden="0" customWidth="1"/>
    <x:col min="17" max="17" width="24" hidden="0" customWidth="1"/>
    <x:col min="18" max="18" width="36" hidden="0" customWidth="1"/>
    <x:col min="19" max="19" width="40" hidden="0" customWidth="1"/>
    <x:col min="20" max="20" width="62" hidden="0" customWidth="1"/>
    <x:col min="21" max="21" width="17" hidden="0" customWidth="1"/>
    <x:col min="22" max="22" width="48" hidden="0" customWidth="1"/>
    <x:col min="23" max="23" width="105" hidden="0" customWidth="1"/>
  </x:cols>
  <x:sheetData>
    <x:row r="2" ht="28" customHeight="1">
      <x:c r="A2" s="2" t="str">
        <x:v>海能相关建设项目与设备采购记录</x:v>
      </x:c>
      <x:c r="B2" s="2"/>
      <x:c r="C2" s="2"/>
      <x:c r="D2" s="2"/>
      <x:c r="E2" s="2"/>
      <x:c r="F2" s="2"/>
      <x:c r="G2" s="2"/>
      <x:c r="H2" s="2"/>
      <x:c r="I2" s="2"/>
      <x:c r="J2" s="2"/>
      <x:c r="K2" s="2"/>
      <x:c r="L2" s="2"/>
      <x:c r="M2" s="2"/>
      <x:c r="N2" s="2"/>
      <x:c r="O2" s="2"/>
      <x:c r="P2" s="2"/>
      <x:c r="Q2" s="2"/>
      <x:c r="R2" s="2"/>
      <x:c r="S2" s="2"/>
      <x:c r="T2" s="2"/>
      <x:c r="U2" s="2"/>
      <x:c r="V2" s="2"/>
      <x:c r="W2" s="2"/>
    </x:row>
    <x:row r="3" ht="24" customHeight="1">
      <x:c r="A3" s="3" t="str">
        <x:v>20行关联明细来自18个公告/报告来源；未确认集团直接中标公告。</x:v>
      </x:c>
      <x:c r="B3" s="3"/>
      <x:c r="C3" s="3"/>
      <x:c r="D3" s="3"/>
      <x:c r="E3" s="3"/>
      <x:c r="F3" s="3"/>
      <x:c r="G3" s="3"/>
      <x:c r="H3" s="3"/>
      <x:c r="I3" s="3"/>
      <x:c r="J3" s="3"/>
      <x:c r="K3" s="3"/>
      <x:c r="L3" s="3"/>
      <x:c r="M3" s="3"/>
      <x:c r="N3" s="3"/>
      <x:c r="O3" s="3"/>
      <x:c r="P3" s="3"/>
      <x:c r="Q3" s="3"/>
      <x:c r="R3" s="3"/>
      <x:c r="S3" s="3"/>
      <x:c r="T3" s="3"/>
      <x:c r="U3" s="3"/>
      <x:c r="V3" s="3"/>
      <x:c r="W3" s="3"/>
    </x:row>
    <x:row r="5" ht="38" customHeight="1">
      <x:c r="A5" s="12" t="str">
        <x:v>记录ID</x:v>
      </x:c>
      <x:c r="B5" s="13" t="str">
        <x:v>涉及主体或品牌</x:v>
      </x:c>
      <x:c r="C5" s="13" t="str">
        <x:v>涉及角色</x:v>
      </x:c>
      <x:c r="D5" s="13" t="str">
        <x:v>公告或资料类型</x:v>
      </x:c>
      <x:c r="E5" s="13" t="str">
        <x:v>项目名称</x:v>
      </x:c>
      <x:c r="F5" s="13" t="str">
        <x:v>项目编号</x:v>
      </x:c>
      <x:c r="G5" s="13" t="str">
        <x:v>发布日</x:v>
      </x:c>
      <x:c r="H5" s="13" t="str">
        <x:v>采购人或建设方</x:v>
      </x:c>
      <x:c r="I5" s="13" t="str">
        <x:v>代理机构</x:v>
      </x:c>
      <x:c r="J5" s="13" t="str">
        <x:v>经销商或供应商</x:v>
      </x:c>
      <x:c r="K5" s="13" t="str">
        <x:v>地区</x:v>
      </x:c>
      <x:c r="L5" s="13" t="str">
        <x:v>原文金额</x:v>
      </x:c>
      <x:c r="M5" s="13" t="str">
        <x:v>金额数值</x:v>
      </x:c>
      <x:c r="N5" s="13" t="str">
        <x:v>单位</x:v>
      </x:c>
      <x:c r="O5" s="13" t="str">
        <x:v>币种</x:v>
      </x:c>
      <x:c r="P5" s="13" t="str">
        <x:v>金额性质</x:v>
      </x:c>
      <x:c r="Q5" s="13" t="str">
        <x:v>联系人</x:v>
      </x:c>
      <x:c r="R5" s="13" t="str">
        <x:v>电话原文</x:v>
      </x:c>
      <x:c r="S5" s="13" t="str">
        <x:v>邮箱原文</x:v>
      </x:c>
      <x:c r="T5" s="13" t="str">
        <x:v>联系人归属</x:v>
      </x:c>
      <x:c r="U5" s="13" t="str">
        <x:v>来源编号</x:v>
      </x:c>
      <x:c r="V5" s="13" t="str">
        <x:v>核验状态</x:v>
      </x:c>
      <x:c r="W5" s="14" t="str">
        <x:v>限制与清洗说明</x:v>
      </x:c>
    </x:row>
    <x:row r="6" ht="40" customHeight="1">
      <x:c r="A6" s="6" t="str">
        <x:v>R0383</x:v>
      </x:c>
      <x:c r="B6" s="6" t="str">
        <x:v>海能（品牌）</x:v>
      </x:c>
      <x:c r="C6" s="6" t="str">
        <x:v>品牌设备入选；经销商中标</x:v>
      </x:c>
      <x:c r="D6" s="6" t="str">
        <x:v>中标（成交）结果公告</x:v>
      </x:c>
      <x:c r="E6" s="6" t="str">
        <x:v>高通量全自动样品前处理系统、数字PCR仪等设备采购结果公告（采购包1、2、3、4、6）</x:v>
      </x:c>
      <x:c r="F6" s="6" t="str">
        <x:v>[350001]RK[GK]2026002</x:v>
      </x:c>
      <x:c r="G6" s="20" t="d">
        <x:v>2026-10-08T00:00:00.000Z</x:v>
      </x:c>
      <x:c r="H6" s="6" t="str">
        <x:v>福建省疾病预防控制中心</x:v>
      </x:c>
      <x:c r="I6" s="6" t="str">
        <x:v>福建睿凯工程管理有限公司</x:v>
      </x:c>
      <x:c r="J6" s="6" t="str">
        <x:v>福州神秘火科技有限公司</x:v>
      </x:c>
      <x:c r="K6" s="6" t="str">
        <x:v>福建</x:v>
      </x:c>
      <x:c r="L6" s="6" t="str">
        <x:v>348,280.00元，1台</x:v>
      </x:c>
      <x:c r="M6" s="17" t="n">
        <x:v>348280</x:v>
      </x:c>
      <x:c r="N6" s="6" t="str">
        <x:v>元</x:v>
      </x:c>
      <x:c r="O6" s="6" t="str">
        <x:v>CNY</x:v>
      </x:c>
      <x:c r="P6" s="6" t="str">
        <x:v>海能相关设备成交金额（非集团中标额）</x:v>
      </x:c>
      <x:c r="Q6" s="6" t="str">
        <x:v>黄工</x:v>
      </x:c>
      <x:c r="R6" s="15" t="str">
        <x:v>15396005097</x:v>
      </x:c>
      <x:c r="S6" s="6"/>
      <x:c r="T6" s="6" t="str">
        <x:v>项目联系人/代理机构（非海能采购联系人）</x:v>
      </x:c>
      <x:c r="U6" s="6" t="str">
        <x:v>P011</x:v>
      </x:c>
      <x:c r="V6" s="6" t="str">
        <x:v>已核验官方公告正文</x:v>
      </x:c>
      <x:c r="W6" s="6" t="str">
        <x:v>354060元为包3经销商总中标额；品牌设备为348280元，全部包公告总额1807590元不可归于海能。</x:v>
      </x:c>
    </x:row>
    <x:row r="7" ht="40" customHeight="1">
      <x:c r="A7" s="6" t="str">
        <x:v>R0384</x:v>
      </x:c>
      <x:c r="B7" s="6" t="str">
        <x:v>海能（品牌）</x:v>
      </x:c>
      <x:c r="C7" s="6" t="str">
        <x:v>品牌设备入选；经销商中标</x:v>
      </x:c>
      <x:c r="D7" s="6" t="str">
        <x:v>中标（成交）结果公告</x:v>
      </x:c>
      <x:c r="E7" s="6" t="str">
        <x:v>2026年新疆理工职业大学天山食府智慧餐饮等购置安装采购项目中标(成交)结果公告</x:v>
      </x:c>
      <x:c r="F7" s="6" t="str">
        <x:v>XJBTBJ[2026]2271号（02）</x:v>
      </x:c>
      <x:c r="G7" s="20" t="d">
        <x:v>2026-10-01T00:00:00.000Z</x:v>
      </x:c>
      <x:c r="H7" s="6" t="str">
        <x:v>新疆理工职业大学</x:v>
      </x:c>
      <x:c r="I7" s="6" t="str">
        <x:v>新疆懿源工程咨询管理有限公司</x:v>
      </x:c>
      <x:c r="J7" s="6" t="str">
        <x:v>西安启夏信息科技有限公司</x:v>
      </x:c>
      <x:c r="K7" s="6" t="str">
        <x:v>新疆生产建设兵团</x:v>
      </x:c>
      <x:c r="L7" s="6" t="str">
        <x:v>18000元，1台</x:v>
      </x:c>
      <x:c r="M7" s="17" t="n">
        <x:v>18000</x:v>
      </x:c>
      <x:c r="N7" s="6" t="str">
        <x:v>元</x:v>
      </x:c>
      <x:c r="O7" s="6" t="str">
        <x:v>CNY</x:v>
      </x:c>
      <x:c r="P7" s="6" t="str">
        <x:v>海能相关设备成交金额（非集团中标额）</x:v>
      </x:c>
      <x:c r="Q7" s="6" t="str">
        <x:v>苏莉、朱玉斌、何乐</x:v>
      </x:c>
      <x:c r="R7" s="15" t="str">
        <x:v>18599017770</x:v>
      </x:c>
      <x:c r="S7" s="6"/>
      <x:c r="T7" s="6" t="str">
        <x:v>项目联系人/代理机构（非海能采购联系人）</x:v>
      </x:c>
      <x:c r="U7" s="6" t="str">
        <x:v>P012</x:v>
      </x:c>
      <x:c r="V7" s="6" t="str">
        <x:v>已核验官方公告正文</x:v>
      </x:c>
      <x:c r="W7" s="6" t="str">
        <x:v>1682000元为经销商整个项目金额；海能品牌仪器18000元。</x:v>
      </x:c>
    </x:row>
    <x:row r="8" ht="40" customHeight="1">
      <x:c r="A8" s="6" t="str">
        <x:v>R0392</x:v>
      </x:c>
      <x:c r="B8" s="6" t="str">
        <x:v>悟空仪器（品牌）</x:v>
      </x:c>
      <x:c r="C8" s="6" t="str">
        <x:v>品牌设备入选；经销商中标</x:v>
      </x:c>
      <x:c r="D8" s="6" t="str">
        <x:v>中标（成交）结果公告</x:v>
      </x:c>
      <x:c r="E8" s="6" t="str">
        <x:v>省疾控中心化学类设备采购项目（第2批）结果公告</x:v>
      </x:c>
      <x:c r="F8" s="6" t="str">
        <x:v>JH26-210000-43141</x:v>
      </x:c>
      <x:c r="G8" s="20" t="d">
        <x:v>2026-09-29T00:00:00.000Z</x:v>
      </x:c>
      <x:c r="H8" s="6" t="str">
        <x:v>辽宁省疾病预防控制中心</x:v>
      </x:c>
      <x:c r="I8" s="6" t="str">
        <x:v>辽宁励合招标代理有限公司</x:v>
      </x:c>
      <x:c r="J8" s="6" t="str">
        <x:v>沈阳斯鲁商贸有限公司</x:v>
      </x:c>
      <x:c r="K8" s="6" t="str">
        <x:v>辽宁</x:v>
      </x:c>
      <x:c r="L8" s="6" t="str">
        <x:v>包001高效液相色谱仪；悟空仪器 K2025 两项各1台单价400000.00及412500.00元</x:v>
      </x:c>
      <x:c r="M8" s="17" t="n">
        <x:v>812500</x:v>
      </x:c>
      <x:c r="N8" s="6" t="str">
        <x:v>元</x:v>
      </x:c>
      <x:c r="O8" s="6" t="str">
        <x:v>CNY</x:v>
      </x:c>
      <x:c r="P8" s="6" t="str">
        <x:v>品牌设备所在采购包成交总额（非集团中标额）</x:v>
      </x:c>
      <x:c r="Q8" s="6" t="str">
        <x:v>王亚男、刘戎、许帅宏、芦玲玲</x:v>
      </x:c>
      <x:c r="R8" s="6" t="str">
        <x:v>024-31325151</x:v>
      </x:c>
      <x:c r="S8" s="6"/>
      <x:c r="T8" s="6" t="str">
        <x:v>项目联系人/代理机构（非海能采购联系人）</x:v>
      </x:c>
      <x:c r="U8" s="6" t="str">
        <x:v>P018</x:v>
      </x:c>
      <x:c r="V8" s="6" t="str">
        <x:v>已核验官方公告正文</x:v>
      </x:c>
      <x:c r="W8" s="6" t="str">
        <x:v>包001官方直接公布中标812500元，亦等于两项悟空K2025设备400000及412500元之和；其他包非悟空。</x:v>
      </x:c>
    </x:row>
    <x:row r="9" ht="72" customHeight="1">
      <x:c r="A9" s="6" t="str">
        <x:v>R0401</x:v>
      </x:c>
      <x:c r="B9" s="6" t="str">
        <x:v>上海新仪微波化学科技仪器有限公司</x:v>
      </x:c>
      <x:c r="C9" s="6" t="str">
        <x:v>品牌/制造商入选；经销商中标</x:v>
      </x:c>
      <x:c r="D9" s="6" t="str">
        <x:v>成交结果公告</x:v>
      </x:c>
      <x:c r="E9" s="6" t="str">
        <x:v>[HF20262621]超级微波消解仪采购项目成交公告-必联网</x:v>
      </x:c>
      <x:c r="F9" s="6" t="str">
        <x:v>HF20262621</x:v>
      </x:c>
      <x:c r="G9" s="20" t="d">
        <x:v>2026-09-21T00:00:00.000Z</x:v>
      </x:c>
      <x:c r="H9" s="6" t="str">
        <x:v>华中科技大学能源与动力工程学院</x:v>
      </x:c>
      <x:c r="I9" s="6"/>
      <x:c r="J9" s="6" t="str">
        <x:v>武汉普兰德生物技术有限公司</x:v>
      </x:c>
      <x:c r="K9" s="6" t="str">
        <x:v>湖北</x:v>
      </x:c>
      <x:c r="L9" s="6" t="str">
        <x:v>元数据：成交金额（折合人民币）399500元；正文设备金额脱敏</x:v>
      </x:c>
      <x:c r="M9" s="17" t="n">
        <x:v>399500</x:v>
      </x:c>
      <x:c r="N9" s="6"/>
      <x:c r="O9" s="6" t="str">
        <x:v>CNY</x:v>
      </x:c>
      <x:c r="P9" s="6" t="str">
        <x:v>公开元数据项目成交额；设备明细金额未核验</x:v>
      </x:c>
      <x:c r="Q9" s="6"/>
      <x:c r="R9" s="6"/>
      <x:c r="S9" s="6"/>
      <x:c r="T9" s="6" t="str">
        <x:v>项目联系人（非海能采购联系人）</x:v>
      </x:c>
      <x:c r="U9" s="6" t="str">
        <x:v>P006</x:v>
      </x:c>
      <x:c r="V9" s="6" t="str">
        <x:v>待核设备明细；项目总价仅有元数据证据</x:v>
      </x:c>
      <x:c r="W9" s="6" t="str">
        <x:v>未登录,不补猜星号字段;必联网客服400-0606-000不是企业/项目采购电话。;公开meta description披露399500元,正文金额和单价仍脱敏;只能标注元数据披露的项目成交金额,不应标为已核验设备明细金额。;编号已在公开title及h2出现,可标为标题编号来源。；公告制造商名称与报告“上海新仪微波化学科技有限公司”不同，保持原文名称；法人关系待核</x:v>
      </x:c>
    </x:row>
    <x:row r="10" ht="40" customHeight="1">
      <x:c r="A10" s="6" t="str">
        <x:v>R0396</x:v>
      </x:c>
      <x:c r="B10" s="6" t="str">
        <x:v>山东海能（品牌）</x:v>
      </x:c>
      <x:c r="C10" s="6" t="str">
        <x:v>品牌设备入选；经销商中标</x:v>
      </x:c>
      <x:c r="D10" s="6" t="str">
        <x:v>中标（成交）结果公告</x:v>
      </x:c>
      <x:c r="E10" s="6" t="str">
        <x:v>陕西中医药大学中药真伪鉴别与智能质控分析系统中标（成交）结果公告</x:v>
      </x:c>
      <x:c r="F10" s="6" t="str">
        <x:v>SZY20261350087-1</x:v>
      </x:c>
      <x:c r="G10" s="20" t="d">
        <x:v>2026-09-07T00:00:00.000Z</x:v>
      </x:c>
      <x:c r="H10" s="6" t="str">
        <x:v>陕西中医药大学</x:v>
      </x:c>
      <x:c r="I10" s="6" t="str">
        <x:v>陕西万德招标有限公司</x:v>
      </x:c>
      <x:c r="J10" s="6" t="str">
        <x:v>陕西文投国际贸易有限公司</x:v>
      </x:c>
      <x:c r="K10" s="6" t="str">
        <x:v>陕西</x:v>
      </x:c>
      <x:c r="L10" s="6" t="str">
        <x:v>合同包2；气相离子迁移谱 山东海能 FlavourSpec25 1.00(台) 总价1,639,100.00</x:v>
      </x:c>
      <x:c r="M10" s="17" t="n">
        <x:v>1639100</x:v>
      </x:c>
      <x:c r="N10" s="6" t="str">
        <x:v>元</x:v>
      </x:c>
      <x:c r="O10" s="6" t="str">
        <x:v>CNY</x:v>
      </x:c>
      <x:c r="P10" s="6" t="str">
        <x:v>海能相关设备成交金额（非集团中标额）</x:v>
      </x:c>
      <x:c r="Q10" s="6" t="str">
        <x:v>张亚亚、黄倩、张静、戚洪良</x:v>
      </x:c>
      <x:c r="R10" s="6" t="str">
        <x:v>029-85561862/85561863转810</x:v>
      </x:c>
      <x:c r="S10" s="6"/>
      <x:c r="T10" s="6" t="str">
        <x:v>项目联系人/代理机构（非海能采购联系人）</x:v>
      </x:c>
      <x:c r="U10" s="6" t="str">
        <x:v>P022</x:v>
      </x:c>
      <x:c r="V10" s="6" t="str">
        <x:v>已核验官方公告正文</x:v>
      </x:c>
      <x:c r="W10" s="6" t="str">
        <x:v>设备金额与经销商全包总额分列；集团实际订单收入未公开。</x:v>
      </x:c>
    </x:row>
    <x:row r="11" ht="40" customHeight="1">
      <x:c r="A11" s="6" t="str">
        <x:v>R0387</x:v>
      </x:c>
      <x:c r="B11" s="6" t="str">
        <x:v>上海新仪（品牌）</x:v>
      </x:c>
      <x:c r="C11" s="6" t="str">
        <x:v>品牌设备入选；经销商中标</x:v>
      </x:c>
      <x:c r="D11" s="6" t="str">
        <x:v>中标（成交）结果公告</x:v>
      </x:c>
      <x:c r="E11" s="6" t="str">
        <x:v>微波消解仪第二次中标成交公告</x:v>
      </x:c>
      <x:c r="F11" s="6" t="str">
        <x:v>420624202606000730_二</x:v>
      </x:c>
      <x:c r="G11" s="20" t="d">
        <x:v>2026-07-31T00:00:00.000Z</x:v>
      </x:c>
      <x:c r="H11" s="6" t="str">
        <x:v>南漳县公共检验检测中心本级</x:v>
      </x:c>
      <x:c r="I11" s="6" t="str">
        <x:v>天煜荣泽工程咨询有限公司</x:v>
      </x:c>
      <x:c r="J11" s="6" t="str">
        <x:v>合肥新上线科技有限公司</x:v>
      </x:c>
      <x:c r="K11" s="6" t="str">
        <x:v>湖北</x:v>
      </x:c>
      <x:c r="L11" s="6" t="str">
        <x:v>微波消解仪 TANK 1.0 单价298000.0元；中标29.800000万元</x:v>
      </x:c>
      <x:c r="M11" s="17" t="n">
        <x:v>298000</x:v>
      </x:c>
      <x:c r="N11" s="6" t="str">
        <x:v>元</x:v>
      </x:c>
      <x:c r="O11" s="6" t="str">
        <x:v>CNY</x:v>
      </x:c>
      <x:c r="P11" s="6" t="str">
        <x:v>海能相关设备成交金额（非集团中标额）</x:v>
      </x:c>
      <x:c r="Q11" s="6" t="str">
        <x:v>范齐忙</x:v>
      </x:c>
      <x:c r="R11" s="15" t="str">
        <x:v>13669006226</x:v>
      </x:c>
      <x:c r="S11" s="6"/>
      <x:c r="T11" s="6" t="str">
        <x:v>项目联系人/代理机构（非海能采购联系人）</x:v>
      </x:c>
      <x:c r="U11" s="6" t="str">
        <x:v>P014</x:v>
      </x:c>
      <x:c r="V11" s="6" t="str">
        <x:v>已核验官方公告正文</x:v>
      </x:c>
      <x:c r="W11" s="6" t="str">
        <x:v>设备金额与经销商全包总额分列；集团实际订单收入未公开。</x:v>
      </x:c>
    </x:row>
    <x:row r="12" ht="40" customHeight="1">
      <x:c r="A12" s="6" t="str">
        <x:v>R0393</x:v>
      </x:c>
      <x:c r="B12" s="6" t="str">
        <x:v>海能未来技术集团股份有限公司</x:v>
      </x:c>
      <x:c r="C12" s="6" t="str">
        <x:v>制造商品牌列名；经销商中标</x:v>
      </x:c>
      <x:c r="D12" s="6" t="str">
        <x:v>中标（成交）结果公告</x:v>
      </x:c>
      <x:c r="E12" s="6" t="str">
        <x:v>北京中医药大学东直门医院国家中医药传承创新中心建设项目（第七批）设备采购公告第一包中标公告</x:v>
      </x:c>
      <x:c r="F12" s="6" t="str">
        <x:v>B0708-CMC26N7335</x:v>
      </x:c>
      <x:c r="G12" s="20" t="d">
        <x:v>2026-06-11T00:00:00.000Z</x:v>
      </x:c>
      <x:c r="H12" s="6" t="str">
        <x:v>北京中医药大学东直门医院</x:v>
      </x:c>
      <x:c r="I12" s="6" t="str">
        <x:v>中国机械进出口(集团)有限公司</x:v>
      </x:c>
      <x:c r="J12" s="6" t="str">
        <x:v>北京嘉禾美华医疗科技有限公司</x:v>
      </x:c>
      <x:c r="K12" s="6" t="str">
        <x:v>北京</x:v>
      </x:c>
      <x:c r="L12" s="6" t="str">
        <x:v>全自动凯氏定氮仪（含自动进样器）；海能未来技术集团股份有限公司；K1160+K1124；1套；430,000.00元</x:v>
      </x:c>
      <x:c r="M12" s="17" t="n">
        <x:v>430000</x:v>
      </x:c>
      <x:c r="N12" s="6" t="str">
        <x:v>元</x:v>
      </x:c>
      <x:c r="O12" s="6" t="str">
        <x:v>CNY</x:v>
      </x:c>
      <x:c r="P12" s="6" t="str">
        <x:v>海能相关设备成交金额（非集团中标额）</x:v>
      </x:c>
      <x:c r="Q12" s="6" t="str">
        <x:v>郭女士，张女士，刘先生</x:v>
      </x:c>
      <x:c r="R12" s="6" t="str">
        <x:v>010-81168212</x:v>
      </x:c>
      <x:c r="S12" s="6" t="str">
        <x:v>guochangqian@cmc.gt.cn</x:v>
      </x:c>
      <x:c r="T12" s="6" t="str">
        <x:v>项目联系人/代理机构（非海能采购联系人）</x:v>
      </x:c>
      <x:c r="U12" s="6" t="str">
        <x:v>P019</x:v>
      </x:c>
      <x:c r="V12" s="6" t="str">
        <x:v>已核验官方公告正文</x:v>
      </x:c>
      <x:c r="W12" s="6" t="str">
        <x:v>设备金额与经销商全包总额分列；集团实际订单收入未公开。</x:v>
      </x:c>
    </x:row>
    <x:row r="13" ht="40" customHeight="1">
      <x:c r="A13" s="6" t="str">
        <x:v>R0385</x:v>
      </x:c>
      <x:c r="B13" s="6" t="str">
        <x:v>海能未来（品牌）</x:v>
      </x:c>
      <x:c r="C13" s="6" t="str">
        <x:v>品牌设备入选；经销商中标</x:v>
      </x:c>
      <x:c r="D13" s="6" t="str">
        <x:v>中标（成交）结果公告</x:v>
      </x:c>
      <x:c r="E13" s="6" t="str">
        <x:v>黄冈职业技术学院2026年教育领域重大设备更新之医药学院设备采购项目 （第二批）中标结果公告</x:v>
      </x:c>
      <x:c r="F13" s="6" t="str">
        <x:v>DZHG(2026)020</x:v>
      </x:c>
      <x:c r="G13" s="20" t="d">
        <x:v>2026-05-29T00:00:00.000Z</x:v>
      </x:c>
      <x:c r="H13" s="6" t="str">
        <x:v>黄冈职业技术学院</x:v>
      </x:c>
      <x:c r="I13" s="6" t="str">
        <x:v>大洲设计咨询集团有限公司</x:v>
      </x:c>
      <x:c r="J13" s="6" t="str">
        <x:v>上海谊康科教仪器发展有限公司</x:v>
      </x:c>
      <x:c r="K13" s="6" t="str">
        <x:v>湖北</x:v>
      </x:c>
      <x:c r="L13" s="6" t="str">
        <x:v>凯氏定氮仪 K9860 1台 单价163250元</x:v>
      </x:c>
      <x:c r="M13" s="17" t="n">
        <x:v>163250</x:v>
      </x:c>
      <x:c r="N13" s="6" t="str">
        <x:v>元</x:v>
      </x:c>
      <x:c r="O13" s="6" t="str">
        <x:v>CNY</x:v>
      </x:c>
      <x:c r="P13" s="6" t="str">
        <x:v>海能相关设备成交金额（非集团中标额）</x:v>
      </x:c>
      <x:c r="Q13" s="6" t="str">
        <x:v>马晓燕、王兢</x:v>
      </x:c>
      <x:c r="R13" s="6" t="str">
        <x:v>0713-8880869</x:v>
      </x:c>
      <x:c r="S13" s="6"/>
      <x:c r="T13" s="6" t="str">
        <x:v>项目联系人/代理机构（非海能采购联系人）</x:v>
      </x:c>
      <x:c r="U13" s="6" t="str">
        <x:v>P013</x:v>
      </x:c>
      <x:c r="V13" s="6" t="str">
        <x:v>已核验官方公告正文</x:v>
      </x:c>
      <x:c r="W13" s="6" t="str">
        <x:v>公告概要总中标额0.000000万元与正文287.9826万元不一致，采用正文；品牌设备金额单列。</x:v>
      </x:c>
    </x:row>
    <x:row r="14" ht="40" customHeight="1">
      <x:c r="A14" s="6" t="str">
        <x:v>R0386</x:v>
      </x:c>
      <x:c r="B14" s="6" t="str">
        <x:v>上海新仪（品牌）</x:v>
      </x:c>
      <x:c r="C14" s="6" t="str">
        <x:v>品牌设备入选；经销商中标</x:v>
      </x:c>
      <x:c r="D14" s="6" t="str">
        <x:v>中标（成交）结果公告</x:v>
      </x:c>
      <x:c r="E14" s="6" t="str">
        <x:v>黄冈职业技术学院2026年教育领域重大设备更新之医药学院设备采购项目 （第二批）中标结果公告</x:v>
      </x:c>
      <x:c r="F14" s="6" t="str">
        <x:v>DZHG(2026)020</x:v>
      </x:c>
      <x:c r="G14" s="20" t="d">
        <x:v>2026-05-29T00:00:00.000Z</x:v>
      </x:c>
      <x:c r="H14" s="6" t="str">
        <x:v>黄冈职业技术学院</x:v>
      </x:c>
      <x:c r="I14" s="6" t="str">
        <x:v>大洲设计咨询集团有限公司</x:v>
      </x:c>
      <x:c r="J14" s="6" t="str">
        <x:v>上海谊康科教仪器发展有限公司</x:v>
      </x:c>
      <x:c r="K14" s="6" t="str">
        <x:v>湖北</x:v>
      </x:c>
      <x:c r="L14" s="6" t="str">
        <x:v>微波消解仪 TANK 1台 单价384120元</x:v>
      </x:c>
      <x:c r="M14" s="17" t="n">
        <x:v>384120</x:v>
      </x:c>
      <x:c r="N14" s="6" t="str">
        <x:v>元</x:v>
      </x:c>
      <x:c r="O14" s="6" t="str">
        <x:v>CNY</x:v>
      </x:c>
      <x:c r="P14" s="6" t="str">
        <x:v>海能相关设备成交金额（非集团中标额）</x:v>
      </x:c>
      <x:c r="Q14" s="6" t="str">
        <x:v>马晓燕、王兢</x:v>
      </x:c>
      <x:c r="R14" s="6" t="str">
        <x:v>0713-8880869</x:v>
      </x:c>
      <x:c r="S14" s="6"/>
      <x:c r="T14" s="6" t="str">
        <x:v>项目联系人/代理机构（非海能采购联系人）</x:v>
      </x:c>
      <x:c r="U14" s="6" t="str">
        <x:v>P013</x:v>
      </x:c>
      <x:c r="V14" s="6" t="str">
        <x:v>已核验官方公告正文</x:v>
      </x:c>
      <x:c r="W14" s="6" t="str">
        <x:v>公告概要总中标额0.000000万元与正文287.9826万元不一致，采用正文；品牌设备金额单列。</x:v>
      </x:c>
    </x:row>
    <x:row r="15" ht="34" customHeight="1">
      <x:c r="A15" s="6" t="str">
        <x:v>R0398</x:v>
      </x:c>
      <x:c r="B15" s="6" t="str">
        <x:v>海能未来（品牌）</x:v>
      </x:c>
      <x:c r="C15" s="6" t="str">
        <x:v>品牌/制造商入选；经销商中标</x:v>
      </x:c>
      <x:c r="D15" s="6" t="str">
        <x:v>成交结果公告</x:v>
      </x:c>
      <x:c r="E15" s="6" t="str">
        <x:v>【独山环能分析仪器配件及耗材】结果公告-必联网</x:v>
      </x:c>
      <x:c r="F15" s="6"/>
      <x:c r="G15" s="20" t="d">
        <x:v>2026-05-25T00:00:00.000Z</x:v>
      </x:c>
      <x:c r="H15" s="6" t="str">
        <x:v>平湖独山港环保能源有限公司</x:v>
      </x:c>
      <x:c r="I15" s="6" t="str">
        <x:v>浙江天虹物资贸易有限公司</x:v>
      </x:c>
      <x:c r="J15" s="6" t="str">
        <x:v>杭州朗勤机电设备有限公司</x:v>
      </x:c>
      <x:c r="K15" s="6" t="str">
        <x:v>浙江</x:v>
      </x:c>
      <x:c r="L15" s="6"/>
      <x:c r="M15" s="6"/>
      <x:c r="N15" s="6"/>
      <x:c r="O15" s="6"/>
      <x:c r="P15" s="6" t="str">
        <x:v>未公开/数字被脱敏</x:v>
      </x:c>
      <x:c r="Q15" s="6"/>
      <x:c r="R15" s="6"/>
      <x:c r="S15" s="6"/>
      <x:c r="T15" s="6" t="str">
        <x:v>项目联系人（非海能采购联系人）</x:v>
      </x:c>
      <x:c r="U15" s="6" t="str">
        <x:v>P003</x:v>
      </x:c>
      <x:c r="V15" s="6" t="str">
        <x:v>已核验公开公告正文，部分字段脱敏</x:v>
      </x:c>
      <x:c r="W15" s="6" t="str">
        <x:v>未登录，不补猜星号字段；必联网客服400-0606-000不是企业/项目采购电话。</x:v>
      </x:c>
    </x:row>
    <x:row r="16" ht="34" customHeight="1">
      <x:c r="A16" s="6" t="str">
        <x:v>R0399</x:v>
      </x:c>
      <x:c r="B16" s="6" t="str">
        <x:v>海能未来（品牌）</x:v>
      </x:c>
      <x:c r="C16" s="6" t="str">
        <x:v>询价指定品牌/原厂证明要求</x:v>
      </x:c>
      <x:c r="D16" s="6" t="str">
        <x:v>询价采购公告</x:v>
      </x:c>
      <x:c r="E16" s="6" t="str">
        <x:v>【独山环能分析仪器配件及耗材】采购公告-必联网</x:v>
      </x:c>
      <x:c r="F16" s="6"/>
      <x:c r="G16" s="20" t="d">
        <x:v>2026-05-12T00:00:00.000Z</x:v>
      </x:c>
      <x:c r="H16" s="6" t="str">
        <x:v>平湖独山港环保能源有限公司</x:v>
      </x:c>
      <x:c r="I16" s="6" t="str">
        <x:v>浙江天虹物资贸易有限公司</x:v>
      </x:c>
      <x:c r="J16" s="6"/>
      <x:c r="K16" s="6" t="str">
        <x:v>浙江</x:v>
      </x:c>
      <x:c r="L16" s="6"/>
      <x:c r="M16" s="6"/>
      <x:c r="N16" s="6"/>
      <x:c r="O16" s="6"/>
      <x:c r="P16" s="6" t="str">
        <x:v>未公开/数字被脱敏</x:v>
      </x:c>
      <x:c r="Q16" s="6" t="str">
        <x:v>焦之易</x:v>
      </x:c>
      <x:c r="R16" s="6"/>
      <x:c r="S16" s="6"/>
      <x:c r="T16" s="6" t="str">
        <x:v>采购执行人（非海能采购联系人）</x:v>
      </x:c>
      <x:c r="U16" s="6" t="str">
        <x:v>P004</x:v>
      </x:c>
      <x:c r="V16" s="6" t="str">
        <x:v>已核验公开公告正文，部分字段脱敏</x:v>
      </x:c>
      <x:c r="W16" s="6" t="str">
        <x:v>未登录，不补猜星号字段；必联网客服400-0606-000不是企业/项目采购电话。</x:v>
      </x:c>
    </x:row>
    <x:row r="17" ht="56" customHeight="1">
      <x:c r="A17" s="6" t="str">
        <x:v>R0388</x:v>
      </x:c>
      <x:c r="B17" s="6" t="str">
        <x:v>海能（品牌）</x:v>
      </x:c>
      <x:c r="C17" s="6" t="str">
        <x:v>品牌设备入选；经销商中标</x:v>
      </x:c>
      <x:c r="D17" s="6" t="str">
        <x:v>中标（成交）结果公告</x:v>
      </x:c>
      <x:c r="E17" s="6" t="str">
        <x:v>2026153恩施州农科院农博园建设项目科创中心实验室仪器设备采购（天然产物类）第二次中标结果公告</x:v>
      </x:c>
      <x:c r="F17" s="6" t="str">
        <x:v>HBGL-ZB（2026）005_二</x:v>
      </x:c>
      <x:c r="G17" s="20" t="d">
        <x:v>2026-05-08T00:00:00.000Z</x:v>
      </x:c>
      <x:c r="H17" s="6" t="str">
        <x:v>恩施土家族苗族自治州农业科学院</x:v>
      </x:c>
      <x:c r="I17" s="6" t="str">
        <x:v>湖北共立工程项目管理有限公司</x:v>
      </x:c>
      <x:c r="J17" s="6" t="str">
        <x:v>浙江省国际贸易集团供应链有限公司</x:v>
      </x:c>
      <x:c r="K17" s="6" t="str">
        <x:v>湖北</x:v>
      </x:c>
      <x:c r="L17" s="6" t="str">
        <x:v>全自动凯式定氮仪 K1160 1.0 单价292000.0元</x:v>
      </x:c>
      <x:c r="M17" s="17" t="n">
        <x:v>292000</x:v>
      </x:c>
      <x:c r="N17" s="6" t="str">
        <x:v>元</x:v>
      </x:c>
      <x:c r="O17" s="6" t="str">
        <x:v>CNY</x:v>
      </x:c>
      <x:c r="P17" s="6" t="str">
        <x:v>海能相关设备成交金额（非集团中标额）</x:v>
      </x:c>
      <x:c r="Q17" s="6" t="str">
        <x:v>秦邦</x:v>
      </x:c>
      <x:c r="R17" s="15" t="str">
        <x:v>13886777440</x:v>
      </x:c>
      <x:c r="S17" s="6"/>
      <x:c r="T17" s="6" t="str">
        <x:v>采购人/项目联系人（非海能采购联系人）</x:v>
      </x:c>
      <x:c r="U17" s="6" t="str">
        <x:v>P015</x:v>
      </x:c>
      <x:c r="V17" s="6" t="str">
        <x:v>已核验官方公告正文</x:v>
      </x:c>
      <x:c r="W17" s="6" t="str">
        <x:v>海能K1160单价292000元×1台=292000元;整个项目中标827.68万元不可归于海能。;同一来源微波消解仪备注误复制给凯氏定氮仪,当前金额292000元正确。；秦邦的号码13886777440同时是采购单位联系方式；代理机构联系方式另为15288286995，联合标注代理机构容易误读。</x:v>
      </x:c>
    </x:row>
    <x:row r="18" ht="40" customHeight="1">
      <x:c r="A18" s="6" t="str">
        <x:v>R0389</x:v>
      </x:c>
      <x:c r="B18" s="6" t="str">
        <x:v>上海新仪（品牌）</x:v>
      </x:c>
      <x:c r="C18" s="6" t="str">
        <x:v>品牌设备入选；经销商中标</x:v>
      </x:c>
      <x:c r="D18" s="6" t="str">
        <x:v>中标（成交）结果公告</x:v>
      </x:c>
      <x:c r="E18" s="6" t="str">
        <x:v>2026153恩施州农科院农博园建设项目科创中心实验室仪器设备采购（天然产物类）第二次中标结果公告</x:v>
      </x:c>
      <x:c r="F18" s="6" t="str">
        <x:v>HBGL-ZB（2026）005_二</x:v>
      </x:c>
      <x:c r="G18" s="20" t="d">
        <x:v>2026-05-08T00:00:00.000Z</x:v>
      </x:c>
      <x:c r="H18" s="6" t="str">
        <x:v>恩施土家族苗族自治州农业科学院</x:v>
      </x:c>
      <x:c r="I18" s="6" t="str">
        <x:v>湖北共立工程项目管理有限公司</x:v>
      </x:c>
      <x:c r="J18" s="6" t="str">
        <x:v>浙江省国际贸易集团供应链有限公司</x:v>
      </x:c>
      <x:c r="K18" s="6" t="str">
        <x:v>湖北</x:v>
      </x:c>
      <x:c r="L18" s="6" t="str">
        <x:v>微波消解仪(含赶酸仪2台） TANK 2.0 单价389000.0元</x:v>
      </x:c>
      <x:c r="M18" s="17" t="n">
        <x:v>778000</x:v>
      </x:c>
      <x:c r="N18" s="6" t="str">
        <x:v>元</x:v>
      </x:c>
      <x:c r="O18" s="6" t="str">
        <x:v>CNY</x:v>
      </x:c>
      <x:c r="P18" s="6" t="str">
        <x:v>海能相关设备成交金额（非集团中标额）</x:v>
      </x:c>
      <x:c r="Q18" s="6" t="str">
        <x:v>秦邦</x:v>
      </x:c>
      <x:c r="R18" s="15" t="str">
        <x:v>13886777440</x:v>
      </x:c>
      <x:c r="S18" s="6"/>
      <x:c r="T18" s="6" t="str">
        <x:v>采购人/项目联系人（非海能采购联系人）</x:v>
      </x:c>
      <x:c r="U18" s="6" t="str">
        <x:v>P015</x:v>
      </x:c>
      <x:c r="V18" s="6" t="str">
        <x:v>已核验官方公告正文</x:v>
      </x:c>
      <x:c r="W18" s="6" t="str">
        <x:v>设备金额按389000元/台×2台推导;整个项目中标827.68万元不可归于海能。；秦邦的号码13886777440同时是采购单位联系方式；代理机构联系方式另为15288286995，联合标注代理机构容易误读。</x:v>
      </x:c>
    </x:row>
    <x:row r="19" ht="40" customHeight="1">
      <x:c r="A19" s="6" t="str">
        <x:v>R0252</x:v>
      </x:c>
      <x:c r="B19" s="6" t="str">
        <x:v>海能未来技术集团股份有限公司</x:v>
      </x:c>
      <x:c r="C19" s="6" t="str">
        <x:v>项目建设方的上市母公司</x:v>
      </x:c>
      <x:c r="D19" s="6" t="str">
        <x:v>年度报告披露建设项目</x:v>
      </x:c>
      <x:c r="E19" s="6" t="str">
        <x:v>海能基石科学仪器智能制造基地项目</x:v>
      </x:c>
      <x:c r="F19" s="6"/>
      <x:c r="G19" s="20" t="d">
        <x:v>2026-03-16T00:00:00.000Z</x:v>
      </x:c>
      <x:c r="H19" s="6" t="str">
        <x:v>海能基石技术有限公司</x:v>
      </x:c>
      <x:c r="I19" s="6"/>
      <x:c r="J19" s="6"/>
      <x:c r="K19" s="6" t="str">
        <x:v>上海市松江区</x:v>
      </x:c>
      <x:c r="L19" s="6" t="str">
        <x:v>总投资额不超过2.3亿元</x:v>
      </x:c>
      <x:c r="M19" s="17" t="n">
        <x:v>230000000</x:v>
      </x:c>
      <x:c r="N19" s="6" t="str">
        <x:v>元</x:v>
      </x:c>
      <x:c r="O19" s="6" t="str">
        <x:v>原文元，币种未单独声明</x:v>
      </x:c>
      <x:c r="P19" s="6" t="str">
        <x:v>项目总投资上限</x:v>
      </x:c>
      <x:c r="Q19" s="6"/>
      <x:c r="R19" s="6"/>
      <x:c r="S19" s="6"/>
      <x:c r="T19" s="6"/>
      <x:c r="U19" s="6" t="str">
        <x:v>F002</x:v>
      </x:c>
      <x:c r="V19" s="6" t="str">
        <x:v>已核实建设线索，非公开招标公告</x:v>
      </x:c>
      <x:c r="W19" s="6" t="str">
        <x:v>报告并未给出本项目当前有效招标批次、项目编号、投标期限、中标供应商或采购联系人;不能认定2.3亿元为已执行采购金额。；总投资上限不是成交额，不汇总为年度采购支出</x:v>
      </x:c>
    </x:row>
    <x:row r="20" ht="40" customHeight="1">
      <x:c r="A20" s="6" t="str">
        <x:v>R0390</x:v>
      </x:c>
      <x:c r="B20" s="6" t="str">
        <x:v>上海新仪（品牌）</x:v>
      </x:c>
      <x:c r="C20" s="6" t="str">
        <x:v>品牌设备入选；经销商中标</x:v>
      </x:c>
      <x:c r="D20" s="6" t="str">
        <x:v>中标（成交）结果公告</x:v>
      </x:c>
      <x:c r="E20" s="6" t="str">
        <x:v>2025年县区监测能力提升项目（灌云)中标公告</x:v>
      </x:c>
      <x:c r="F20" s="6" t="str">
        <x:v>JSZC-320700-GSGL-G2025-0008</x:v>
      </x:c>
      <x:c r="G20" s="20" t="d">
        <x:v>2026-01-29T00:00:00.000Z</x:v>
      </x:c>
      <x:c r="H20" s="6" t="str">
        <x:v>连云港市灌云生态环境局</x:v>
      </x:c>
      <x:c r="I20" s="6" t="str">
        <x:v>连云港港顺项目管理咨询有限公司</x:v>
      </x:c>
      <x:c r="J20" s="6" t="str">
        <x:v>江澄实验室科技（无锡）有限公司</x:v>
      </x:c>
      <x:c r="K20" s="6" t="str">
        <x:v>江苏</x:v>
      </x:c>
      <x:c r="L20" s="6" t="str">
        <x:v>微波消解仪 TANK 数量1 单价238000</x:v>
      </x:c>
      <x:c r="M20" s="17" t="n">
        <x:v>238000</x:v>
      </x:c>
      <x:c r="N20" s="6" t="str">
        <x:v>元</x:v>
      </x:c>
      <x:c r="O20" s="6" t="str">
        <x:v>CNY</x:v>
      </x:c>
      <x:c r="P20" s="6" t="str">
        <x:v>海能相关设备成交金额（非集团中标额）</x:v>
      </x:c>
      <x:c r="Q20" s="6" t="str">
        <x:v>徐礼浩</x:v>
      </x:c>
      <x:c r="R20" s="15" t="str">
        <x:v>19895543499</x:v>
      </x:c>
      <x:c r="S20" s="6"/>
      <x:c r="T20" s="6" t="str">
        <x:v>项目联系人/代理机构（非海能采购联系人）</x:v>
      </x:c>
      <x:c r="U20" s="6" t="str">
        <x:v>P016</x:v>
      </x:c>
      <x:c r="V20" s="6" t="str">
        <x:v>已核验官方公告正文</x:v>
      </x:c>
      <x:c r="W20" s="6" t="str">
        <x:v>设备金额与经销商全包总额分列；集团实际订单收入未公开。</x:v>
      </x:c>
    </x:row>
    <x:row r="21" ht="40" customHeight="1">
      <x:c r="A21" s="6" t="str">
        <x:v>R0391</x:v>
      </x:c>
      <x:c r="B21" s="6" t="str">
        <x:v>上海新仪（品牌）</x:v>
      </x:c>
      <x:c r="C21" s="6" t="str">
        <x:v>品牌设备入选；经销商中标</x:v>
      </x:c>
      <x:c r="D21" s="6" t="str">
        <x:v>中标（成交）结果公告</x:v>
      </x:c>
      <x:c r="E21" s="6" t="str">
        <x:v>武汉软件工程职业学院武汉软件工程职业学院实训科研设备更新项目（五）（第二次）中标结果公告</x:v>
      </x:c>
      <x:c r="F21" s="6" t="str">
        <x:v>HBT-16124369-257116-1</x:v>
      </x:c>
      <x:c r="G21" s="20" t="d">
        <x:v>2026-01-06T00:00:00.000Z</x:v>
      </x:c>
      <x:c r="H21" s="6" t="str">
        <x:v>武汉软件工程职业学院</x:v>
      </x:c>
      <x:c r="I21" s="6" t="str">
        <x:v>湖北省招标股份有限公司</x:v>
      </x:c>
      <x:c r="J21" s="6" t="str">
        <x:v>武汉优博华科技有限公司</x:v>
      </x:c>
      <x:c r="K21" s="6" t="str">
        <x:v>湖北</x:v>
      </x:c>
      <x:c r="L21" s="6" t="str">
        <x:v>智慧化工实习实训包；微波消解仪 TANK MAX 数量1 单价57.932万元</x:v>
      </x:c>
      <x:c r="M21" s="17" t="n">
        <x:v>579320</x:v>
      </x:c>
      <x:c r="N21" s="6" t="str">
        <x:v>元</x:v>
      </x:c>
      <x:c r="O21" s="6" t="str">
        <x:v>CNY</x:v>
      </x:c>
      <x:c r="P21" s="6" t="str">
        <x:v>海能相关设备成交金额（非集团中标额）</x:v>
      </x:c>
      <x:c r="Q21" s="6" t="str">
        <x:v>李香昊、陈卓、刘才华、程振华</x:v>
      </x:c>
      <x:c r="R21" s="6" t="str">
        <x:v>027-87275399</x:v>
      </x:c>
      <x:c r="S21" s="6"/>
      <x:c r="T21" s="6" t="str">
        <x:v>项目联系人/代理机构（非海能采购联系人）</x:v>
      </x:c>
      <x:c r="U21" s="6" t="str">
        <x:v>P017</x:v>
      </x:c>
      <x:c r="V21" s="6" t="str">
        <x:v>已核验官方公告正文</x:v>
      </x:c>
      <x:c r="W21" s="6" t="str">
        <x:v>设备金额与经销商全包总额分列；集团实际订单收入未公开。</x:v>
      </x:c>
    </x:row>
    <x:row r="22" ht="40" customHeight="1">
      <x:c r="A22" s="6" t="str">
        <x:v>R0395</x:v>
      </x:c>
      <x:c r="B22" s="6" t="str">
        <x:v>山东海能科学仪器有限公司</x:v>
      </x:c>
      <x:c r="C22" s="6" t="str">
        <x:v>品牌设备入选；经销商中标</x:v>
      </x:c>
      <x:c r="D22" s="6" t="str">
        <x:v>中标（成交）结果公告</x:v>
      </x:c>
      <x:c r="E22" s="6" t="str">
        <x:v>济南市生态环境局济南市大气细颗粒物和挥发性有机物协同监测能力提升项目中标公告</x:v>
      </x:c>
      <x:c r="F22" s="6" t="str">
        <x:v>SDGP370100000202502001412</x:v>
      </x:c>
      <x:c r="G22" s="20" t="d">
        <x:v>2026-01-06T00:00:00.000Z</x:v>
      </x:c>
      <x:c r="H22" s="6" t="str">
        <x:v>济南市生态环境局</x:v>
      </x:c>
      <x:c r="I22" s="6" t="str">
        <x:v>山东濠杰项目管理有限公司</x:v>
      </x:c>
      <x:c r="J22" s="6" t="str">
        <x:v>华通力盛（北京）智能检测集团有限公司</x:v>
      </x:c>
      <x:c r="K22" s="6" t="str">
        <x:v>山东</x:v>
      </x:c>
      <x:c r="L22" s="6" t="str">
        <x:v>环境挥发性有机物分析仪 G.A.S. 中国、山东海能科学仪器有限公司 IMS25 1套 780000.000000</x:v>
      </x:c>
      <x:c r="M22" s="17" t="n">
        <x:v>780000</x:v>
      </x:c>
      <x:c r="N22" s="6" t="str">
        <x:v>元</x:v>
      </x:c>
      <x:c r="O22" s="6" t="str">
        <x:v>CNY</x:v>
      </x:c>
      <x:c r="P22" s="6" t="str">
        <x:v>海能相关设备成交金额（非集团中标额）</x:v>
      </x:c>
      <x:c r="Q22" s="6" t="str">
        <x:v>山东濠杰项目管理有限公司</x:v>
      </x:c>
      <x:c r="R22" s="15" t="str">
        <x:v>18678829064</x:v>
      </x:c>
      <x:c r="S22" s="6"/>
      <x:c r="T22" s="6" t="str">
        <x:v>项目联系人/代理机构（非海能采购联系人）</x:v>
      </x:c>
      <x:c r="U22" s="6" t="str">
        <x:v>P021</x:v>
      </x:c>
      <x:c r="V22" s="6" t="str">
        <x:v>已核验官方公告正文</x:v>
      </x:c>
      <x:c r="W22" s="6" t="str">
        <x:v>设备金额与经销商全包总额分列；集团实际订单收入未公开。</x:v>
      </x:c>
    </x:row>
    <x:row r="23" ht="56" customHeight="1">
      <x:c r="A23" s="6" t="str">
        <x:v>R0397</x:v>
      </x:c>
      <x:c r="B23" s="6" t="str">
        <x:v>上海新仪（品牌）</x:v>
      </x:c>
      <x:c r="C23" s="6" t="str">
        <x:v>品牌设备入选；经销商中标</x:v>
      </x:c>
      <x:c r="D23" s="6" t="str">
        <x:v>中标（成交）结果公告</x:v>
      </x:c>
      <x:c r="E23" s="6" t="str">
        <x:v>海关总署2025年微波消解仪采购项目中标公告</x:v>
      </x:c>
      <x:c r="F23" s="6" t="str">
        <x:v>CG2025-PL-GK-HW-095</x:v>
      </x:c>
      <x:c r="G23" s="20" t="d">
        <x:v>2025-12-27T00:00:00.000Z</x:v>
      </x:c>
      <x:c r="H23" s="6" t="str">
        <x:v>海关总署</x:v>
      </x:c>
      <x:c r="I23" s="6" t="str">
        <x:v>海关总署物资装备采购中心（采购执行机构）</x:v>
      </x:c>
      <x:c r="J23" s="6" t="str">
        <x:v>中国科学器材有限公司</x:v>
      </x:c>
      <x:c r="K23" s="6" t="str">
        <x:v>北京</x:v>
      </x:c>
      <x:c r="L23" s="6" t="str">
        <x:v>包件2 中国科学器材有限公司 中标金额3,130,000.00元；上海新仪TANK40配置1-4数量5、15、8、2，单价83800、97800、116800、154800元</x:v>
      </x:c>
      <x:c r="M23" s="17" t="n">
        <x:v>3130000</x:v>
      </x:c>
      <x:c r="N23" s="6" t="str">
        <x:v>元</x:v>
      </x:c>
      <x:c r="O23" s="6" t="str">
        <x:v>CNY</x:v>
      </x:c>
      <x:c r="P23" s="6" t="str">
        <x:v>上海新仪设备所在包件成交总额（经销商中标）</x:v>
      </x:c>
      <x:c r="Q23" s="6" t="str">
        <x:v>李先生/女士</x:v>
      </x:c>
      <x:c r="R23" s="6" t="str">
        <x:v>010-65195157</x:v>
      </x:c>
      <x:c r="S23" s="6"/>
      <x:c r="T23" s="6" t="str">
        <x:v>采购执行机构项目联系人（非海能采购联系人）</x:v>
      </x:c>
      <x:c r="U23" s="6" t="str">
        <x:v>P023</x:v>
      </x:c>
      <x:c r="V23" s="6" t="str">
        <x:v>已核验官方公告正文</x:v>
      </x:c>
      <x:c r="W23" s="6" t="str">
        <x:v>包件2的30台上海新仪设备合计3130000元；公告全部包总金额7430200元不可归于海能。</x:v>
      </x:c>
    </x:row>
    <x:row r="24" ht="40" customHeight="1">
      <x:c r="A24" s="6" t="str">
        <x:v>R0394</x:v>
      </x:c>
      <x:c r="B24" s="6" t="str">
        <x:v>海能未来技术集团股份有限公司</x:v>
      </x:c>
      <x:c r="C24" s="6" t="str">
        <x:v>制造商品牌列名；经销商中标</x:v>
      </x:c>
      <x:c r="D24" s="6" t="str">
        <x:v>中标（成交）结果公告</x:v>
      </x:c>
      <x:c r="E24" s="6" t="str">
        <x:v>太原海关技术中心2025年实验室仪器设备更新项目中标公告</x:v>
      </x:c>
      <x:c r="F24" s="6" t="str">
        <x:v>ZHJS-QT-HW-2025035</x:v>
      </x:c>
      <x:c r="G24" s="20" t="d">
        <x:v>2025-10-22T00:00:00.000Z</x:v>
      </x:c>
      <x:c r="H24" s="6" t="str">
        <x:v>太原海关技术中心</x:v>
      </x:c>
      <x:c r="I24" s="6" t="str">
        <x:v>山西中鸿建设项目管理有限公司</x:v>
      </x:c>
      <x:c r="J24" s="6" t="str">
        <x:v>国药（上海）医疗器械实业有限公司</x:v>
      </x:c>
      <x:c r="K24" s="6" t="str">
        <x:v>山西</x:v>
      </x:c>
      <x:c r="L24" s="6" t="str">
        <x:v>全自动纤维测定仪；海能未来技术集团股份有限公司；F2000；1；153500.00元</x:v>
      </x:c>
      <x:c r="M24" s="17" t="n">
        <x:v>153500</x:v>
      </x:c>
      <x:c r="N24" s="6" t="str">
        <x:v>元</x:v>
      </x:c>
      <x:c r="O24" s="6" t="str">
        <x:v>CNY</x:v>
      </x:c>
      <x:c r="P24" s="6" t="str">
        <x:v>海能相关设备成交金额（非集团中标额）</x:v>
      </x:c>
      <x:c r="Q24" s="6" t="str">
        <x:v>班帅</x:v>
      </x:c>
      <x:c r="R24" s="15" t="str">
        <x:v>15235112114</x:v>
      </x:c>
      <x:c r="S24" s="6"/>
      <x:c r="T24" s="6" t="str">
        <x:v>项目联系人/代理机构（非海能采购联系人）</x:v>
      </x:c>
      <x:c r="U24" s="6" t="str">
        <x:v>P020</x:v>
      </x:c>
      <x:c r="V24" s="6" t="str">
        <x:v>已核验官方公告正文</x:v>
      </x:c>
      <x:c r="W24" s="6" t="str">
        <x:v>设备金额与经销商全包总额分列；集团实际订单收入未公开。</x:v>
      </x:c>
    </x:row>
    <x:row r="25" ht="56" customHeight="1">
      <x:c r="A25" s="6" t="str">
        <x:v>R0400</x:v>
      </x:c>
      <x:c r="B25" s="6" t="str">
        <x:v>海能未来（品牌）</x:v>
      </x:c>
      <x:c r="C25" s="6" t="str">
        <x:v>品牌/制造商入选；经销商中标</x:v>
      </x:c>
      <x:c r="D25" s="6" t="str">
        <x:v>成交结果公告</x:v>
      </x:c>
      <x:c r="E25" s="6" t="str">
        <x:v>石家庄学院 2025 年教学科研设备项目公开招标中标公告</x:v>
      </x:c>
      <x:c r="F25" s="6"/>
      <x:c r="G25" s="20" t="d">
        <x:v>2025-10-21T00:00:00.000Z</x:v>
      </x:c>
      <x:c r="H25" s="6" t="str">
        <x:v>石家庄学院</x:v>
      </x:c>
      <x:c r="I25" s="6" t="str">
        <x:v>河北省成套招标有限公司</x:v>
      </x:c>
      <x:c r="J25" s="6" t="str">
        <x:v>河北培安生物科技有限公司</x:v>
      </x:c>
      <x:c r="K25" s="6" t="str">
        <x:v>河北</x:v>
      </x:c>
      <x:c r="L25" s="6"/>
      <x:c r="M25" s="6"/>
      <x:c r="N25" s="6"/>
      <x:c r="O25" s="6"/>
      <x:c r="P25" s="6" t="str">
        <x:v>未公开/数字被脱敏</x:v>
      </x:c>
      <x:c r="Q25" s="6" t="str">
        <x:v>刘若愚</x:v>
      </x:c>
      <x:c r="R25" s="6" t="str">
        <x:v>0311-83086953</x:v>
      </x:c>
      <x:c r="S25" s="6"/>
      <x:c r="T25" s="6" t="str">
        <x:v>项目联系人（非海能采购联系人）</x:v>
      </x:c>
      <x:c r="U25" s="6" t="str">
        <x:v>P005</x:v>
      </x:c>
      <x:c r="V25" s="6" t="str">
        <x:v>已核验公开公告正文，部分字段脱敏</x:v>
      </x:c>
      <x:c r="W25" s="6" t="str">
        <x:v>未登录,不补猜星号字段;必联网客服400-0606-000不是企业/项目采购电话。电话来自公开meta描述,正文数字被遮蔽,保留此证据边界。；抓取器误把meta description当成标题，HTML title和h2提供干净标题。</x:v>
      </x:c>
    </x:row>
  </x:sheetData>
  <x:pageMargins left="0.7" right="0.7" top="0.75" bottom="0.75" header="0.3" footer="0.3"/>
  <x:tableParts count="1">
    <x:tablePart xmlns:r="http://schemas.openxmlformats.org/officeDocument/2006/relationships" r:id="Reb382d7942a543c1"/>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27" hidden="0" customWidth="1"/>
    <x:col min="4" max="4" width="42" hidden="0" customWidth="1"/>
    <x:col min="5" max="5" width="78" hidden="0" customWidth="1"/>
    <x:col min="6" max="6" width="18" hidden="0" customWidth="1"/>
    <x:col min="7" max="7" width="22" hidden="0" customWidth="1"/>
    <x:col min="8" max="8" width="18" hidden="0" customWidth="1"/>
    <x:col min="9" max="9" width="17" hidden="0" customWidth="1"/>
    <x:col min="10" max="10" width="46" hidden="0" customWidth="1"/>
    <x:col min="11" max="11" width="100" hidden="0" customWidth="1"/>
  </x:cols>
  <x:sheetData>
    <x:row r="2" ht="28" customHeight="1">
      <x:c r="A2" s="2" t="str">
        <x:v>法人、股权及原文矛盾待核资料</x:v>
      </x:c>
      <x:c r="B2" s="2"/>
      <x:c r="C2" s="2"/>
      <x:c r="D2" s="2"/>
      <x:c r="E2" s="2"/>
      <x:c r="F2" s="2"/>
      <x:c r="G2" s="2"/>
      <x:c r="H2" s="2"/>
      <x:c r="I2" s="2"/>
      <x:c r="J2" s="2"/>
      <x:c r="K2" s="2"/>
    </x:row>
    <x:row r="3" ht="24" customHeight="1">
      <x:c r="A3" s="3" t="str">
        <x:v>保留原文，未纳入已核验企业字段计数。</x:v>
      </x:c>
      <x:c r="B3" s="3"/>
      <x:c r="C3" s="3"/>
      <x:c r="D3" s="3"/>
      <x:c r="E3" s="3"/>
      <x:c r="F3" s="3"/>
      <x:c r="G3" s="3"/>
      <x:c r="H3" s="3"/>
      <x:c r="I3" s="3"/>
      <x:c r="J3" s="3"/>
      <x:c r="K3" s="3"/>
    </x:row>
    <x:row r="5" ht="38" customHeight="1">
      <x:c r="A5" s="12" t="str">
        <x:v>记录ID</x:v>
      </x:c>
      <x:c r="B5" s="13" t="str">
        <x:v>主体或品牌</x:v>
      </x:c>
      <x:c r="C5" s="13" t="str">
        <x:v>类别</x:v>
      </x:c>
      <x:c r="D5" s="13" t="str">
        <x:v>字段</x:v>
      </x:c>
      <x:c r="E5" s="13" t="str">
        <x:v>原值或描述</x:v>
      </x:c>
      <x:c r="F5" s="13" t="str">
        <x:v>单位</x:v>
      </x:c>
      <x:c r="G5" s="13" t="str">
        <x:v>资料时点</x:v>
      </x:c>
      <x:c r="H5" s="13" t="str">
        <x:v>发布日</x:v>
      </x:c>
      <x:c r="I5" s="13" t="str">
        <x:v>来源编号</x:v>
      </x:c>
      <x:c r="J5" s="13" t="str">
        <x:v>待核状态</x:v>
      </x:c>
      <x:c r="K5" s="14" t="str">
        <x:v>具体缺口</x:v>
      </x:c>
    </x:row>
    <x:row r="6" ht="40" customHeight="1">
      <x:c r="A6" s="6" t="str">
        <x:v>R0382</x:v>
      </x:c>
      <x:c r="B6" s="6" t="str">
        <x:v>海能未来技术集团股份有限公司</x:v>
      </x:c>
      <x:c r="C6" s="6" t="str">
        <x:v>平台企业资料</x:v>
      </x:c>
      <x:c r="D6" s="6" t="str">
        <x:v>公开企业库收录</x:v>
      </x:c>
      <x:c r="E6" s="6" t="str">
        <x:v>企业库含目标公司全称;公开基本资料为空</x:v>
      </x:c>
      <x:c r="F6" s="6" t="str"/>
      <x:c r="G6" s="6" t="str">
        <x:v>2026-10-08</x:v>
      </x:c>
      <x:c r="H6" s="20"/>
      <x:c r="I6" s="6" t="str">
        <x:v>P001</x:v>
      </x:c>
      <x:c r="J6" s="6" t="str">
        <x:v>已核验公开页面</x:v>
      </x:c>
      <x:c r="K6" s="6" t="str">
        <x:v>仅证明企业库列名,不证明活跃采购、资质否定或集团归属;平台认证图标不是法定资质认定。；页面未注明发布日期；仅记录截至2026-10-08可见资料，不认定近一年发生变化</x:v>
      </x:c>
    </x:row>
    <x:row r="7" ht="40" customHeight="1">
      <x:c r="A7" s="6" t="str">
        <x:v>R0335</x:v>
      </x:c>
      <x:c r="B7" s="6" t="str">
        <x:v>上海新仪微波化学科技有限公司</x:v>
      </x:c>
      <x:c r="C7" s="6" t="str">
        <x:v>主体与集团关系</x:v>
      </x:c>
      <x:c r="D7" s="6" t="str">
        <x:v>官网导航名称</x:v>
      </x:c>
      <x:c r="E7" s="6" t="str">
        <x:v>上海新仪</x:v>
      </x:c>
      <x:c r="F7" s="6" t="str"/>
      <x:c r="G7" s="6" t="str">
        <x:v>2026-10-08</x:v>
      </x:c>
      <x:c r="H7" s="20"/>
      <x:c r="I7" s="6" t="str">
        <x:v>W012</x:v>
      </x:c>
      <x:c r="J7" s="6" t="str">
        <x:v>待核实（法人或股权）</x:v>
      </x:c>
      <x:c r="K7" s="6" t="str">
        <x:v>官网“海能控股”栏目;当前持股比例未核实；页面未注明发布日期；仅记录截至2026-10-08可见资料，不认定近一年发生变化</x:v>
      </x:c>
    </x:row>
    <x:row r="8" ht="40" customHeight="1">
      <x:c r="A8" s="6" t="str">
        <x:v>R0354</x:v>
      </x:c>
      <x:c r="B8" s="6" t="str">
        <x:v>南京海能(导航名称)</x:v>
      </x:c>
      <x:c r="C8" s="6" t="str">
        <x:v>主体与集团关系</x:v>
      </x:c>
      <x:c r="D8" s="6" t="str">
        <x:v>官网导航名称</x:v>
      </x:c>
      <x:c r="E8" s="6" t="str">
        <x:v>南京海能</x:v>
      </x:c>
      <x:c r="F8" s="6" t="str"/>
      <x:c r="G8" s="6" t="str">
        <x:v>2026-10-08</x:v>
      </x:c>
      <x:c r="H8" s="20"/>
      <x:c r="I8" s="6" t="str">
        <x:v>W017</x:v>
      </x:c>
      <x:c r="J8" s="6" t="str">
        <x:v>待核实（法人或股权）</x:v>
      </x:c>
      <x:c r="K8" s="6" t="str">
        <x:v>官网“海能控股”栏目;当前持股比例未核实；页面未注明发布日期；仅记录截至2026-10-08可见资料，不认定近一年发生变化</x:v>
      </x:c>
    </x:row>
    <x:row r="9" ht="40" customHeight="1">
      <x:c r="A9" s="6" t="str">
        <x:v>R0322</x:v>
      </x:c>
      <x:c r="B9" s="6" t="str">
        <x:v>山东海能科学仪器有限公司</x:v>
      </x:c>
      <x:c r="C9" s="6" t="str">
        <x:v>主体与集团关系</x:v>
      </x:c>
      <x:c r="D9" s="6" t="str">
        <x:v>官网导航名称</x:v>
      </x:c>
      <x:c r="E9" s="6" t="str">
        <x:v>山东海能</x:v>
      </x:c>
      <x:c r="F9" s="6" t="str"/>
      <x:c r="G9" s="6" t="str">
        <x:v>2026-10-08</x:v>
      </x:c>
      <x:c r="H9" s="20"/>
      <x:c r="I9" s="6" t="str">
        <x:v>W009</x:v>
      </x:c>
      <x:c r="J9" s="6" t="str">
        <x:v>待核实（法人或股权）</x:v>
      </x:c>
      <x:c r="K9" s="6" t="str">
        <x:v>官网“海能控股”栏目;当前持股比例未核实；页面未注明发布日期；仅记录截至2026-10-08可见资料，不认定近一年发生变化</x:v>
      </x:c>
    </x:row>
    <x:row r="10" ht="40" customHeight="1">
      <x:c r="A10" s="6" t="str">
        <x:v>R0331</x:v>
      </x:c>
      <x:c r="B10" s="6" t="str">
        <x:v>德国G.A.S.(品牌/导航名称)</x:v>
      </x:c>
      <x:c r="C10" s="6" t="str">
        <x:v>主体与集团关系</x:v>
      </x:c>
      <x:c r="D10" s="6" t="str">
        <x:v>官网导航名称</x:v>
      </x:c>
      <x:c r="E10" s="6" t="str">
        <x:v>德国G.A.S.</x:v>
      </x:c>
      <x:c r="F10" s="6" t="str"/>
      <x:c r="G10" s="6" t="str">
        <x:v>2026-10-08</x:v>
      </x:c>
      <x:c r="H10" s="20"/>
      <x:c r="I10" s="6" t="str">
        <x:v>W011</x:v>
      </x:c>
      <x:c r="J10" s="6" t="str">
        <x:v>待核实（法人或股权）</x:v>
      </x:c>
      <x:c r="K10" s="6" t="str">
        <x:v>官网“海能控股”栏目;当前持股比例未核实；页面未注明发布日期；仅记录截至2026-10-08可见资料，不认定近一年发生变化</x:v>
      </x:c>
    </x:row>
    <x:row r="11" ht="40" customHeight="1">
      <x:c r="A11" s="6" t="str">
        <x:v>R0327</x:v>
      </x:c>
      <x:c r="B11" s="6" t="str">
        <x:v>悟空仪器(品牌/导航名称)</x:v>
      </x:c>
      <x:c r="C11" s="6" t="str">
        <x:v>主体与集团关系</x:v>
      </x:c>
      <x:c r="D11" s="6" t="str">
        <x:v>官网导航名称</x:v>
      </x:c>
      <x:c r="E11" s="6" t="str">
        <x:v>悟空仪器</x:v>
      </x:c>
      <x:c r="F11" s="6" t="str"/>
      <x:c r="G11" s="6" t="str">
        <x:v>2026-10-08</x:v>
      </x:c>
      <x:c r="H11" s="20"/>
      <x:c r="I11" s="6" t="str">
        <x:v>W010</x:v>
      </x:c>
      <x:c r="J11" s="6" t="str">
        <x:v>待核实（法人或股权）</x:v>
      </x:c>
      <x:c r="K11" s="6" t="str">
        <x:v>官网“海能控股”栏目;当前持股比例未核实；页面未注明发布日期；仅记录截至2026-10-08可见资料，不认定近一年发生变化</x:v>
      </x:c>
    </x:row>
    <x:row r="12" ht="40" customHeight="1">
      <x:c r="A12" s="6" t="str">
        <x:v>R0351</x:v>
      </x:c>
      <x:c r="B12" s="6" t="str">
        <x:v>武汉海能(导航名称)</x:v>
      </x:c>
      <x:c r="C12" s="6" t="str">
        <x:v>主体与集团关系</x:v>
      </x:c>
      <x:c r="D12" s="6" t="str">
        <x:v>官网导航名称</x:v>
      </x:c>
      <x:c r="E12" s="6" t="str">
        <x:v>武汉海能</x:v>
      </x:c>
      <x:c r="F12" s="6" t="str"/>
      <x:c r="G12" s="6" t="str">
        <x:v>2026-10-08</x:v>
      </x:c>
      <x:c r="H12" s="20"/>
      <x:c r="I12" s="6" t="str">
        <x:v>W016</x:v>
      </x:c>
      <x:c r="J12" s="6" t="str">
        <x:v>待核实（法人或股权）</x:v>
      </x:c>
      <x:c r="K12" s="6" t="str">
        <x:v>官网“海能控股”栏目;当前持股比例未核实；页面未注明发布日期；仅记录截至2026-10-08可见资料，不认定近一年发生变化</x:v>
      </x:c>
    </x:row>
    <x:row r="13" ht="40" customHeight="1">
      <x:c r="A13" s="6" t="str">
        <x:v>R0343</x:v>
      </x:c>
      <x:c r="B13" s="6" t="str">
        <x:v>海森仪器(品牌/导航名称)</x:v>
      </x:c>
      <x:c r="C13" s="6" t="str">
        <x:v>主体与集团关系</x:v>
      </x:c>
      <x:c r="D13" s="6" t="str">
        <x:v>官网导航名称</x:v>
      </x:c>
      <x:c r="E13" s="6" t="str">
        <x:v>海森仪器</x:v>
      </x:c>
      <x:c r="F13" s="6" t="str"/>
      <x:c r="G13" s="6" t="str">
        <x:v>2026-10-08</x:v>
      </x:c>
      <x:c r="H13" s="20"/>
      <x:c r="I13" s="6" t="str">
        <x:v>W014</x:v>
      </x:c>
      <x:c r="J13" s="6" t="str">
        <x:v>待核实（法人或股权）</x:v>
      </x:c>
      <x:c r="K13" s="6" t="str">
        <x:v>官网“海能控股”栏目;当前持股比例未核实；页面未注明发布日期；仅记录截至2026-10-08可见资料，不认定近一年发生变化</x:v>
      </x:c>
    </x:row>
    <x:row r="14" ht="34" customHeight="1">
      <x:c r="A14" s="6" t="str">
        <x:v>R0381</x:v>
      </x:c>
      <x:c r="B14" s="6" t="str">
        <x:v>白小白(品牌)</x:v>
      </x:c>
      <x:c r="C14" s="6" t="str">
        <x:v>产品能力</x:v>
      </x:c>
      <x:c r="D14" s="6" t="str">
        <x:v>行业程序数量存在原文不一致</x:v>
      </x:c>
      <x:c r="E14" s="6" t="str">
        <x:v>正文分别为12套与4套</x:v>
      </x:c>
      <x:c r="F14" s="6" t="str"/>
      <x:c r="G14" s="6" t="str">
        <x:v>2026-10-08</x:v>
      </x:c>
      <x:c r="H14" s="20" t="d">
        <x:v>2026-07-21T00:00:00.000Z</x:v>
      </x:c>
      <x:c r="I14" s="6" t="str">
        <x:v>W020</x:v>
      </x:c>
      <x:c r="J14" s="6" t="str">
        <x:v>待核实（原文不一致）</x:v>
      </x:c>
      <x:c r="K14" s="6" t="str">
        <x:v>同页另称预置4套行业专用清洗程序，不能统一为确定数量</x:v>
      </x:c>
    </x:row>
    <x:row r="15" ht="40" customHeight="1">
      <x:c r="A15" s="6" t="str">
        <x:v>R0347</x:v>
      </x:c>
      <x:c r="B15" s="6" t="str">
        <x:v>白小白科技(山东)有限公司</x:v>
      </x:c>
      <x:c r="C15" s="6" t="str">
        <x:v>主体与集团关系</x:v>
      </x:c>
      <x:c r="D15" s="6" t="str">
        <x:v>官网导航名称</x:v>
      </x:c>
      <x:c r="E15" s="6" t="str">
        <x:v>白小白</x:v>
      </x:c>
      <x:c r="F15" s="6" t="str"/>
      <x:c r="G15" s="6" t="str">
        <x:v>2026-10-08</x:v>
      </x:c>
      <x:c r="H15" s="20"/>
      <x:c r="I15" s="6" t="str">
        <x:v>W015</x:v>
      </x:c>
      <x:c r="J15" s="6" t="str">
        <x:v>待核实（法人或股权）</x:v>
      </x:c>
      <x:c r="K15" s="6" t="str">
        <x:v>官网“海能控股”栏目;当前持股比例未核实；页面未注明发布日期；仅记录截至2026-10-08可见资料，不认定近一年发生变化</x:v>
      </x:c>
    </x:row>
    <x:row r="16" ht="40" customHeight="1">
      <x:c r="A16" s="6" t="str">
        <x:v>R0339</x:v>
      </x:c>
      <x:c r="B16" s="6" t="str">
        <x:v>苏州新仪科学仪器有限公司</x:v>
      </x:c>
      <x:c r="C16" s="6" t="str">
        <x:v>主体与集团关系</x:v>
      </x:c>
      <x:c r="D16" s="6" t="str">
        <x:v>官网导航名称</x:v>
      </x:c>
      <x:c r="E16" s="6" t="str">
        <x:v>新仪科学</x:v>
      </x:c>
      <x:c r="F16" s="6" t="str"/>
      <x:c r="G16" s="6" t="str">
        <x:v>2026-10-08</x:v>
      </x:c>
      <x:c r="H16" s="20"/>
      <x:c r="I16" s="6" t="str">
        <x:v>W013</x:v>
      </x:c>
      <x:c r="J16" s="6" t="str">
        <x:v>待核实（法人或股权）</x:v>
      </x:c>
      <x:c r="K16" s="6" t="str">
        <x:v>官网“海能控股”栏目;当前持股比例未核实；页面未注明发布日期；仅记录截至2026-10-08可见资料，不认定近一年发生变化</x:v>
      </x:c>
    </x:row>
    <x:row r="17" ht="40" customHeight="1">
      <x:c r="A17" s="6" t="str">
        <x:v>R0357</x:v>
      </x:c>
      <x:c r="B17" s="6" t="str">
        <x:v>郑州海能(导航名称)</x:v>
      </x:c>
      <x:c r="C17" s="6" t="str">
        <x:v>主体与集团关系</x:v>
      </x:c>
      <x:c r="D17" s="6" t="str">
        <x:v>官网导航名称</x:v>
      </x:c>
      <x:c r="E17" s="6" t="str">
        <x:v>郑州海能</x:v>
      </x:c>
      <x:c r="F17" s="6" t="str"/>
      <x:c r="G17" s="6" t="str">
        <x:v>2026-10-08</x:v>
      </x:c>
      <x:c r="H17" s="20"/>
      <x:c r="I17" s="6" t="str">
        <x:v>W018</x:v>
      </x:c>
      <x:c r="J17" s="6" t="str">
        <x:v>待核实（法人或股权）</x:v>
      </x:c>
      <x:c r="K17" s="6" t="str">
        <x:v>官网“海能控股”栏目;当前持股比例未核实；页面未注明发布日期；仅记录截至2026-10-08可见资料，不认定近一年发生变化</x:v>
      </x:c>
    </x:row>
  </x:sheetData>
  <x:conditionalFormatting sqref="J6:J17">
    <x:cfRule type="containsText" dxfId="0" priority="1" operator="containsText" text="待核"/>
  </x:conditionalFormatting>
  <x:pageMargins left="0.7" right="0.7" top="0.75" bottom="0.75" header="0.3" footer="0.3"/>
  <x:tableParts count="1">
    <x:tablePart xmlns:r="http://schemas.openxmlformats.org/officeDocument/2006/relationships" r:id="Rcee08c72965e42f5"/>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4" hidden="0" customWidth="1"/>
    <x:col min="2" max="2" width="20" hidden="0" customWidth="1"/>
    <x:col min="3" max="3" width="11" hidden="0" customWidth="1"/>
    <x:col min="4" max="4" width="45" hidden="0" customWidth="1"/>
    <x:col min="5" max="5" width="64" hidden="0" customWidth="1"/>
    <x:col min="6" max="6" width="85" hidden="0" customWidth="1"/>
    <x:col min="7" max="7" width="21" hidden="0" customWidth="1"/>
    <x:col min="8" max="8" width="18" hidden="0" customWidth="1"/>
    <x:col min="9" max="9" width="110" hidden="0" customWidth="1"/>
    <x:col min="10" max="10" width="17" hidden="0" customWidth="1"/>
    <x:col min="11" max="11" width="36" hidden="0" customWidth="1"/>
    <x:col min="12" max="12" width="90" hidden="0" customWidth="1"/>
  </x:cols>
  <x:sheetData>
    <x:row r="2" ht="28" customHeight="1">
      <x:c r="A2" s="2" t="str">
        <x:v>原始值、全文引句与处理结果</x:v>
      </x:c>
      <x:c r="B2" s="2"/>
      <x:c r="C2" s="2"/>
      <x:c r="D2" s="2"/>
      <x:c r="E2" s="2"/>
      <x:c r="F2" s="2"/>
      <x:c r="G2" s="2"/>
      <x:c r="H2" s="2"/>
      <x:c r="I2" s="2"/>
      <x:c r="J2" s="2"/>
      <x:c r="K2" s="2"/>
      <x:c r="L2" s="2"/>
    </x:row>
    <x:row r="3" ht="24" customHeight="1">
      <x:c r="A3" s="3" t="str">
        <x:v>401条独立原始记录；长引句分段完整保留，分段不计新增。</x:v>
      </x:c>
      <x:c r="B3" s="3"/>
      <x:c r="C3" s="3"/>
      <x:c r="D3" s="3"/>
      <x:c r="E3" s="3"/>
      <x:c r="F3" s="3"/>
      <x:c r="G3" s="3"/>
      <x:c r="H3" s="3"/>
      <x:c r="I3" s="3"/>
      <x:c r="J3" s="3"/>
      <x:c r="K3" s="3"/>
      <x:c r="L3" s="3"/>
    </x:row>
    <x:row r="5" ht="38" customHeight="1">
      <x:c r="A5" s="12" t="str">
        <x:v>原始记录ID</x:v>
      </x:c>
      <x:c r="B5" s="13" t="str">
        <x:v>类型</x:v>
      </x:c>
      <x:c r="C5" s="13" t="str">
        <x:v>分段号</x:v>
      </x:c>
      <x:c r="D5" s="13" t="str">
        <x:v>原始主体</x:v>
      </x:c>
      <x:c r="E5" s="13" t="str">
        <x:v>原始项目或字段</x:v>
      </x:c>
      <x:c r="F5" s="13" t="str">
        <x:v>原值或金额</x:v>
      </x:c>
      <x:c r="G5" s="13" t="str">
        <x:v>原单位</x:v>
      </x:c>
      <x:c r="H5" s="13" t="str">
        <x:v>原始发布日</x:v>
      </x:c>
      <x:c r="I5" s="13" t="str">
        <x:v>证据引句</x:v>
      </x:c>
      <x:c r="J5" s="13" t="str">
        <x:v>来源编号</x:v>
      </x:c>
      <x:c r="K5" s="13" t="str">
        <x:v>处理结论</x:v>
      </x:c>
      <x:c r="L5" s="14" t="str">
        <x:v>原因</x:v>
      </x:c>
    </x:row>
    <x:row r="6" ht="40" customHeight="1">
      <x:c r="A6" s="6" t="str">
        <x:v>R0001</x:v>
      </x:c>
      <x:c r="B6" s="6" t="str">
        <x:v>字段</x:v>
      </x:c>
      <x:c r="C6" s="17" t="n">
        <x:v>1</x:v>
      </x:c>
      <x:c r="D6" s="6" t="str">
        <x:v>海能未来技术集团股份有限公司</x:v>
      </x:c>
      <x:c r="E6" s="6" t="str">
        <x:v>公司中文全称</x:v>
      </x:c>
      <x:c r="F6" s="6" t="str">
        <x:v>海能未来技术集团股份有限公司</x:v>
      </x:c>
      <x:c r="G6" s="6" t="str"/>
      <x:c r="H6" s="20" t="d">
        <x:v>2026-08-17T00:00:00.000Z</x:v>
      </x:c>
      <x:c r="I6" s="6" t="str">
        <x:v>PDF物理第6页：公司中文全称 海能未来技术集团股份有限公司 
英文名称及缩写 Hanon Advanced Technology Group Co., Ltd.</x:v>
      </x:c>
      <x:c r="J6" s="6" t="str">
        <x:v>F001</x:v>
      </x:c>
      <x:c r="K6" s="6" t="str">
        <x:v>纳入字段</x:v>
      </x:c>
      <x:c r="L6" s="6" t="str">
        <x:v>已核实原值</x:v>
      </x:c>
    </x:row>
    <x:row r="7" ht="34" customHeight="1">
      <x:c r="A7" s="6" t="str">
        <x:v>R0002</x:v>
      </x:c>
      <x:c r="B7" s="6" t="str">
        <x:v>字段</x:v>
      </x:c>
      <x:c r="C7" s="17" t="n">
        <x:v>1</x:v>
      </x:c>
      <x:c r="D7" s="6" t="str">
        <x:v>海能未来技术集团股份有限公司</x:v>
      </x:c>
      <x:c r="E7" s="6" t="str">
        <x:v>证券简称</x:v>
      </x:c>
      <x:c r="F7" s="6" t="str">
        <x:v>海能技术</x:v>
      </x:c>
      <x:c r="G7" s="6" t="str"/>
      <x:c r="H7" s="20" t="d">
        <x:v>2026-08-17T00:00:00.000Z</x:v>
      </x:c>
      <x:c r="I7" s="6" t="str">
        <x:v>PDF物理第6页：证券简称 海能技术 
证券代码 920476</x:v>
      </x:c>
      <x:c r="J7" s="6" t="str">
        <x:v>F001</x:v>
      </x:c>
      <x:c r="K7" s="6" t="str">
        <x:v>纳入字段</x:v>
      </x:c>
      <x:c r="L7" s="6" t="str">
        <x:v>已核实原值</x:v>
      </x:c>
    </x:row>
    <x:row r="8" ht="34" customHeight="1">
      <x:c r="A8" s="6" t="str">
        <x:v>R0003</x:v>
      </x:c>
      <x:c r="B8" s="6" t="str">
        <x:v>字段</x:v>
      </x:c>
      <x:c r="C8" s="17" t="n">
        <x:v>1</x:v>
      </x:c>
      <x:c r="D8" s="6" t="str">
        <x:v>海能未来技术集团股份有限公司</x:v>
      </x:c>
      <x:c r="E8" s="6" t="str">
        <x:v>证券代码</x:v>
      </x:c>
      <x:c r="F8" s="15" t="str">
        <x:v>920476</x:v>
      </x:c>
      <x:c r="G8" s="6" t="str"/>
      <x:c r="H8" s="20" t="d">
        <x:v>2026-08-17T00:00:00.000Z</x:v>
      </x:c>
      <x:c r="I8" s="6" t="str">
        <x:v>PDF物理第6页：证券代码 920476 
公司中文全称 海能未来技术集团股份有限公司</x:v>
      </x:c>
      <x:c r="J8" s="6" t="str">
        <x:v>F001</x:v>
      </x:c>
      <x:c r="K8" s="6" t="str">
        <x:v>纳入字段</x:v>
      </x:c>
      <x:c r="L8" s="6" t="str">
        <x:v>已核实原值</x:v>
      </x:c>
    </x:row>
    <x:row r="9" ht="40" customHeight="1">
      <x:c r="A9" s="6" t="str">
        <x:v>R0004</x:v>
      </x:c>
      <x:c r="B9" s="6" t="str">
        <x:v>字段</x:v>
      </x:c>
      <x:c r="C9" s="17" t="n">
        <x:v>1</x:v>
      </x:c>
      <x:c r="D9" s="6" t="str">
        <x:v>海能未来技术集团股份有限公司</x:v>
      </x:c>
      <x:c r="E9" s="6" t="str">
        <x:v>英文名称及缩写</x:v>
      </x:c>
      <x:c r="F9" s="6" t="str">
        <x:v>Hanon Advanced Technology Group Co., Ltd.</x:v>
      </x:c>
      <x:c r="G9" s="6" t="str"/>
      <x:c r="H9" s="20" t="d">
        <x:v>2026-08-17T00:00:00.000Z</x:v>
      </x:c>
      <x:c r="I9" s="6" t="str">
        <x:v>PDF物理第6页：英文名称及缩写 Hanon Advanced Technology Group Co., Ltd. 
法定代表人 张振方</x:v>
      </x:c>
      <x:c r="J9" s="6" t="str">
        <x:v>F001</x:v>
      </x:c>
      <x:c r="K9" s="6" t="str">
        <x:v>纳入字段</x:v>
      </x:c>
      <x:c r="L9" s="6" t="str">
        <x:v>已核实原值</x:v>
      </x:c>
    </x:row>
    <x:row r="10" ht="34" customHeight="1">
      <x:c r="A10" s="6" t="str">
        <x:v>R0005</x:v>
      </x:c>
      <x:c r="B10" s="6" t="str">
        <x:v>字段</x:v>
      </x:c>
      <x:c r="C10" s="17" t="n">
        <x:v>1</x:v>
      </x:c>
      <x:c r="D10" s="6" t="str">
        <x:v>海能未来技术集团股份有限公司</x:v>
      </x:c>
      <x:c r="E10" s="6" t="str">
        <x:v>法定代表人</x:v>
      </x:c>
      <x:c r="F10" s="6" t="str">
        <x:v>张振方</x:v>
      </x:c>
      <x:c r="G10" s="6" t="str"/>
      <x:c r="H10" s="20" t="d">
        <x:v>2026-08-17T00:00:00.000Z</x:v>
      </x:c>
      <x:c r="I10" s="6" t="str">
        <x:v>PDF物理第6页：法定代表人 张振方 
二、 联系方式</x:v>
      </x:c>
      <x:c r="J10" s="6" t="str">
        <x:v>F001</x:v>
      </x:c>
      <x:c r="K10" s="6" t="str">
        <x:v>纳入字段</x:v>
      </x:c>
      <x:c r="L10" s="6" t="str">
        <x:v>已核实原值</x:v>
      </x:c>
    </x:row>
    <x:row r="11" ht="40" customHeight="1">
      <x:c r="A11" s="6" t="str">
        <x:v>R0006</x:v>
      </x:c>
      <x:c r="B11" s="6" t="str">
        <x:v>字段</x:v>
      </x:c>
      <x:c r="C11" s="17" t="n">
        <x:v>1</x:v>
      </x:c>
      <x:c r="D11" s="6" t="str">
        <x:v>海能未来技术集团股份有限公司</x:v>
      </x:c>
      <x:c r="E11" s="6" t="str">
        <x:v>董事会秘书姓名</x:v>
      </x:c>
      <x:c r="F11" s="6" t="str">
        <x:v>宋晓东</x:v>
      </x:c>
      <x:c r="G11" s="6" t="str"/>
      <x:c r="H11" s="20" t="d">
        <x:v>2026-08-17T00:00:00.000Z</x:v>
      </x:c>
      <x:c r="I11" s="6" t="str">
        <x:v>PDF物理第6页：董事会秘书姓名 宋晓东 
联系地址 山东省济南市高新区经十路7000 号汉峪金谷A3 地块1 号楼第四层</x:v>
      </x:c>
      <x:c r="J11" s="6" t="str">
        <x:v>F001</x:v>
      </x:c>
      <x:c r="K11" s="6" t="str">
        <x:v>纳入字段</x:v>
      </x:c>
      <x:c r="L11" s="6" t="str">
        <x:v>已核实原值</x:v>
      </x:c>
    </x:row>
    <x:row r="12" ht="34" customHeight="1">
      <x:c r="A12" s="6" t="str">
        <x:v>R0007</x:v>
      </x:c>
      <x:c r="B12" s="6" t="str">
        <x:v>字段</x:v>
      </x:c>
      <x:c r="C12" s="17" t="n">
        <x:v>1</x:v>
      </x:c>
      <x:c r="D12" s="6" t="str">
        <x:v>海能未来技术集团股份有限公司</x:v>
      </x:c>
      <x:c r="E12" s="6" t="str">
        <x:v>电话</x:v>
      </x:c>
      <x:c r="F12" s="6" t="str">
        <x:v>0531-88874418</x:v>
      </x:c>
      <x:c r="G12" s="6" t="str"/>
      <x:c r="H12" s="20" t="d">
        <x:v>2026-08-17T00:00:00.000Z</x:v>
      </x:c>
      <x:c r="I12" s="6" t="str">
        <x:v>PDF物理第6页：电话 0531-88874418 
传真 0531-88874445</x:v>
      </x:c>
      <x:c r="J12" s="6" t="str">
        <x:v>F001</x:v>
      </x:c>
      <x:c r="K12" s="6" t="str">
        <x:v>纳入字段</x:v>
      </x:c>
      <x:c r="L12" s="6" t="str">
        <x:v>已核实原值</x:v>
      </x:c>
    </x:row>
    <x:row r="13" ht="34" customHeight="1">
      <x:c r="A13" s="6" t="str">
        <x:v>R0008</x:v>
      </x:c>
      <x:c r="B13" s="6" t="str">
        <x:v>字段</x:v>
      </x:c>
      <x:c r="C13" s="17" t="n">
        <x:v>1</x:v>
      </x:c>
      <x:c r="D13" s="6" t="str">
        <x:v>海能未来技术集团股份有限公司</x:v>
      </x:c>
      <x:c r="E13" s="6" t="str">
        <x:v>传真</x:v>
      </x:c>
      <x:c r="F13" s="6" t="str">
        <x:v>0531-88874445</x:v>
      </x:c>
      <x:c r="G13" s="6" t="str"/>
      <x:c r="H13" s="20" t="d">
        <x:v>2026-08-17T00:00:00.000Z</x:v>
      </x:c>
      <x:c r="I13" s="6" t="str">
        <x:v>PDF物理第6页：传真 0531-88874445 
董秘邮箱 songxiaodong@hanon.cc</x:v>
      </x:c>
      <x:c r="J13" s="6" t="str">
        <x:v>F001</x:v>
      </x:c>
      <x:c r="K13" s="6" t="str">
        <x:v>纳入字段</x:v>
      </x:c>
      <x:c r="L13" s="6" t="str">
        <x:v>已核实原值</x:v>
      </x:c>
    </x:row>
    <x:row r="14" ht="34" customHeight="1">
      <x:c r="A14" s="6" t="str">
        <x:v>R0009</x:v>
      </x:c>
      <x:c r="B14" s="6" t="str">
        <x:v>字段</x:v>
      </x:c>
      <x:c r="C14" s="17" t="n">
        <x:v>1</x:v>
      </x:c>
      <x:c r="D14" s="6" t="str">
        <x:v>海能未来技术集团股份有限公司</x:v>
      </x:c>
      <x:c r="E14" s="6" t="str">
        <x:v>董秘邮箱</x:v>
      </x:c>
      <x:c r="F14" s="6" t="str">
        <x:v>songxiaodong@hanon.cc</x:v>
      </x:c>
      <x:c r="G14" s="6" t="str"/>
      <x:c r="H14" s="20" t="d">
        <x:v>2026-08-17T00:00:00.000Z</x:v>
      </x:c>
      <x:c r="I14" s="6" t="str">
        <x:v>PDF物理第6页：董秘邮箱 songxiaodong@hanon.cc 
公司网址 www.hanon.cc</x:v>
      </x:c>
      <x:c r="J14" s="6" t="str">
        <x:v>F001</x:v>
      </x:c>
      <x:c r="K14" s="6" t="str">
        <x:v>纳入字段</x:v>
      </x:c>
      <x:c r="L14" s="6" t="str">
        <x:v>已核实原值</x:v>
      </x:c>
    </x:row>
    <x:row r="15" ht="40" customHeight="1">
      <x:c r="A15" s="6" t="str">
        <x:v>R0010</x:v>
      </x:c>
      <x:c r="B15" s="6" t="str">
        <x:v>字段</x:v>
      </x:c>
      <x:c r="C15" s="17" t="n">
        <x:v>1</x:v>
      </x:c>
      <x:c r="D15" s="6" t="str">
        <x:v>海能未来技术集团股份有限公司</x:v>
      </x:c>
      <x:c r="E15" s="6" t="str">
        <x:v>公司网址</x:v>
      </x:c>
      <x:c r="F15" s="6" t="str">
        <x:v>www.hanon.cc</x:v>
      </x:c>
      <x:c r="G15" s="6" t="str"/>
      <x:c r="H15" s="20" t="d">
        <x:v>2026-08-17T00:00:00.000Z</x:v>
      </x:c>
      <x:c r="I15" s="6" t="str">
        <x:v>PDF物理第6页：公司网址 www.hanon.cc 
办公地址 山东省济南市高新区经十路7000 号汉峪金谷A3 地块1 号楼第四层</x:v>
      </x:c>
      <x:c r="J15" s="6" t="str">
        <x:v>F001</x:v>
      </x:c>
      <x:c r="K15" s="6" t="str">
        <x:v>纳入字段</x:v>
      </x:c>
      <x:c r="L15" s="6" t="str">
        <x:v>已核实原值</x:v>
      </x:c>
    </x:row>
    <x:row r="16" ht="40" customHeight="1">
      <x:c r="A16" s="6" t="str">
        <x:v>R0011</x:v>
      </x:c>
      <x:c r="B16" s="6" t="str">
        <x:v>字段</x:v>
      </x:c>
      <x:c r="C16" s="17" t="n">
        <x:v>1</x:v>
      </x:c>
      <x:c r="D16" s="6" t="str">
        <x:v>海能未来技术集团股份有限公司</x:v>
      </x:c>
      <x:c r="E16" s="6" t="str">
        <x:v>办公地址</x:v>
      </x:c>
      <x:c r="F16" s="6" t="str">
        <x:v>山东省济南市高新区经十路7000号汉峪金谷A3地块1号楼第四层</x:v>
      </x:c>
      <x:c r="G16" s="6" t="str"/>
      <x:c r="H16" s="20" t="d">
        <x:v>2026-08-17T00:00:00.000Z</x:v>
      </x:c>
      <x:c r="I16" s="6" t="str">
        <x:v>PDF物理第6页：办公地址 山东省济南市高新区经十路7000 号汉峪金谷A3 地块1 号楼第四层 
邮政编码 250101</x:v>
      </x:c>
      <x:c r="J16" s="6" t="str">
        <x:v>F001</x:v>
      </x:c>
      <x:c r="K16" s="6" t="str">
        <x:v>纳入字段</x:v>
      </x:c>
      <x:c r="L16" s="6" t="str">
        <x:v>已核实原值</x:v>
      </x:c>
    </x:row>
    <x:row r="17" ht="34" customHeight="1">
      <x:c r="A17" s="6" t="str">
        <x:v>R0012</x:v>
      </x:c>
      <x:c r="B17" s="6" t="str">
        <x:v>字段</x:v>
      </x:c>
      <x:c r="C17" s="17" t="n">
        <x:v>1</x:v>
      </x:c>
      <x:c r="D17" s="6" t="str">
        <x:v>海能未来技术集团股份有限公司</x:v>
      </x:c>
      <x:c r="E17" s="6" t="str">
        <x:v>邮政编码</x:v>
      </x:c>
      <x:c r="F17" s="15" t="str">
        <x:v>250101</x:v>
      </x:c>
      <x:c r="G17" s="6" t="str"/>
      <x:c r="H17" s="20" t="d">
        <x:v>2026-08-17T00:00:00.000Z</x:v>
      </x:c>
      <x:c r="I17" s="6" t="str">
        <x:v>PDF物理第6页：邮政编码 250101 
公司邮箱 hanonzqb@hanon.cc</x:v>
      </x:c>
      <x:c r="J17" s="6" t="str">
        <x:v>F001</x:v>
      </x:c>
      <x:c r="K17" s="6" t="str">
        <x:v>纳入字段</x:v>
      </x:c>
      <x:c r="L17" s="6" t="str">
        <x:v>已核实原值</x:v>
      </x:c>
    </x:row>
    <x:row r="18" ht="34" customHeight="1">
      <x:c r="A18" s="6" t="str">
        <x:v>R0013</x:v>
      </x:c>
      <x:c r="B18" s="6" t="str">
        <x:v>字段</x:v>
      </x:c>
      <x:c r="C18" s="17" t="n">
        <x:v>1</x:v>
      </x:c>
      <x:c r="D18" s="6" t="str">
        <x:v>海能未来技术集团股份有限公司</x:v>
      </x:c>
      <x:c r="E18" s="6" t="str">
        <x:v>公司邮箱</x:v>
      </x:c>
      <x:c r="F18" s="6" t="str">
        <x:v>hanonzqb@hanon.cc</x:v>
      </x:c>
      <x:c r="G18" s="6" t="str"/>
      <x:c r="H18" s="20" t="d">
        <x:v>2026-08-17T00:00:00.000Z</x:v>
      </x:c>
      <x:c r="I18" s="6" t="str">
        <x:v>PDF物理第6页：公司邮箱 hanonzqb@hanon.cc 
三、 信息披露及备置地点</x:v>
      </x:c>
      <x:c r="J18" s="6" t="str">
        <x:v>F001</x:v>
      </x:c>
      <x:c r="K18" s="6" t="str">
        <x:v>纳入字段</x:v>
      </x:c>
      <x:c r="L18" s="6" t="str">
        <x:v>已核实原值</x:v>
      </x:c>
    </x:row>
    <x:row r="19" ht="34" customHeight="1">
      <x:c r="A19" s="6" t="str">
        <x:v>R0014</x:v>
      </x:c>
      <x:c r="B19" s="6" t="str">
        <x:v>字段</x:v>
      </x:c>
      <x:c r="C19" s="17" t="n">
        <x:v>1</x:v>
      </x:c>
      <x:c r="D19" s="6" t="str">
        <x:v>海能未来技术集团股份有限公司</x:v>
      </x:c>
      <x:c r="E19" s="6" t="str">
        <x:v>公司股票上市交易所</x:v>
      </x:c>
      <x:c r="F19" s="6" t="str">
        <x:v>北京证券交易所</x:v>
      </x:c>
      <x:c r="G19" s="6" t="str"/>
      <x:c r="H19" s="20" t="d">
        <x:v>2026-08-17T00:00:00.000Z</x:v>
      </x:c>
      <x:c r="I19" s="6" t="str">
        <x:v>PDF物理第6页：公司股票上市交易所 北京证券交易所 
上市时间 2022 年10 月 14 日</x:v>
      </x:c>
      <x:c r="J19" s="6" t="str">
        <x:v>F001</x:v>
      </x:c>
      <x:c r="K19" s="6" t="str">
        <x:v>纳入字段</x:v>
      </x:c>
      <x:c r="L19" s="6" t="str">
        <x:v>已核实原值</x:v>
      </x:c>
    </x:row>
    <x:row r="20" ht="34" customHeight="1">
      <x:c r="A20" s="6" t="str">
        <x:v>R0015</x:v>
      </x:c>
      <x:c r="B20" s="6" t="str">
        <x:v>字段</x:v>
      </x:c>
      <x:c r="C20" s="17" t="n">
        <x:v>1</x:v>
      </x:c>
      <x:c r="D20" s="6" t="str">
        <x:v>海能未来技术集团股份有限公司</x:v>
      </x:c>
      <x:c r="E20" s="6" t="str">
        <x:v>上市时间</x:v>
      </x:c>
      <x:c r="F20" s="6" t="str">
        <x:v>2022-10-14</x:v>
      </x:c>
      <x:c r="G20" s="6" t="str"/>
      <x:c r="H20" s="20" t="d">
        <x:v>2026-08-17T00:00:00.000Z</x:v>
      </x:c>
      <x:c r="I20" s="6" t="str">
        <x:v>PDF物理第6页：上市时间 2022 年10 月 14 日 
行业分类 制造业-仪器、仪表-仪器仪表制造业</x:v>
      </x:c>
      <x:c r="J20" s="6" t="str">
        <x:v>F001</x:v>
      </x:c>
      <x:c r="K20" s="6" t="str">
        <x:v>纳入字段</x:v>
      </x:c>
      <x:c r="L20" s="6" t="str">
        <x:v>已核实原值</x:v>
      </x:c>
    </x:row>
    <x:row r="21" ht="40" customHeight="1">
      <x:c r="A21" s="6" t="str">
        <x:v>R0016</x:v>
      </x:c>
      <x:c r="B21" s="6" t="str">
        <x:v>字段</x:v>
      </x:c>
      <x:c r="C21" s="17" t="n">
        <x:v>1</x:v>
      </x:c>
      <x:c r="D21" s="6" t="str">
        <x:v>海能未来技术集团股份有限公司</x:v>
      </x:c>
      <x:c r="E21" s="6" t="str">
        <x:v>行业分类</x:v>
      </x:c>
      <x:c r="F21" s="6" t="str">
        <x:v>制造业-仪器、仪表-仪器仪表制造业</x:v>
      </x:c>
      <x:c r="G21" s="6" t="str"/>
      <x:c r="H21" s="20" t="d">
        <x:v>2026-08-17T00:00:00.000Z</x:v>
      </x:c>
      <x:c r="I21" s="6" t="str">
        <x:v>PDF物理第6页：行业分类 制造业-仪器、仪表-仪器仪表制造业 
主要产品与服务项目 科学仪器的研发、生产、销售和应用解决方案开发等技术服务，拥有</x:v>
      </x:c>
      <x:c r="J21" s="6" t="str">
        <x:v>F001</x:v>
      </x:c>
      <x:c r="K21" s="6" t="str">
        <x:v>纳入字段</x:v>
      </x:c>
      <x:c r="L21" s="6" t="str">
        <x:v>已核实原值</x:v>
      </x:c>
    </x:row>
    <x:row r="22" ht="34" customHeight="1">
      <x:c r="A22" s="6" t="str">
        <x:v>R0017</x:v>
      </x:c>
      <x:c r="B22" s="6" t="str">
        <x:v>字段</x:v>
      </x:c>
      <x:c r="C22" s="17" t="n">
        <x:v>1</x:v>
      </x:c>
      <x:c r="D22" s="6" t="str">
        <x:v>海能未来技术集团股份有限公司</x:v>
      </x:c>
      <x:c r="E22" s="6" t="str">
        <x:v>控股股东</x:v>
      </x:c>
      <x:c r="F22" s="6" t="str">
        <x:v>王志刚</x:v>
      </x:c>
      <x:c r="G22" s="6" t="str"/>
      <x:c r="H22" s="20" t="d">
        <x:v>2026-08-17T00:00:00.000Z</x:v>
      </x:c>
      <x:c r="I22" s="6" t="str">
        <x:v>PDF物理第6页：控股股东 控股股东为王志刚 
实际控制人及其一致行动人 实际控制人为王志刚，无一致行动人</x:v>
      </x:c>
      <x:c r="J22" s="6" t="str">
        <x:v>F001</x:v>
      </x:c>
      <x:c r="K22" s="6" t="str">
        <x:v>纳入字段</x:v>
      </x:c>
      <x:c r="L22" s="6" t="str">
        <x:v>已核实原值</x:v>
      </x:c>
    </x:row>
    <x:row r="23" ht="34" customHeight="1">
      <x:c r="A23" s="6" t="str">
        <x:v>R0018</x:v>
      </x:c>
      <x:c r="B23" s="6" t="str">
        <x:v>字段</x:v>
      </x:c>
      <x:c r="C23" s="17" t="n">
        <x:v>1</x:v>
      </x:c>
      <x:c r="D23" s="6" t="str">
        <x:v>海能未来技术集团股份有限公司</x:v>
      </x:c>
      <x:c r="E23" s="6" t="str">
        <x:v>实际控制人及其一致行动人</x:v>
      </x:c>
      <x:c r="F23" s="6" t="str">
        <x:v>王志刚；无一致行动人</x:v>
      </x:c>
      <x:c r="G23" s="6" t="str"/>
      <x:c r="H23" s="20" t="d">
        <x:v>2026-08-17T00:00:00.000Z</x:v>
      </x:c>
      <x:c r="I23" s="6" t="str">
        <x:v>PDF物理第6页：实际控制人及其一致行动人 实际控制人为王志刚，无一致行动人</x:v>
      </x:c>
      <x:c r="J23" s="6" t="str">
        <x:v>F001</x:v>
      </x:c>
      <x:c r="K23" s="6" t="str">
        <x:v>纳入字段</x:v>
      </x:c>
      <x:c r="L23" s="6" t="str">
        <x:v>已核实原值</x:v>
      </x:c>
    </x:row>
    <x:row r="24" ht="34" customHeight="1">
      <x:c r="A24" s="6" t="str">
        <x:v>R0019</x:v>
      </x:c>
      <x:c r="B24" s="6" t="str">
        <x:v>字段</x:v>
      </x:c>
      <x:c r="C24" s="17" t="n">
        <x:v>1</x:v>
      </x:c>
      <x:c r="D24" s="6" t="str">
        <x:v>海能未来技术集团股份有限公司</x:v>
      </x:c>
      <x:c r="E24" s="6" t="str">
        <x:v>普通股总股本（股）</x:v>
      </x:c>
      <x:c r="F24" s="15" t="str">
        <x:v>85179800</x:v>
      </x:c>
      <x:c r="G24" s="6" t="str">
        <x:v>股</x:v>
      </x:c>
      <x:c r="H24" s="20" t="d">
        <x:v>2026-08-17T00:00:00.000Z</x:v>
      </x:c>
      <x:c r="I24" s="6" t="str">
        <x:v>PDF物理第6页：普通股总股本（股） 85,179,800 
优先股总股本（股） 0</x:v>
      </x:c>
      <x:c r="J24" s="6" t="str">
        <x:v>F001</x:v>
      </x:c>
      <x:c r="K24" s="6" t="str">
        <x:v>纳入字段</x:v>
      </x:c>
      <x:c r="L24" s="6" t="str">
        <x:v>已核实原值</x:v>
      </x:c>
    </x:row>
    <x:row r="25" ht="40" customHeight="1">
      <x:c r="A25" s="6" t="str">
        <x:v>R0020</x:v>
      </x:c>
      <x:c r="B25" s="6" t="str">
        <x:v>字段</x:v>
      </x:c>
      <x:c r="C25" s="17" t="n">
        <x:v>1</x:v>
      </x:c>
      <x:c r="D25" s="6" t="str">
        <x:v>海能未来技术集团股份有限公司</x:v>
      </x:c>
      <x:c r="E25" s="6" t="str">
        <x:v>统一社会信用代码</x:v>
      </x:c>
      <x:c r="F25" s="15" t="str">
        <x:v>913701007926213730</x:v>
      </x:c>
      <x:c r="G25" s="6" t="str"/>
      <x:c r="H25" s="20" t="d">
        <x:v>2026-03-16T00:00:00.000Z</x:v>
      </x:c>
      <x:c r="I25" s="6" t="str">
        <x:v>PDF物理第7页：统一社会信用代码 913701007926213730 
注册地址 山东省济南市高新区经十路7000号汉峪金谷A3 地块1 号楼第四层</x:v>
      </x:c>
      <x:c r="J25" s="6" t="str">
        <x:v>F002</x:v>
      </x:c>
      <x:c r="K25" s="6" t="str">
        <x:v>纳入字段</x:v>
      </x:c>
      <x:c r="L25" s="6" t="str">
        <x:v>已核实原值</x:v>
      </x:c>
    </x:row>
    <x:row r="26" ht="34" customHeight="1">
      <x:c r="A26" s="6" t="str">
        <x:v>R0021</x:v>
      </x:c>
      <x:c r="B26" s="6" t="str">
        <x:v>字段</x:v>
      </x:c>
      <x:c r="C26" s="17" t="n">
        <x:v>1</x:v>
      </x:c>
      <x:c r="D26" s="6" t="str">
        <x:v>海能未来技术集团股份有限公司</x:v>
      </x:c>
      <x:c r="E26" s="6" t="str">
        <x:v>注册资本（元）</x:v>
      </x:c>
      <x:c r="F26" s="15" t="str">
        <x:v>85179800</x:v>
      </x:c>
      <x:c r="G26" s="6" t="str">
        <x:v>人民币元</x:v>
      </x:c>
      <x:c r="H26" s="20" t="d">
        <x:v>2026-03-16T00:00:00.000Z</x:v>
      </x:c>
      <x:c r="I26" s="6" t="str">
        <x:v>PDF物理第7页：注册资本（元） 85,179,800</x:v>
      </x:c>
      <x:c r="J26" s="6" t="str">
        <x:v>F002</x:v>
      </x:c>
      <x:c r="K26" s="6" t="str">
        <x:v>纳入字段</x:v>
      </x:c>
      <x:c r="L26" s="6" t="str">
        <x:v>已核实原值</x:v>
      </x:c>
    </x:row>
    <x:row r="27" ht="40" customHeight="1">
      <x:c r="A27" s="6" t="str">
        <x:v>R0022</x:v>
      </x:c>
      <x:c r="B27" s="6" t="str">
        <x:v>字段</x:v>
      </x:c>
      <x:c r="C27" s="17" t="n">
        <x:v>1</x:v>
      </x:c>
      <x:c r="D27" s="6" t="str">
        <x:v>海能未来技术集团股份有限公司</x:v>
      </x:c>
      <x:c r="E27" s="6" t="str">
        <x:v>成立日期</x:v>
      </x:c>
      <x:c r="F27" s="6" t="str">
        <x:v>2006-11-29</x:v>
      </x:c>
      <x:c r="G27" s="6" t="str"/>
      <x:c r="H27" s="20" t="d">
        <x:v>2026-08-17T00:00:00.000Z</x:v>
      </x:c>
      <x:c r="I27" s="6" t="str">
        <x:v>PDF物理第47页：海能未来技术集团股份有限公司（以下简称本公司或公司，在包含子公司时统称本集团）成立于2006年11月29日。</x:v>
      </x:c>
      <x:c r="J27" s="6" t="str">
        <x:v>F001</x:v>
      </x:c>
      <x:c r="K27" s="6" t="str">
        <x:v>纳入字段</x:v>
      </x:c>
      <x:c r="L27" s="6" t="str">
        <x:v>已核实原值</x:v>
      </x:c>
    </x:row>
    <x:row r="28" ht="40" customHeight="1">
      <x:c r="A28" s="6" t="str">
        <x:v>R0023</x:v>
      </x:c>
      <x:c r="B28" s="6" t="str">
        <x:v>字段</x:v>
      </x:c>
      <x:c r="C28" s="17" t="n">
        <x:v>1</x:v>
      </x:c>
      <x:c r="D28" s="6" t="str">
        <x:v>海能未来技术集团股份有限公司</x:v>
      </x:c>
      <x:c r="E28" s="6" t="str">
        <x:v>注册地址</x:v>
      </x:c>
      <x:c r="F28" s="6" t="str">
        <x:v>山东省济南市高新区经十路7000号汉峪金谷A3地块1号楼第四层</x:v>
      </x:c>
      <x:c r="G28" s="6" t="str"/>
      <x:c r="H28" s="20" t="d">
        <x:v>2026-08-17T00:00:00.000Z</x:v>
      </x:c>
      <x:c r="I28" s="6" t="str">
        <x:v>PDF物理第47页：公司注册地址：山东省济南市高新区经十路7000号汉峪金谷A3地块1号楼第四层，总部办公地址：山东省德州市临邑县邢侗街道花园东大街16号。</x:v>
      </x:c>
      <x:c r="J28" s="6" t="str">
        <x:v>F001</x:v>
      </x:c>
      <x:c r="K28" s="6" t="str">
        <x:v>纳入字段</x:v>
      </x:c>
      <x:c r="L28" s="6" t="str">
        <x:v>已核实原值</x:v>
      </x:c>
    </x:row>
    <x:row r="29" ht="34" customHeight="1">
      <x:c r="A29" s="6" t="str">
        <x:v>R0024</x:v>
      </x:c>
      <x:c r="B29" s="6" t="str">
        <x:v>字段</x:v>
      </x:c>
      <x:c r="C29" s="17" t="n">
        <x:v>1</x:v>
      </x:c>
      <x:c r="D29" s="6" t="str">
        <x:v>海能未来技术集团股份有限公司</x:v>
      </x:c>
      <x:c r="E29" s="6" t="str">
        <x:v>总部办公地址（财务附注）</x:v>
      </x:c>
      <x:c r="F29" s="6" t="str">
        <x:v>山东省德州市临邑县邢侗街道花园东大街16号</x:v>
      </x:c>
      <x:c r="G29" s="6" t="str"/>
      <x:c r="H29" s="20" t="d">
        <x:v>2026-08-17T00:00:00.000Z</x:v>
      </x:c>
      <x:c r="I29" s="6" t="str">
        <x:v>PDF物理第47页：总部办公地址：山东省德州市临邑县邢侗街道花园东大街16号。</x:v>
      </x:c>
      <x:c r="J29" s="6" t="str">
        <x:v>F001</x:v>
      </x:c>
      <x:c r="K29" s="6" t="str">
        <x:v>纳入字段</x:v>
      </x:c>
      <x:c r="L29" s="6" t="str">
        <x:v>已核实原值</x:v>
      </x:c>
    </x:row>
    <x:row r="30" ht="34" customHeight="1">
      <x:c r="A30" s="6" t="str">
        <x:v>R0025</x:v>
      </x:c>
      <x:c r="B30" s="6" t="str">
        <x:v>字段</x:v>
      </x:c>
      <x:c r="C30" s="17" t="n">
        <x:v>1</x:v>
      </x:c>
      <x:c r="D30" s="6" t="str">
        <x:v>海能未来技术集团股份有限公司</x:v>
      </x:c>
      <x:c r="E30" s="6" t="str">
        <x:v>半年度财务报告审计状态</x:v>
      </x:c>
      <x:c r="F30" s="6" t="str">
        <x:v>未经会计师事务所审计</x:v>
      </x:c>
      <x:c r="G30" s="6" t="str"/>
      <x:c r="H30" s="20" t="d">
        <x:v>2026-08-17T00:00:00.000Z</x:v>
      </x:c>
      <x:c r="I30" s="6" t="str">
        <x:v>PDF物理第4页：本半年度报告未经会计师事务所审计。</x:v>
      </x:c>
      <x:c r="J30" s="6" t="str">
        <x:v>F001</x:v>
      </x:c>
      <x:c r="K30" s="6" t="str">
        <x:v>纳入字段</x:v>
      </x:c>
      <x:c r="L30" s="6" t="str">
        <x:v>已核实原值</x:v>
      </x:c>
    </x:row>
    <x:row r="31" ht="34" customHeight="1">
      <x:c r="A31" s="6" t="str">
        <x:v>R0026</x:v>
      </x:c>
      <x:c r="B31" s="6" t="str">
        <x:v>字段</x:v>
      </x:c>
      <x:c r="C31" s="17" t="n">
        <x:v>1</x:v>
      </x:c>
      <x:c r="D31" s="6" t="str">
        <x:v>海能未来技术集团股份有限公司</x:v>
      </x:c>
      <x:c r="E31" s="6" t="str">
        <x:v>金额单位定义</x:v>
      </x:c>
      <x:c r="F31" s="6" t="str">
        <x:v>元/千元/万元指人民币元/千元/万元</x:v>
      </x:c>
      <x:c r="G31" s="6" t="str"/>
      <x:c r="H31" s="20" t="d">
        <x:v>2026-08-17T00:00:00.000Z</x:v>
      </x:c>
      <x:c r="I31" s="6" t="str">
        <x:v>PDF物理第5页：元/千元/万元 指 人民币元/千元/万元</x:v>
      </x:c>
      <x:c r="J31" s="6" t="str">
        <x:v>F001</x:v>
      </x:c>
      <x:c r="K31" s="6" t="str">
        <x:v>纳入字段</x:v>
      </x:c>
      <x:c r="L31" s="6" t="str">
        <x:v>已核实原值</x:v>
      </x:c>
    </x:row>
    <x:row r="32" ht="34" customHeight="1">
      <x:c r="A32" s="6" t="str">
        <x:v>R0027</x:v>
      </x:c>
      <x:c r="B32" s="6" t="str">
        <x:v>字段</x:v>
      </x:c>
      <x:c r="C32" s="17" t="n">
        <x:v>1</x:v>
      </x:c>
      <x:c r="D32" s="6" t="str">
        <x:v>海能未来技术集团股份有限公司</x:v>
      </x:c>
      <x:c r="E32" s="6" t="str">
        <x:v>营业收入</x:v>
      </x:c>
      <x:c r="F32" s="6" t="str">
        <x:v>158557611.34</x:v>
      </x:c>
      <x:c r="G32" s="6" t="str">
        <x:v>人民币元</x:v>
      </x:c>
      <x:c r="H32" s="20" t="d">
        <x:v>2026-08-17T00:00:00.000Z</x:v>
      </x:c>
      <x:c r="I32" s="6" t="str">
        <x:v>PDF物理第8页：单位：元
营业收入 158,557,611.34 136,068,011.73 16.53%</x:v>
      </x:c>
      <x:c r="J32" s="6" t="str">
        <x:v>F001</x:v>
      </x:c>
      <x:c r="K32" s="6" t="str">
        <x:v>纳入字段</x:v>
      </x:c>
      <x:c r="L32" s="6" t="str">
        <x:v>已核实原值</x:v>
      </x:c>
    </x:row>
    <x:row r="33" ht="34" customHeight="1">
      <x:c r="A33" s="6" t="str">
        <x:v>R0028</x:v>
      </x:c>
      <x:c r="B33" s="6" t="str">
        <x:v>字段</x:v>
      </x:c>
      <x:c r="C33" s="17" t="n">
        <x:v>1</x:v>
      </x:c>
      <x:c r="D33" s="6" t="str">
        <x:v>海能未来技术集团股份有限公司</x:v>
      </x:c>
      <x:c r="E33" s="6" t="str">
        <x:v>毛利率%</x:v>
      </x:c>
      <x:c r="F33" s="6" t="str">
        <x:v>62.96</x:v>
      </x:c>
      <x:c r="G33" s="6" t="str">
        <x:v>%</x:v>
      </x:c>
      <x:c r="H33" s="20" t="d">
        <x:v>2026-08-17T00:00:00.000Z</x:v>
      </x:c>
      <x:c r="I33" s="6" t="str">
        <x:v>PDF物理第8页：单位：元
毛利率% 62.96% 63.60% -</x:v>
      </x:c>
      <x:c r="J33" s="6" t="str">
        <x:v>F001</x:v>
      </x:c>
      <x:c r="K33" s="6" t="str">
        <x:v>纳入字段</x:v>
      </x:c>
      <x:c r="L33" s="6" t="str">
        <x:v>已核实原值</x:v>
      </x:c>
    </x:row>
    <x:row r="34" ht="40" customHeight="1">
      <x:c r="A34" s="6" t="str">
        <x:v>R0029</x:v>
      </x:c>
      <x:c r="B34" s="6" t="str">
        <x:v>字段</x:v>
      </x:c>
      <x:c r="C34" s="17" t="n">
        <x:v>1</x:v>
      </x:c>
      <x:c r="D34" s="6" t="str">
        <x:v>海能未来技术集团股份有限公司</x:v>
      </x:c>
      <x:c r="E34" s="6" t="str">
        <x:v>归属于上市公司股东的净利润</x:v>
      </x:c>
      <x:c r="F34" s="6" t="str">
        <x:v>11342210.58</x:v>
      </x:c>
      <x:c r="G34" s="6" t="str">
        <x:v>人民币元</x:v>
      </x:c>
      <x:c r="H34" s="20" t="d">
        <x:v>2026-08-17T00:00:00.000Z</x:v>
      </x:c>
      <x:c r="I34" s="6" t="str">
        <x:v>PDF物理第8页：单位：元
归属于上市公司股东的净利润 11,342,210.58 5,471,491.32 107.30%</x:v>
      </x:c>
      <x:c r="J34" s="6" t="str">
        <x:v>F001</x:v>
      </x:c>
      <x:c r="K34" s="6" t="str">
        <x:v>纳入字段</x:v>
      </x:c>
      <x:c r="L34" s="6" t="str">
        <x:v>已核实原值</x:v>
      </x:c>
    </x:row>
    <x:row r="35" ht="34" customHeight="1">
      <x:c r="A35" s="6" t="str">
        <x:v>R0030</x:v>
      </x:c>
      <x:c r="B35" s="6" t="str">
        <x:v>字段</x:v>
      </x:c>
      <x:c r="C35" s="17" t="n">
        <x:v>1</x:v>
      </x:c>
      <x:c r="D35" s="6" t="str">
        <x:v>海能未来技术集团股份有限公司</x:v>
      </x:c>
      <x:c r="E35" s="6" t="str">
        <x:v>资产总计</x:v>
      </x:c>
      <x:c r="F35" s="6" t="str">
        <x:v>581658810.32</x:v>
      </x:c>
      <x:c r="G35" s="6" t="str">
        <x:v>人民币元</x:v>
      </x:c>
      <x:c r="H35" s="20" t="d">
        <x:v>2026-08-17T00:00:00.000Z</x:v>
      </x:c>
      <x:c r="I35" s="6" t="str">
        <x:v>PDF物理第8页：单位：元
资产总计 581,658,810.32 577,396,084.86 0.74%</x:v>
      </x:c>
      <x:c r="J35" s="6" t="str">
        <x:v>F001</x:v>
      </x:c>
      <x:c r="K35" s="6" t="str">
        <x:v>纳入字段</x:v>
      </x:c>
      <x:c r="L35" s="6" t="str">
        <x:v>已核实原值</x:v>
      </x:c>
    </x:row>
    <x:row r="36" ht="34" customHeight="1">
      <x:c r="A36" s="6" t="str">
        <x:v>R0031</x:v>
      </x:c>
      <x:c r="B36" s="6" t="str">
        <x:v>字段</x:v>
      </x:c>
      <x:c r="C36" s="17" t="n">
        <x:v>1</x:v>
      </x:c>
      <x:c r="D36" s="6" t="str">
        <x:v>海能未来技术集团股份有限公司</x:v>
      </x:c>
      <x:c r="E36" s="6" t="str">
        <x:v>负债总计</x:v>
      </x:c>
      <x:c r="F36" s="6" t="str">
        <x:v>137060485.55</x:v>
      </x:c>
      <x:c r="G36" s="6" t="str">
        <x:v>人民币元</x:v>
      </x:c>
      <x:c r="H36" s="20" t="d">
        <x:v>2026-08-17T00:00:00.000Z</x:v>
      </x:c>
      <x:c r="I36" s="6" t="str">
        <x:v>PDF物理第8页：单位：元
负债总计 137,060,485.55 132,220,447.86 3.66%</x:v>
      </x:c>
      <x:c r="J36" s="6" t="str">
        <x:v>F001</x:v>
      </x:c>
      <x:c r="K36" s="6" t="str">
        <x:v>纳入字段</x:v>
      </x:c>
      <x:c r="L36" s="6" t="str">
        <x:v>已核实原值</x:v>
      </x:c>
    </x:row>
    <x:row r="37" ht="40" customHeight="1">
      <x:c r="A37" s="6" t="str">
        <x:v>R0032</x:v>
      </x:c>
      <x:c r="B37" s="6" t="str">
        <x:v>字段</x:v>
      </x:c>
      <x:c r="C37" s="17" t="n">
        <x:v>1</x:v>
      </x:c>
      <x:c r="D37" s="6" t="str">
        <x:v>海能未来技术集团股份有限公司</x:v>
      </x:c>
      <x:c r="E37" s="6" t="str">
        <x:v>归属于上市公司股东的净资产</x:v>
      </x:c>
      <x:c r="F37" s="6" t="str">
        <x:v>450850327.63</x:v>
      </x:c>
      <x:c r="G37" s="6" t="str">
        <x:v>人民币元</x:v>
      </x:c>
      <x:c r="H37" s="20" t="d">
        <x:v>2026-08-17T00:00:00.000Z</x:v>
      </x:c>
      <x:c r="I37" s="6" t="str">
        <x:v>PDF物理第8页：单位：元
归属于上市公司股东的净资产 450,850,327.63 449,041,889.60 0.40%</x:v>
      </x:c>
      <x:c r="J37" s="6" t="str">
        <x:v>F001</x:v>
      </x:c>
      <x:c r="K37" s="6" t="str">
        <x:v>纳入字段</x:v>
      </x:c>
      <x:c r="L37" s="6" t="str">
        <x:v>已核实原值</x:v>
      </x:c>
    </x:row>
    <x:row r="38" ht="34" customHeight="1">
      <x:c r="A38" s="6" t="str">
        <x:v>R0033</x:v>
      </x:c>
      <x:c r="B38" s="6" t="str">
        <x:v>字段</x:v>
      </x:c>
      <x:c r="C38" s="17" t="n">
        <x:v>1</x:v>
      </x:c>
      <x:c r="D38" s="6" t="str">
        <x:v>海能未来技术集团股份有限公司</x:v>
      </x:c>
      <x:c r="E38" s="6" t="str">
        <x:v>归属于上市公司股东的每股净资产</x:v>
      </x:c>
      <x:c r="F38" s="6" t="str">
        <x:v>5.63</x:v>
      </x:c>
      <x:c r="G38" s="6" t="str">
        <x:v>人民币元/股</x:v>
      </x:c>
      <x:c r="H38" s="20" t="d">
        <x:v>2026-08-17T00:00:00.000Z</x:v>
      </x:c>
      <x:c r="I38" s="6" t="str">
        <x:v>PDF物理第8页：单位：元
归属于上市公司股东的每股净资产 5.63 5.61 0.36%</x:v>
      </x:c>
      <x:c r="J38" s="6" t="str">
        <x:v>F001</x:v>
      </x:c>
      <x:c r="K38" s="6" t="str">
        <x:v>纳入字段</x:v>
      </x:c>
      <x:c r="L38" s="6" t="str">
        <x:v>已核实原值</x:v>
      </x:c>
    </x:row>
    <x:row r="39" ht="34" customHeight="1">
      <x:c r="A39" s="6" t="str">
        <x:v>R0034</x:v>
      </x:c>
      <x:c r="B39" s="6" t="str">
        <x:v>字段</x:v>
      </x:c>
      <x:c r="C39" s="17" t="n">
        <x:v>1</x:v>
      </x:c>
      <x:c r="D39" s="6" t="str">
        <x:v>海能未来技术集团股份有限公司</x:v>
      </x:c>
      <x:c r="E39" s="6" t="str">
        <x:v>资产负债率%（母公司）</x:v>
      </x:c>
      <x:c r="F39" s="6" t="str">
        <x:v>11.61</x:v>
      </x:c>
      <x:c r="G39" s="6" t="str">
        <x:v>%</x:v>
      </x:c>
      <x:c r="H39" s="20" t="d">
        <x:v>2026-08-17T00:00:00.000Z</x:v>
      </x:c>
      <x:c r="I39" s="6" t="str">
        <x:v>PDF物理第8页：单位：元
资产负债率%（母公司） 11.61% 11.38% -</x:v>
      </x:c>
      <x:c r="J39" s="6" t="str">
        <x:v>F001</x:v>
      </x:c>
      <x:c r="K39" s="6" t="str">
        <x:v>纳入字段</x:v>
      </x:c>
      <x:c r="L39" s="6" t="str">
        <x:v>已核实原值</x:v>
      </x:c>
    </x:row>
    <x:row r="40" ht="34" customHeight="1">
      <x:c r="A40" s="6" t="str">
        <x:v>R0035</x:v>
      </x:c>
      <x:c r="B40" s="6" t="str">
        <x:v>字段</x:v>
      </x:c>
      <x:c r="C40" s="17" t="n">
        <x:v>1</x:v>
      </x:c>
      <x:c r="D40" s="6" t="str">
        <x:v>海能未来技术集团股份有限公司</x:v>
      </x:c>
      <x:c r="E40" s="6" t="str">
        <x:v>资产负债率%（合并）</x:v>
      </x:c>
      <x:c r="F40" s="6" t="str">
        <x:v>23.56</x:v>
      </x:c>
      <x:c r="G40" s="6" t="str">
        <x:v>%</x:v>
      </x:c>
      <x:c r="H40" s="20" t="d">
        <x:v>2026-08-17T00:00:00.000Z</x:v>
      </x:c>
      <x:c r="I40" s="6" t="str">
        <x:v>PDF物理第8页：单位：元
资产负债率%（合并） 23.56% 22.90% -</x:v>
      </x:c>
      <x:c r="J40" s="6" t="str">
        <x:v>F001</x:v>
      </x:c>
      <x:c r="K40" s="6" t="str">
        <x:v>纳入字段</x:v>
      </x:c>
      <x:c r="L40" s="6" t="str">
        <x:v>已核实原值</x:v>
      </x:c>
    </x:row>
    <x:row r="41" ht="34" customHeight="1">
      <x:c r="A41" s="6" t="str">
        <x:v>R0036</x:v>
      </x:c>
      <x:c r="B41" s="6" t="str">
        <x:v>字段</x:v>
      </x:c>
      <x:c r="C41" s="17" t="n">
        <x:v>1</x:v>
      </x:c>
      <x:c r="D41" s="6" t="str">
        <x:v>海能未来技术集团股份有限公司</x:v>
      </x:c>
      <x:c r="E41" s="6" t="str">
        <x:v>流动比率</x:v>
      </x:c>
      <x:c r="F41" s="6" t="str">
        <x:v>3.9</x:v>
      </x:c>
      <x:c r="G41" s="6" t="str">
        <x:v>倍</x:v>
      </x:c>
      <x:c r="H41" s="20" t="d">
        <x:v>2026-08-17T00:00:00.000Z</x:v>
      </x:c>
      <x:c r="I41" s="6" t="str">
        <x:v>PDF物理第8页：单位：元
流动比率 3.90 4.26 -</x:v>
      </x:c>
      <x:c r="J41" s="6" t="str">
        <x:v>F001</x:v>
      </x:c>
      <x:c r="K41" s="6" t="str">
        <x:v>纳入字段</x:v>
      </x:c>
      <x:c r="L41" s="6" t="str">
        <x:v>已核实原值</x:v>
      </x:c>
    </x:row>
    <x:row r="42" ht="34" customHeight="1">
      <x:c r="A42" s="6" t="str">
        <x:v>R0037</x:v>
      </x:c>
      <x:c r="B42" s="6" t="str">
        <x:v>字段</x:v>
      </x:c>
      <x:c r="C42" s="17" t="n">
        <x:v>1</x:v>
      </x:c>
      <x:c r="D42" s="6" t="str">
        <x:v>海能未来技术集团股份有限公司</x:v>
      </x:c>
      <x:c r="E42" s="6" t="str">
        <x:v>利息保障倍数</x:v>
      </x:c>
      <x:c r="F42" s="6" t="str">
        <x:v>17.63</x:v>
      </x:c>
      <x:c r="G42" s="6" t="str">
        <x:v>倍</x:v>
      </x:c>
      <x:c r="H42" s="20" t="d">
        <x:v>2026-08-17T00:00:00.000Z</x:v>
      </x:c>
      <x:c r="I42" s="6" t="str">
        <x:v>PDF物理第8页：单位：元
利息保障倍数 17.63 48.09 -</x:v>
      </x:c>
      <x:c r="J42" s="6" t="str">
        <x:v>F001</x:v>
      </x:c>
      <x:c r="K42" s="6" t="str">
        <x:v>纳入字段</x:v>
      </x:c>
      <x:c r="L42" s="6" t="str">
        <x:v>已核实原值</x:v>
      </x:c>
    </x:row>
    <x:row r="43" ht="40" customHeight="1">
      <x:c r="A43" s="6" t="str">
        <x:v>R0038</x:v>
      </x:c>
      <x:c r="B43" s="6" t="str">
        <x:v>字段</x:v>
      </x:c>
      <x:c r="C43" s="17" t="n">
        <x:v>1</x:v>
      </x:c>
      <x:c r="D43" s="6" t="str">
        <x:v>海能未来技术集团股份有限公司</x:v>
      </x:c>
      <x:c r="E43" s="6" t="str">
        <x:v>经营活动产生的现金流量净额</x:v>
      </x:c>
      <x:c r="F43" s="6" t="str">
        <x:v>12909870.96</x:v>
      </x:c>
      <x:c r="G43" s="6" t="str">
        <x:v>人民币元</x:v>
      </x:c>
      <x:c r="H43" s="20" t="d">
        <x:v>2026-08-17T00:00:00.000Z</x:v>
      </x:c>
      <x:c r="I43" s="6" t="str">
        <x:v>PDF物理第8页：单位：元
经营活动产生的现金流量净额 12,909,870.96 -14,169,181.15 191.11%</x:v>
      </x:c>
      <x:c r="J43" s="6" t="str">
        <x:v>F001</x:v>
      </x:c>
      <x:c r="K43" s="6" t="str">
        <x:v>纳入字段</x:v>
      </x:c>
      <x:c r="L43" s="6" t="str">
        <x:v>已核实原值</x:v>
      </x:c>
    </x:row>
    <x:row r="44" ht="34" customHeight="1">
      <x:c r="A44" s="6" t="str">
        <x:v>R0039</x:v>
      </x:c>
      <x:c r="B44" s="6" t="str">
        <x:v>字段</x:v>
      </x:c>
      <x:c r="C44" s="17" t="n">
        <x:v>1</x:v>
      </x:c>
      <x:c r="D44" s="6" t="str">
        <x:v>海能未来技术集团股份有限公司</x:v>
      </x:c>
      <x:c r="E44" s="6" t="str">
        <x:v>应收账款周转率</x:v>
      </x:c>
      <x:c r="F44" s="6" t="str">
        <x:v>9.28</x:v>
      </x:c>
      <x:c r="G44" s="6" t="str">
        <x:v>倍</x:v>
      </x:c>
      <x:c r="H44" s="20" t="d">
        <x:v>2026-08-17T00:00:00.000Z</x:v>
      </x:c>
      <x:c r="I44" s="6" t="str">
        <x:v>PDF物理第8页：单位：元
应收账款周转率 9.28 10.54 -</x:v>
      </x:c>
      <x:c r="J44" s="6" t="str">
        <x:v>F001</x:v>
      </x:c>
      <x:c r="K44" s="6" t="str">
        <x:v>纳入字段</x:v>
      </x:c>
      <x:c r="L44" s="6" t="str">
        <x:v>已核实原值</x:v>
      </x:c>
    </x:row>
    <x:row r="45" ht="34" customHeight="1">
      <x:c r="A45" s="6" t="str">
        <x:v>R0040</x:v>
      </x:c>
      <x:c r="B45" s="6" t="str">
        <x:v>字段</x:v>
      </x:c>
      <x:c r="C45" s="17" t="n">
        <x:v>1</x:v>
      </x:c>
      <x:c r="D45" s="6" t="str">
        <x:v>海能未来技术集团股份有限公司</x:v>
      </x:c>
      <x:c r="E45" s="6" t="str">
        <x:v>存货周转率</x:v>
      </x:c>
      <x:c r="F45" s="6" t="str">
        <x:v>67.82</x:v>
      </x:c>
      <x:c r="G45" s="6" t="str">
        <x:v>%</x:v>
      </x:c>
      <x:c r="H45" s="20" t="d">
        <x:v>2026-08-17T00:00:00.000Z</x:v>
      </x:c>
      <x:c r="I45" s="6" t="str">
        <x:v>PDF物理第8页：单位：元
存货周转率 67.82% 55.00% -</x:v>
      </x:c>
      <x:c r="J45" s="6" t="str">
        <x:v>F001</x:v>
      </x:c>
      <x:c r="K45" s="6" t="str">
        <x:v>纳入字段</x:v>
      </x:c>
      <x:c r="L45" s="6" t="str">
        <x:v>已核实原值</x:v>
      </x:c>
    </x:row>
    <x:row r="46" ht="40" customHeight="1">
      <x:c r="A46" s="6" t="str">
        <x:v>R0041</x:v>
      </x:c>
      <x:c r="B46" s="6" t="str">
        <x:v>字段</x:v>
      </x:c>
      <x:c r="C46" s="17" t="n">
        <x:v>1</x:v>
      </x:c>
      <x:c r="D46" s="6" t="str">
        <x:v>海能未来技术集团股份有限公司</x:v>
      </x:c>
      <x:c r="E46" s="6" t="str">
        <x:v>归母扣非净利润</x:v>
      </x:c>
      <x:c r="F46" s="6" t="str">
        <x:v>10691610.23</x:v>
      </x:c>
      <x:c r="G46" s="6" t="str">
        <x:v>人民币元</x:v>
      </x:c>
      <x:c r="H46" s="20" t="d">
        <x:v>2026-08-17T00:00:00.000Z</x:v>
      </x:c>
      <x:c r="I46" s="6" t="str">
        <x:v>PDF物理第8页：归属于上市公司股东的扣除非经常性损益后的净利润 10,691,610.23 1,219,713.15 776.57%</x:v>
      </x:c>
      <x:c r="J46" s="6" t="str">
        <x:v>F001</x:v>
      </x:c>
      <x:c r="K46" s="6" t="str">
        <x:v>纳入字段</x:v>
      </x:c>
      <x:c r="L46" s="6" t="str">
        <x:v>已核实原值</x:v>
      </x:c>
    </x:row>
    <x:row r="47" ht="40" customHeight="1">
      <x:c r="A47" s="6" t="str">
        <x:v>R0042</x:v>
      </x:c>
      <x:c r="B47" s="6" t="str">
        <x:v>字段</x:v>
      </x:c>
      <x:c r="C47" s="17" t="n">
        <x:v>1</x:v>
      </x:c>
      <x:c r="D47" s="6" t="str">
        <x:v>海能未来技术集团股份有限公司</x:v>
      </x:c>
      <x:c r="E47" s="6" t="str">
        <x:v>货币资金</x:v>
      </x:c>
      <x:c r="F47" s="6" t="str">
        <x:v>137034551.33</x:v>
      </x:c>
      <x:c r="G47" s="6" t="str">
        <x:v>人民币元</x:v>
      </x:c>
      <x:c r="H47" s="20" t="d">
        <x:v>2026-08-17T00:00:00.000Z</x:v>
      </x:c>
      <x:c r="I47" s="6" t="str">
        <x:v>PDF物理第14页：单位：元
货币资金 137,034,551.33 23.56% 171,925,961.14 29.78% -20.29%</x:v>
      </x:c>
      <x:c r="J47" s="6" t="str">
        <x:v>F001</x:v>
      </x:c>
      <x:c r="K47" s="6" t="str">
        <x:v>纳入字段</x:v>
      </x:c>
      <x:c r="L47" s="6" t="str">
        <x:v>已核实原值</x:v>
      </x:c>
    </x:row>
    <x:row r="48" ht="40" customHeight="1">
      <x:c r="A48" s="6" t="str">
        <x:v>R0043</x:v>
      </x:c>
      <x:c r="B48" s="6" t="str">
        <x:v>字段</x:v>
      </x:c>
      <x:c r="C48" s="17" t="n">
        <x:v>1</x:v>
      </x:c>
      <x:c r="D48" s="6" t="str">
        <x:v>海能未来技术集团股份有限公司</x:v>
      </x:c>
      <x:c r="E48" s="6" t="str">
        <x:v>应收票据</x:v>
      </x:c>
      <x:c r="F48" s="6" t="str">
        <x:v>2492681.36</x:v>
      </x:c>
      <x:c r="G48" s="6" t="str">
        <x:v>人民币元</x:v>
      </x:c>
      <x:c r="H48" s="20" t="d">
        <x:v>2026-08-17T00:00:00.000Z</x:v>
      </x:c>
      <x:c r="I48" s="6" t="str">
        <x:v>PDF物理第14页：单位：元
应收票据 2,492,681.36 0.43% 2,454,451.61 0.43% 1.56%</x:v>
      </x:c>
      <x:c r="J48" s="6" t="str">
        <x:v>F001</x:v>
      </x:c>
      <x:c r="K48" s="6" t="str">
        <x:v>纳入字段</x:v>
      </x:c>
      <x:c r="L48" s="6" t="str">
        <x:v>已核实原值</x:v>
      </x:c>
    </x:row>
    <x:row r="49" ht="40" customHeight="1">
      <x:c r="A49" s="6" t="str">
        <x:v>R0044</x:v>
      </x:c>
      <x:c r="B49" s="6" t="str">
        <x:v>字段</x:v>
      </x:c>
      <x:c r="C49" s="17" t="n">
        <x:v>1</x:v>
      </x:c>
      <x:c r="D49" s="6" t="str">
        <x:v>海能未来技术集团股份有限公司</x:v>
      </x:c>
      <x:c r="E49" s="6" t="str">
        <x:v>应收账款</x:v>
      </x:c>
      <x:c r="F49" s="6" t="str">
        <x:v>14401599.71</x:v>
      </x:c>
      <x:c r="G49" s="6" t="str">
        <x:v>人民币元</x:v>
      </x:c>
      <x:c r="H49" s="20" t="d">
        <x:v>2026-08-17T00:00:00.000Z</x:v>
      </x:c>
      <x:c r="I49" s="6" t="str">
        <x:v>PDF物理第14页：单位：元
应收账款 14,401,599.71 2.48% 15,249,051.01 2.64% -5.56%</x:v>
      </x:c>
      <x:c r="J49" s="6" t="str">
        <x:v>F001</x:v>
      </x:c>
      <x:c r="K49" s="6" t="str">
        <x:v>纳入字段</x:v>
      </x:c>
      <x:c r="L49" s="6" t="str">
        <x:v>已核实原值</x:v>
      </x:c>
    </x:row>
    <x:row r="50" ht="40" customHeight="1">
      <x:c r="A50" s="6" t="str">
        <x:v>R0045</x:v>
      </x:c>
      <x:c r="B50" s="6" t="str">
        <x:v>字段</x:v>
      </x:c>
      <x:c r="C50" s="17" t="n">
        <x:v>1</x:v>
      </x:c>
      <x:c r="D50" s="6" t="str">
        <x:v>海能未来技术集团股份有限公司</x:v>
      </x:c>
      <x:c r="E50" s="6" t="str">
        <x:v>存货</x:v>
      </x:c>
      <x:c r="F50" s="6" t="str">
        <x:v>86084561.63</x:v>
      </x:c>
      <x:c r="G50" s="6" t="str">
        <x:v>人民币元</x:v>
      </x:c>
      <x:c r="H50" s="20" t="d">
        <x:v>2026-08-17T00:00:00.000Z</x:v>
      </x:c>
      <x:c r="I50" s="6" t="str">
        <x:v>PDF物理第14页：单位：元
存货 86,084,561.63 14.80% 81,896,242.68 14.18% 5.11%</x:v>
      </x:c>
      <x:c r="J50" s="6" t="str">
        <x:v>F001</x:v>
      </x:c>
      <x:c r="K50" s="6" t="str">
        <x:v>纳入字段</x:v>
      </x:c>
      <x:c r="L50" s="6" t="str">
        <x:v>已核实原值</x:v>
      </x:c>
    </x:row>
    <x:row r="51" ht="40" customHeight="1">
      <x:c r="A51" s="6" t="str">
        <x:v>R0046</x:v>
      </x:c>
      <x:c r="B51" s="6" t="str">
        <x:v>字段</x:v>
      </x:c>
      <x:c r="C51" s="17" t="n">
        <x:v>1</x:v>
      </x:c>
      <x:c r="D51" s="6" t="str">
        <x:v>海能未来技术集团股份有限公司</x:v>
      </x:c>
      <x:c r="E51" s="6" t="str">
        <x:v>长期股权投资</x:v>
      </x:c>
      <x:c r="F51" s="6" t="str">
        <x:v>5636949.86</x:v>
      </x:c>
      <x:c r="G51" s="6" t="str">
        <x:v>人民币元</x:v>
      </x:c>
      <x:c r="H51" s="20" t="d">
        <x:v>2026-08-17T00:00:00.000Z</x:v>
      </x:c>
      <x:c r="I51" s="6" t="str">
        <x:v>PDF物理第14页：单位：元
长期股权投资 5,636,949.86 0.97% 6,629,738.15 1.15% -14.97%</x:v>
      </x:c>
      <x:c r="J51" s="6" t="str">
        <x:v>F001</x:v>
      </x:c>
      <x:c r="K51" s="6" t="str">
        <x:v>纳入字段</x:v>
      </x:c>
      <x:c r="L51" s="6" t="str">
        <x:v>已核实原值</x:v>
      </x:c>
    </x:row>
    <x:row r="52" ht="40" customHeight="1">
      <x:c r="A52" s="6" t="str">
        <x:v>R0047</x:v>
      </x:c>
      <x:c r="B52" s="6" t="str">
        <x:v>字段</x:v>
      </x:c>
      <x:c r="C52" s="17" t="n">
        <x:v>1</x:v>
      </x:c>
      <x:c r="D52" s="6" t="str">
        <x:v>海能未来技术集团股份有限公司</x:v>
      </x:c>
      <x:c r="E52" s="6" t="str">
        <x:v>固定资产</x:v>
      </x:c>
      <x:c r="F52" s="6" t="str">
        <x:v>113812061.16</x:v>
      </x:c>
      <x:c r="G52" s="6" t="str">
        <x:v>人民币元</x:v>
      </x:c>
      <x:c r="H52" s="20" t="d">
        <x:v>2026-08-17T00:00:00.000Z</x:v>
      </x:c>
      <x:c r="I52" s="6" t="str">
        <x:v>PDF物理第14页：单位：元
固定资产 113,812,061.16 19.57% 119,743,647.91 20.74% -4.95%</x:v>
      </x:c>
      <x:c r="J52" s="6" t="str">
        <x:v>F001</x:v>
      </x:c>
      <x:c r="K52" s="6" t="str">
        <x:v>纳入字段</x:v>
      </x:c>
      <x:c r="L52" s="6" t="str">
        <x:v>已核实原值</x:v>
      </x:c>
    </x:row>
    <x:row r="53" ht="34" customHeight="1">
      <x:c r="A53" s="6" t="str">
        <x:v>R0048</x:v>
      </x:c>
      <x:c r="B53" s="6" t="str">
        <x:v>字段</x:v>
      </x:c>
      <x:c r="C53" s="17" t="n">
        <x:v>1</x:v>
      </x:c>
      <x:c r="D53" s="6" t="str">
        <x:v>海能未来技术集团股份有限公司</x:v>
      </x:c>
      <x:c r="E53" s="6" t="str">
        <x:v>在建工程</x:v>
      </x:c>
      <x:c r="F53" s="6" t="str">
        <x:v>14285237.74</x:v>
      </x:c>
      <x:c r="G53" s="6" t="str">
        <x:v>人民币元</x:v>
      </x:c>
      <x:c r="H53" s="20" t="d">
        <x:v>2026-08-17T00:00:00.000Z</x:v>
      </x:c>
      <x:c r="I53" s="6" t="str">
        <x:v>PDF物理第14页：单位：元
在建工程 14,285,237.74 2.46% - 0.00% -</x:v>
      </x:c>
      <x:c r="J53" s="6" t="str">
        <x:v>F001</x:v>
      </x:c>
      <x:c r="K53" s="6" t="str">
        <x:v>纳入字段</x:v>
      </x:c>
      <x:c r="L53" s="6" t="str">
        <x:v>已核实原值</x:v>
      </x:c>
    </x:row>
    <x:row r="54" ht="40" customHeight="1">
      <x:c r="A54" s="6" t="str">
        <x:v>R0049</x:v>
      </x:c>
      <x:c r="B54" s="6" t="str">
        <x:v>字段</x:v>
      </x:c>
      <x:c r="C54" s="17" t="n">
        <x:v>1</x:v>
      </x:c>
      <x:c r="D54" s="6" t="str">
        <x:v>海能未来技术集团股份有限公司</x:v>
      </x:c>
      <x:c r="E54" s="6" t="str">
        <x:v>无形资产</x:v>
      </x:c>
      <x:c r="F54" s="6" t="str">
        <x:v>56604682.92</x:v>
      </x:c>
      <x:c r="G54" s="6" t="str">
        <x:v>人民币元</x:v>
      </x:c>
      <x:c r="H54" s="20" t="d">
        <x:v>2026-08-17T00:00:00.000Z</x:v>
      </x:c>
      <x:c r="I54" s="6" t="str">
        <x:v>PDF物理第14页：单位：元
无形资产 56,604,682.92 9.73% 60,481,678.58 10.47% -6.41%</x:v>
      </x:c>
      <x:c r="J54" s="6" t="str">
        <x:v>F001</x:v>
      </x:c>
      <x:c r="K54" s="6" t="str">
        <x:v>纳入字段</x:v>
      </x:c>
      <x:c r="L54" s="6" t="str">
        <x:v>已核实原值</x:v>
      </x:c>
    </x:row>
    <x:row r="55" ht="40" customHeight="1">
      <x:c r="A55" s="6" t="str">
        <x:v>R0050</x:v>
      </x:c>
      <x:c r="B55" s="6" t="str">
        <x:v>字段</x:v>
      </x:c>
      <x:c r="C55" s="17" t="n">
        <x:v>1</x:v>
      </x:c>
      <x:c r="D55" s="6" t="str">
        <x:v>海能未来技术集团股份有限公司</x:v>
      </x:c>
      <x:c r="E55" s="6" t="str">
        <x:v>商誉</x:v>
      </x:c>
      <x:c r="F55" s="6" t="str">
        <x:v>80409708.03</x:v>
      </x:c>
      <x:c r="G55" s="6" t="str">
        <x:v>人民币元</x:v>
      </x:c>
      <x:c r="H55" s="20" t="d">
        <x:v>2026-08-17T00:00:00.000Z</x:v>
      </x:c>
      <x:c r="I55" s="6" t="str">
        <x:v>PDF物理第14页：单位：元
商誉 80,409,708.03 13.82% 80,409,708.03 13.93% 0.00%</x:v>
      </x:c>
      <x:c r="J55" s="6" t="str">
        <x:v>F001</x:v>
      </x:c>
      <x:c r="K55" s="6" t="str">
        <x:v>纳入字段</x:v>
      </x:c>
      <x:c r="L55" s="6" t="str">
        <x:v>已核实原值</x:v>
      </x:c>
    </x:row>
    <x:row r="56" ht="40" customHeight="1">
      <x:c r="A56" s="6" t="str">
        <x:v>R0051</x:v>
      </x:c>
      <x:c r="B56" s="6" t="str">
        <x:v>字段</x:v>
      </x:c>
      <x:c r="C56" s="17" t="n">
        <x:v>1</x:v>
      </x:c>
      <x:c r="D56" s="6" t="str">
        <x:v>海能未来技术集团股份有限公司</x:v>
      </x:c>
      <x:c r="E56" s="6" t="str">
        <x:v>长期借款</x:v>
      </x:c>
      <x:c r="F56" s="15" t="str">
        <x:v>49800000</x:v>
      </x:c>
      <x:c r="G56" s="6" t="str">
        <x:v>人民币元</x:v>
      </x:c>
      <x:c r="H56" s="20" t="d">
        <x:v>2026-08-17T00:00:00.000Z</x:v>
      </x:c>
      <x:c r="I56" s="6" t="str">
        <x:v>PDF物理第14页：单位：元
长期借款 49,800,000.00 8.56% 49,900,000.00 8.64% -0.20%</x:v>
      </x:c>
      <x:c r="J56" s="6" t="str">
        <x:v>F001</x:v>
      </x:c>
      <x:c r="K56" s="6" t="str">
        <x:v>纳入字段</x:v>
      </x:c>
      <x:c r="L56" s="6" t="str">
        <x:v>已核实原值</x:v>
      </x:c>
    </x:row>
    <x:row r="57" ht="40" customHeight="1">
      <x:c r="A57" s="6" t="str">
        <x:v>R0052</x:v>
      </x:c>
      <x:c r="B57" s="6" t="str">
        <x:v>字段</x:v>
      </x:c>
      <x:c r="C57" s="17" t="n">
        <x:v>1</x:v>
      </x:c>
      <x:c r="D57" s="6" t="str">
        <x:v>海能未来技术集团股份有限公司</x:v>
      </x:c>
      <x:c r="E57" s="6" t="str">
        <x:v>应付账款</x:v>
      </x:c>
      <x:c r="F57" s="6" t="str">
        <x:v>21684549.5</x:v>
      </x:c>
      <x:c r="G57" s="6" t="str">
        <x:v>人民币元</x:v>
      </x:c>
      <x:c r="H57" s="20" t="d">
        <x:v>2026-08-17T00:00:00.000Z</x:v>
      </x:c>
      <x:c r="I57" s="6" t="str">
        <x:v>PDF物理第14页：单位：元
应付账款  21,684,549.50 3.73% 12,999,967.49 2.25% 66.80%</x:v>
      </x:c>
      <x:c r="J57" s="6" t="str">
        <x:v>F001</x:v>
      </x:c>
      <x:c r="K57" s="6" t="str">
        <x:v>纳入字段</x:v>
      </x:c>
      <x:c r="L57" s="6" t="str">
        <x:v>已核实原值</x:v>
      </x:c>
    </x:row>
    <x:row r="58" ht="40" customHeight="1">
      <x:c r="A58" s="6" t="str">
        <x:v>R0053</x:v>
      </x:c>
      <x:c r="B58" s="6" t="str">
        <x:v>字段</x:v>
      </x:c>
      <x:c r="C58" s="17" t="n">
        <x:v>1</x:v>
      </x:c>
      <x:c r="D58" s="6" t="str">
        <x:v>海能未来技术集团股份有限公司</x:v>
      </x:c>
      <x:c r="E58" s="6" t="str">
        <x:v>合同负债</x:v>
      </x:c>
      <x:c r="F58" s="6" t="str">
        <x:v>18626258.56</x:v>
      </x:c>
      <x:c r="G58" s="6" t="str">
        <x:v>人民币元</x:v>
      </x:c>
      <x:c r="H58" s="20" t="d">
        <x:v>2026-08-17T00:00:00.000Z</x:v>
      </x:c>
      <x:c r="I58" s="6" t="str">
        <x:v>PDF物理第14页：单位：元
合同负债  18,626,258.56 3.20% 11,289,444.16 1.96% 64.99%</x:v>
      </x:c>
      <x:c r="J58" s="6" t="str">
        <x:v>F001</x:v>
      </x:c>
      <x:c r="K58" s="6" t="str">
        <x:v>纳入字段</x:v>
      </x:c>
      <x:c r="L58" s="6" t="str">
        <x:v>已核实原值</x:v>
      </x:c>
    </x:row>
    <x:row r="59" ht="40" customHeight="1">
      <x:c r="A59" s="6" t="str">
        <x:v>R0054</x:v>
      </x:c>
      <x:c r="B59" s="6" t="str">
        <x:v>字段</x:v>
      </x:c>
      <x:c r="C59" s="17" t="n">
        <x:v>1</x:v>
      </x:c>
      <x:c r="D59" s="6" t="str">
        <x:v>海能未来技术集团股份有限公司</x:v>
      </x:c>
      <x:c r="E59" s="6" t="str">
        <x:v>应付职工薪酬</x:v>
      </x:c>
      <x:c r="F59" s="6" t="str">
        <x:v>11195443.3</x:v>
      </x:c>
      <x:c r="G59" s="6" t="str">
        <x:v>人民币元</x:v>
      </x:c>
      <x:c r="H59" s="20" t="d">
        <x:v>2026-08-17T00:00:00.000Z</x:v>
      </x:c>
      <x:c r="I59" s="6" t="str">
        <x:v>PDF物理第14页：单位：元
应付职工薪酬  11,195,443.30 1.92% 28,773,487.72 4.98% -61.09%</x:v>
      </x:c>
      <x:c r="J59" s="6" t="str">
        <x:v>F001</x:v>
      </x:c>
      <x:c r="K59" s="6" t="str">
        <x:v>纳入字段</x:v>
      </x:c>
      <x:c r="L59" s="6" t="str">
        <x:v>已核实原值</x:v>
      </x:c>
    </x:row>
    <x:row r="60" ht="40" customHeight="1">
      <x:c r="A60" s="6" t="str">
        <x:v>R0055</x:v>
      </x:c>
      <x:c r="B60" s="6" t="str">
        <x:v>字段</x:v>
      </x:c>
      <x:c r="C60" s="17" t="n">
        <x:v>1</x:v>
      </x:c>
      <x:c r="D60" s="6" t="str">
        <x:v>海能未来技术集团股份有限公司</x:v>
      </x:c>
      <x:c r="E60" s="6" t="str">
        <x:v>营业成本</x:v>
      </x:c>
      <x:c r="F60" s="6" t="str">
        <x:v>58722150.96</x:v>
      </x:c>
      <x:c r="G60" s="6" t="str">
        <x:v>人民币元</x:v>
      </x:c>
      <x:c r="H60" s="20" t="d">
        <x:v>2026-08-17T00:00:00.000Z</x:v>
      </x:c>
      <x:c r="I60" s="6" t="str">
        <x:v>PDF物理第15页：单位：元
营业成本 58,722,150.96 37.04% 49,534,062.99 36.40% 18.55%</x:v>
      </x:c>
      <x:c r="J60" s="6" t="str">
        <x:v>F001</x:v>
      </x:c>
      <x:c r="K60" s="6" t="str">
        <x:v>纳入字段</x:v>
      </x:c>
      <x:c r="L60" s="6" t="str">
        <x:v>已核实原值</x:v>
      </x:c>
    </x:row>
    <x:row r="61" ht="40" customHeight="1">
      <x:c r="A61" s="6" t="str">
        <x:v>R0056</x:v>
      </x:c>
      <x:c r="B61" s="6" t="str">
        <x:v>字段</x:v>
      </x:c>
      <x:c r="C61" s="17" t="n">
        <x:v>1</x:v>
      </x:c>
      <x:c r="D61" s="6" t="str">
        <x:v>海能未来技术集团股份有限公司</x:v>
      </x:c>
      <x:c r="E61" s="6" t="str">
        <x:v>销售费用</x:v>
      </x:c>
      <x:c r="F61" s="6" t="str">
        <x:v>36454441.76</x:v>
      </x:c>
      <x:c r="G61" s="6" t="str">
        <x:v>人民币元</x:v>
      </x:c>
      <x:c r="H61" s="20" t="d">
        <x:v>2026-08-17T00:00:00.000Z</x:v>
      </x:c>
      <x:c r="I61" s="6" t="str">
        <x:v>PDF物理第15页：单位：元
销售费用 36,454,441.76 22.99% 34,199,447.12 25.13% 6.59%</x:v>
      </x:c>
      <x:c r="J61" s="6" t="str">
        <x:v>F001</x:v>
      </x:c>
      <x:c r="K61" s="6" t="str">
        <x:v>纳入字段</x:v>
      </x:c>
      <x:c r="L61" s="6" t="str">
        <x:v>已核实原值</x:v>
      </x:c>
    </x:row>
    <x:row r="62" ht="40" customHeight="1">
      <x:c r="A62" s="6" t="str">
        <x:v>R0057</x:v>
      </x:c>
      <x:c r="B62" s="6" t="str">
        <x:v>字段</x:v>
      </x:c>
      <x:c r="C62" s="17" t="n">
        <x:v>1</x:v>
      </x:c>
      <x:c r="D62" s="6" t="str">
        <x:v>海能未来技术集团股份有限公司</x:v>
      </x:c>
      <x:c r="E62" s="6" t="str">
        <x:v>管理费用</x:v>
      </x:c>
      <x:c r="F62" s="6" t="str">
        <x:v>27942504.26</x:v>
      </x:c>
      <x:c r="G62" s="6" t="str">
        <x:v>人民币元</x:v>
      </x:c>
      <x:c r="H62" s="20" t="d">
        <x:v>2026-08-17T00:00:00.000Z</x:v>
      </x:c>
      <x:c r="I62" s="6" t="str">
        <x:v>PDF物理第15页：单位：元
管理费用 27,942,504.26 17.62% 27,131,905.15 19.94% 2.99%</x:v>
      </x:c>
      <x:c r="J62" s="6" t="str">
        <x:v>F001</x:v>
      </x:c>
      <x:c r="K62" s="6" t="str">
        <x:v>纳入字段</x:v>
      </x:c>
      <x:c r="L62" s="6" t="str">
        <x:v>已核实原值</x:v>
      </x:c>
    </x:row>
    <x:row r="63" ht="40" customHeight="1">
      <x:c r="A63" s="6" t="str">
        <x:v>R0058</x:v>
      </x:c>
      <x:c r="B63" s="6" t="str">
        <x:v>字段</x:v>
      </x:c>
      <x:c r="C63" s="17" t="n">
        <x:v>1</x:v>
      </x:c>
      <x:c r="D63" s="6" t="str">
        <x:v>海能未来技术集团股份有限公司</x:v>
      </x:c>
      <x:c r="E63" s="6" t="str">
        <x:v>研发费用</x:v>
      </x:c>
      <x:c r="F63" s="6" t="str">
        <x:v>23859765.74</x:v>
      </x:c>
      <x:c r="G63" s="6" t="str">
        <x:v>人民币元</x:v>
      </x:c>
      <x:c r="H63" s="20" t="d">
        <x:v>2026-08-17T00:00:00.000Z</x:v>
      </x:c>
      <x:c r="I63" s="6" t="str">
        <x:v>PDF物理第15页：单位：元
研发费用 23,859,765.74 15.05% 27,468,556.34 20.19% -13.14%</x:v>
      </x:c>
      <x:c r="J63" s="6" t="str">
        <x:v>F001</x:v>
      </x:c>
      <x:c r="K63" s="6" t="str">
        <x:v>纳入字段</x:v>
      </x:c>
      <x:c r="L63" s="6" t="str">
        <x:v>已核实原值</x:v>
      </x:c>
    </x:row>
    <x:row r="64" ht="40" customHeight="1">
      <x:c r="A64" s="6" t="str">
        <x:v>R0059</x:v>
      </x:c>
      <x:c r="B64" s="6" t="str">
        <x:v>字段</x:v>
      </x:c>
      <x:c r="C64" s="17" t="n">
        <x:v>1</x:v>
      </x:c>
      <x:c r="D64" s="6" t="str">
        <x:v>海能未来技术集团股份有限公司</x:v>
      </x:c>
      <x:c r="E64" s="6" t="str">
        <x:v>财务费用</x:v>
      </x:c>
      <x:c r="F64" s="6" t="str">
        <x:v>949809.1</x:v>
      </x:c>
      <x:c r="G64" s="6" t="str">
        <x:v>人民币元</x:v>
      </x:c>
      <x:c r="H64" s="20" t="d">
        <x:v>2026-08-17T00:00:00.000Z</x:v>
      </x:c>
      <x:c r="I64" s="6" t="str">
        <x:v>PDF物理第15页：单位：元
财务费用 949,809.10 0.60% 106,682.71 0.08% 790.31%</x:v>
      </x:c>
      <x:c r="J64" s="6" t="str">
        <x:v>F001</x:v>
      </x:c>
      <x:c r="K64" s="6" t="str">
        <x:v>纳入字段</x:v>
      </x:c>
      <x:c r="L64" s="6" t="str">
        <x:v>已核实原值</x:v>
      </x:c>
    </x:row>
    <x:row r="65" ht="40" customHeight="1">
      <x:c r="A65" s="6" t="str">
        <x:v>R0060</x:v>
      </x:c>
      <x:c r="B65" s="6" t="str">
        <x:v>字段</x:v>
      </x:c>
      <x:c r="C65" s="17" t="n">
        <x:v>1</x:v>
      </x:c>
      <x:c r="D65" s="6" t="str">
        <x:v>海能未来技术集团股份有限公司</x:v>
      </x:c>
      <x:c r="E65" s="6" t="str">
        <x:v>营业利润</x:v>
      </x:c>
      <x:c r="F65" s="6" t="str">
        <x:v>11714447.11</x:v>
      </x:c>
      <x:c r="G65" s="6" t="str">
        <x:v>人民币元</x:v>
      </x:c>
      <x:c r="H65" s="20" t="d">
        <x:v>2026-08-17T00:00:00.000Z</x:v>
      </x:c>
      <x:c r="I65" s="6" t="str">
        <x:v>PDF物理第15页：单位：元
营业利润 11,714,447.11 7.39% 1,582,481.25 1.16% 640.26%</x:v>
      </x:c>
      <x:c r="J65" s="6" t="str">
        <x:v>F001</x:v>
      </x:c>
      <x:c r="K65" s="6" t="str">
        <x:v>纳入字段</x:v>
      </x:c>
      <x:c r="L65" s="6" t="str">
        <x:v>已核实原值</x:v>
      </x:c>
    </x:row>
    <x:row r="66" ht="34" customHeight="1">
      <x:c r="A66" s="6" t="str">
        <x:v>R0061</x:v>
      </x:c>
      <x:c r="B66" s="6" t="str">
        <x:v>字段</x:v>
      </x:c>
      <x:c r="C66" s="17" t="n">
        <x:v>1</x:v>
      </x:c>
      <x:c r="D66" s="6" t="str">
        <x:v>海能未来技术集团股份有限公司</x:v>
      </x:c>
      <x:c r="E66" s="6" t="str">
        <x:v>净利润</x:v>
      </x:c>
      <x:c r="F66" s="6" t="str">
        <x:v>9378155.88</x:v>
      </x:c>
      <x:c r="G66" s="6" t="str">
        <x:v>人民币元</x:v>
      </x:c>
      <x:c r="H66" s="20" t="d">
        <x:v>2026-08-17T00:00:00.000Z</x:v>
      </x:c>
      <x:c r="I66" s="6" t="str">
        <x:v>PDF物理第16页：单位：元
净利润 9,378,155.88 - 1,903,653.10 - 392.64%</x:v>
      </x:c>
      <x:c r="J66" s="6" t="str">
        <x:v>F001</x:v>
      </x:c>
      <x:c r="K66" s="6" t="str">
        <x:v>纳入字段</x:v>
      </x:c>
      <x:c r="L66" s="6" t="str">
        <x:v>已核实原值</x:v>
      </x:c>
    </x:row>
    <x:row r="67" ht="40" customHeight="1">
      <x:c r="A67" s="6" t="str">
        <x:v>R0062</x:v>
      </x:c>
      <x:c r="B67" s="6" t="str">
        <x:v>字段</x:v>
      </x:c>
      <x:c r="C67" s="17" t="n">
        <x:v>1</x:v>
      </x:c>
      <x:c r="D67" s="6" t="str">
        <x:v>海能未来技术集团股份有限公司</x:v>
      </x:c>
      <x:c r="E67" s="6" t="str">
        <x:v>所得税费用</x:v>
      </x:c>
      <x:c r="F67" s="6" t="str">
        <x:v>1359918.02</x:v>
      </x:c>
      <x:c r="G67" s="6" t="str">
        <x:v>人民币元</x:v>
      </x:c>
      <x:c r="H67" s="20" t="d">
        <x:v>2026-08-17T00:00:00.000Z</x:v>
      </x:c>
      <x:c r="I67" s="6" t="str">
        <x:v>PDF物理第16页：单位：元
所得税费用 1,359,918.02 0.86% -314,132.05 -0.23% 532.91%</x:v>
      </x:c>
      <x:c r="J67" s="6" t="str">
        <x:v>F001</x:v>
      </x:c>
      <x:c r="K67" s="6" t="str">
        <x:v>纳入字段</x:v>
      </x:c>
      <x:c r="L67" s="6" t="str">
        <x:v>已核实原值</x:v>
      </x:c>
    </x:row>
    <x:row r="68" ht="34" customHeight="1">
      <x:c r="A68" s="6" t="str">
        <x:v>R0063</x:v>
      </x:c>
      <x:c r="B68" s="6" t="str">
        <x:v>字段</x:v>
      </x:c>
      <x:c r="C68" s="17" t="n">
        <x:v>1</x:v>
      </x:c>
      <x:c r="D68" s="6" t="str">
        <x:v>海能未来技术集团股份有限公司</x:v>
      </x:c>
      <x:c r="E68" s="6" t="str">
        <x:v>主营业务收入</x:v>
      </x:c>
      <x:c r="F68" s="6" t="str">
        <x:v>158092601.31</x:v>
      </x:c>
      <x:c r="G68" s="6" t="str">
        <x:v>人民币元</x:v>
      </x:c>
      <x:c r="H68" s="20" t="d">
        <x:v>2026-08-17T00:00:00.000Z</x:v>
      </x:c>
      <x:c r="I68" s="6" t="str">
        <x:v>PDF物理第16页：单位：元
主营业务收入 158,092,601.31 135,092,505.77 17.03%</x:v>
      </x:c>
      <x:c r="J68" s="6" t="str">
        <x:v>F001</x:v>
      </x:c>
      <x:c r="K68" s="6" t="str">
        <x:v>纳入字段</x:v>
      </x:c>
      <x:c r="L68" s="6" t="str">
        <x:v>已核实原值</x:v>
      </x:c>
    </x:row>
    <x:row r="69" ht="34" customHeight="1">
      <x:c r="A69" s="6" t="str">
        <x:v>R0064</x:v>
      </x:c>
      <x:c r="B69" s="6" t="str">
        <x:v>字段</x:v>
      </x:c>
      <x:c r="C69" s="17" t="n">
        <x:v>1</x:v>
      </x:c>
      <x:c r="D69" s="6" t="str">
        <x:v>海能未来技术集团股份有限公司</x:v>
      </x:c>
      <x:c r="E69" s="6" t="str">
        <x:v>其他业务收入</x:v>
      </x:c>
      <x:c r="F69" s="6" t="str">
        <x:v>465010.03</x:v>
      </x:c>
      <x:c r="G69" s="6" t="str">
        <x:v>人民币元</x:v>
      </x:c>
      <x:c r="H69" s="20" t="d">
        <x:v>2026-08-17T00:00:00.000Z</x:v>
      </x:c>
      <x:c r="I69" s="6" t="str">
        <x:v>PDF物理第16页：单位：元
其他业务收入 465,010.03 975,505.96 -52.33%</x:v>
      </x:c>
      <x:c r="J69" s="6" t="str">
        <x:v>F001</x:v>
      </x:c>
      <x:c r="K69" s="6" t="str">
        <x:v>纳入字段</x:v>
      </x:c>
      <x:c r="L69" s="6" t="str">
        <x:v>已核实原值</x:v>
      </x:c>
    </x:row>
    <x:row r="70" ht="40" customHeight="1">
      <x:c r="A70" s="6" t="str">
        <x:v>R0065</x:v>
      </x:c>
      <x:c r="B70" s="6" t="str">
        <x:v>字段</x:v>
      </x:c>
      <x:c r="C70" s="17" t="n">
        <x:v>1</x:v>
      </x:c>
      <x:c r="D70" s="6" t="str">
        <x:v>海能未来技术集团股份有限公司</x:v>
      </x:c>
      <x:c r="E70" s="6" t="str">
        <x:v>投资活动产生的现金流量净额</x:v>
      </x:c>
      <x:c r="F70" s="6" t="str">
        <x:v>-34698018.04</x:v>
      </x:c>
      <x:c r="G70" s="6" t="str">
        <x:v>人民币元</x:v>
      </x:c>
      <x:c r="H70" s="20" t="d">
        <x:v>2026-08-17T00:00:00.000Z</x:v>
      </x:c>
      <x:c r="I70" s="6" t="str">
        <x:v>PDF物理第17页：单位：元
投资活动产生的现金流量净额 -34,698,018.04 -18,493,799.73 -87.62%</x:v>
      </x:c>
      <x:c r="J70" s="6" t="str">
        <x:v>F001</x:v>
      </x:c>
      <x:c r="K70" s="6" t="str">
        <x:v>纳入字段</x:v>
      </x:c>
      <x:c r="L70" s="6" t="str">
        <x:v>已核实原值</x:v>
      </x:c>
    </x:row>
    <x:row r="71" ht="40" customHeight="1">
      <x:c r="A71" s="6" t="str">
        <x:v>R0066</x:v>
      </x:c>
      <x:c r="B71" s="6" t="str">
        <x:v>字段</x:v>
      </x:c>
      <x:c r="C71" s="17" t="n">
        <x:v>1</x:v>
      </x:c>
      <x:c r="D71" s="6" t="str">
        <x:v>海能未来技术集团股份有限公司</x:v>
      </x:c>
      <x:c r="E71" s="6" t="str">
        <x:v>筹资活动产生的现金流量净额</x:v>
      </x:c>
      <x:c r="F71" s="6" t="str">
        <x:v>-11780891.62</x:v>
      </x:c>
      <x:c r="G71" s="6" t="str">
        <x:v>人民币元</x:v>
      </x:c>
      <x:c r="H71" s="20" t="d">
        <x:v>2026-08-17T00:00:00.000Z</x:v>
      </x:c>
      <x:c r="I71" s="6" t="str">
        <x:v>PDF物理第17页：单位：元
筹资活动产生的现金流量净额 -11,780,891.62 7,944,031.34 -248.30%</x:v>
      </x:c>
      <x:c r="J71" s="6" t="str">
        <x:v>F001</x:v>
      </x:c>
      <x:c r="K71" s="6" t="str">
        <x:v>纳入字段</x:v>
      </x:c>
      <x:c r="L71" s="6" t="str">
        <x:v>已核实原值</x:v>
      </x:c>
    </x:row>
    <x:row r="72" ht="40" customHeight="1">
      <x:c r="A72" s="6" t="str">
        <x:v>R0067</x:v>
      </x:c>
      <x:c r="B72" s="6" t="str">
        <x:v>字段</x:v>
      </x:c>
      <x:c r="C72" s="17" t="n">
        <x:v>1</x:v>
      </x:c>
      <x:c r="D72" s="6" t="str">
        <x:v>海能未来技术集团股份有限公司</x:v>
      </x:c>
      <x:c r="E72" s="6" t="str">
        <x:v>营业收入</x:v>
      </x:c>
      <x:c r="F72" s="6" t="str">
        <x:v>361850165.54</x:v>
      </x:c>
      <x:c r="G72" s="6" t="str">
        <x:v>人民币元</x:v>
      </x:c>
      <x:c r="H72" s="20" t="d">
        <x:v>2026-03-16T00:00:00.000Z</x:v>
      </x:c>
      <x:c r="I72" s="6" t="str">
        <x:v>PDF物理第8页：单位：元
营业收入 361,850,165.54 310,263,446.74 16.63% 341,158,171.68</x:v>
      </x:c>
      <x:c r="J72" s="6" t="str">
        <x:v>F002</x:v>
      </x:c>
      <x:c r="K72" s="6" t="str">
        <x:v>纳入字段</x:v>
      </x:c>
      <x:c r="L72" s="6" t="str">
        <x:v>已核实原值</x:v>
      </x:c>
    </x:row>
    <x:row r="73" ht="34" customHeight="1">
      <x:c r="A73" s="6" t="str">
        <x:v>R0068</x:v>
      </x:c>
      <x:c r="B73" s="6" t="str">
        <x:v>字段</x:v>
      </x:c>
      <x:c r="C73" s="17" t="n">
        <x:v>1</x:v>
      </x:c>
      <x:c r="D73" s="6" t="str">
        <x:v>海能未来技术集团股份有限公司</x:v>
      </x:c>
      <x:c r="E73" s="6" t="str">
        <x:v>毛利率%</x:v>
      </x:c>
      <x:c r="F73" s="6" t="str">
        <x:v>65.04</x:v>
      </x:c>
      <x:c r="G73" s="6" t="str">
        <x:v>%</x:v>
      </x:c>
      <x:c r="H73" s="20" t="d">
        <x:v>2026-03-16T00:00:00.000Z</x:v>
      </x:c>
      <x:c r="I73" s="6" t="str">
        <x:v>PDF物理第8页：单位：元
毛利率% 65.04% 64.59% - 67.00%</x:v>
      </x:c>
      <x:c r="J73" s="6" t="str">
        <x:v>F002</x:v>
      </x:c>
      <x:c r="K73" s="6" t="str">
        <x:v>纳入字段</x:v>
      </x:c>
      <x:c r="L73" s="6" t="str">
        <x:v>已核实原值</x:v>
      </x:c>
    </x:row>
    <x:row r="74" ht="40" customHeight="1">
      <x:c r="A74" s="6" t="str">
        <x:v>R0069</x:v>
      </x:c>
      <x:c r="B74" s="6" t="str">
        <x:v>字段</x:v>
      </x:c>
      <x:c r="C74" s="17" t="n">
        <x:v>1</x:v>
      </x:c>
      <x:c r="D74" s="6" t="str">
        <x:v>海能未来技术集团股份有限公司</x:v>
      </x:c>
      <x:c r="E74" s="6" t="str">
        <x:v>归属于上市公司股东的净利润</x:v>
      </x:c>
      <x:c r="F74" s="6" t="str">
        <x:v>42129735.84</x:v>
      </x:c>
      <x:c r="G74" s="6" t="str">
        <x:v>人民币元</x:v>
      </x:c>
      <x:c r="H74" s="20" t="d">
        <x:v>2026-03-16T00:00:00.000Z</x:v>
      </x:c>
      <x:c r="I74" s="6" t="str">
        <x:v>PDF物理第8页：单位：元
归属于上市公司股东的净利润 42,129,735.84 13,071,710.45 222.30% 45,063,445.88</x:v>
      </x:c>
      <x:c r="J74" s="6" t="str">
        <x:v>F002</x:v>
      </x:c>
      <x:c r="K74" s="6" t="str">
        <x:v>纳入字段</x:v>
      </x:c>
      <x:c r="L74" s="6" t="str">
        <x:v>已核实原值</x:v>
      </x:c>
    </x:row>
    <x:row r="75" ht="40" customHeight="1">
      <x:c r="A75" s="6" t="str">
        <x:v>R0070</x:v>
      </x:c>
      <x:c r="B75" s="6" t="str">
        <x:v>字段</x:v>
      </x:c>
      <x:c r="C75" s="17" t="n">
        <x:v>1</x:v>
      </x:c>
      <x:c r="D75" s="6" t="str">
        <x:v>海能未来技术集团股份有限公司</x:v>
      </x:c>
      <x:c r="E75" s="6" t="str">
        <x:v>资产总计</x:v>
      </x:c>
      <x:c r="F75" s="6" t="str">
        <x:v>577396084.86</x:v>
      </x:c>
      <x:c r="G75" s="6" t="str">
        <x:v>人民币元</x:v>
      </x:c>
      <x:c r="H75" s="20" t="d">
        <x:v>2026-03-16T00:00:00.000Z</x:v>
      </x:c>
      <x:c r="I75" s="6" t="str">
        <x:v>PDF物理第8页：单位：元
资产总计 577,396,084.86 560,179,218.83 3.07% 612,746,043.99</x:v>
      </x:c>
      <x:c r="J75" s="6" t="str">
        <x:v>F002</x:v>
      </x:c>
      <x:c r="K75" s="6" t="str">
        <x:v>纳入字段</x:v>
      </x:c>
      <x:c r="L75" s="6" t="str">
        <x:v>已核实原值</x:v>
      </x:c>
    </x:row>
    <x:row r="76" ht="40" customHeight="1">
      <x:c r="A76" s="6" t="str">
        <x:v>R0071</x:v>
      </x:c>
      <x:c r="B76" s="6" t="str">
        <x:v>字段</x:v>
      </x:c>
      <x:c r="C76" s="17" t="n">
        <x:v>1</x:v>
      </x:c>
      <x:c r="D76" s="6" t="str">
        <x:v>海能未来技术集团股份有限公司</x:v>
      </x:c>
      <x:c r="E76" s="6" t="str">
        <x:v>负债总计</x:v>
      </x:c>
      <x:c r="F76" s="6" t="str">
        <x:v>132220447.86</x:v>
      </x:c>
      <x:c r="G76" s="6" t="str">
        <x:v>人民币元</x:v>
      </x:c>
      <x:c r="H76" s="20" t="d">
        <x:v>2026-03-16T00:00:00.000Z</x:v>
      </x:c>
      <x:c r="I76" s="6" t="str">
        <x:v>PDF物理第8页：单位：元
负债总计 132,220,447.86 88,676,169.98 49.10% 105,913,049.37</x:v>
      </x:c>
      <x:c r="J76" s="6" t="str">
        <x:v>F002</x:v>
      </x:c>
      <x:c r="K76" s="6" t="str">
        <x:v>纳入字段</x:v>
      </x:c>
      <x:c r="L76" s="6" t="str">
        <x:v>已核实原值</x:v>
      </x:c>
    </x:row>
    <x:row r="77" ht="40" customHeight="1">
      <x:c r="A77" s="6" t="str">
        <x:v>R0072</x:v>
      </x:c>
      <x:c r="B77" s="6" t="str">
        <x:v>字段</x:v>
      </x:c>
      <x:c r="C77" s="17" t="n">
        <x:v>1</x:v>
      </x:c>
      <x:c r="D77" s="6" t="str">
        <x:v>海能未来技术集团股份有限公司</x:v>
      </x:c>
      <x:c r="E77" s="6" t="str">
        <x:v>归属于上市公司股东的净资产</x:v>
      </x:c>
      <x:c r="F77" s="6" t="str">
        <x:v>449041889.6</x:v>
      </x:c>
      <x:c r="G77" s="6" t="str">
        <x:v>人民币元</x:v>
      </x:c>
      <x:c r="H77" s="20" t="d">
        <x:v>2026-03-16T00:00:00.000Z</x:v>
      </x:c>
      <x:c r="I77" s="6" t="str">
        <x:v>PDF物理第8页：单位：元
归属于上市公司股东的净资产 449,041,889.60 471,783,732.87 -4.82% 502,038,567.75</x:v>
      </x:c>
      <x:c r="J77" s="6" t="str">
        <x:v>F002</x:v>
      </x:c>
      <x:c r="K77" s="6" t="str">
        <x:v>纳入字段</x:v>
      </x:c>
      <x:c r="L77" s="6" t="str">
        <x:v>已核实原值</x:v>
      </x:c>
    </x:row>
    <x:row r="78" ht="34" customHeight="1">
      <x:c r="A78" s="6" t="str">
        <x:v>R0073</x:v>
      </x:c>
      <x:c r="B78" s="6" t="str">
        <x:v>字段</x:v>
      </x:c>
      <x:c r="C78" s="17" t="n">
        <x:v>1</x:v>
      </x:c>
      <x:c r="D78" s="6" t="str">
        <x:v>海能未来技术集团股份有限公司</x:v>
      </x:c>
      <x:c r="E78" s="6" t="str">
        <x:v>资产负债率%（母公司）</x:v>
      </x:c>
      <x:c r="F78" s="6" t="str">
        <x:v>11.38</x:v>
      </x:c>
      <x:c r="G78" s="6" t="str">
        <x:v>%</x:v>
      </x:c>
      <x:c r="H78" s="20" t="d">
        <x:v>2026-03-16T00:00:00.000Z</x:v>
      </x:c>
      <x:c r="I78" s="6" t="str">
        <x:v>PDF物理第8页：单位：元
资产负债率%（母公司） 11.38% 3.63% - 3.37%</x:v>
      </x:c>
      <x:c r="J78" s="6" t="str">
        <x:v>F002</x:v>
      </x:c>
      <x:c r="K78" s="6" t="str">
        <x:v>纳入字段</x:v>
      </x:c>
      <x:c r="L78" s="6" t="str">
        <x:v>已核实原值</x:v>
      </x:c>
    </x:row>
    <x:row r="79" ht="34" customHeight="1">
      <x:c r="A79" s="6" t="str">
        <x:v>R0074</x:v>
      </x:c>
      <x:c r="B79" s="6" t="str">
        <x:v>字段</x:v>
      </x:c>
      <x:c r="C79" s="17" t="n">
        <x:v>1</x:v>
      </x:c>
      <x:c r="D79" s="6" t="str">
        <x:v>海能未来技术集团股份有限公司</x:v>
      </x:c>
      <x:c r="E79" s="6" t="str">
        <x:v>资产负债率%（合并）</x:v>
      </x:c>
      <x:c r="F79" s="6" t="str">
        <x:v>22.9</x:v>
      </x:c>
      <x:c r="G79" s="6" t="str">
        <x:v>%</x:v>
      </x:c>
      <x:c r="H79" s="20" t="d">
        <x:v>2026-03-16T00:00:00.000Z</x:v>
      </x:c>
      <x:c r="I79" s="6" t="str">
        <x:v>PDF物理第8页：单位：元
资产负债率%（合并） 22.90% 15.83% - 17.28%</x:v>
      </x:c>
      <x:c r="J79" s="6" t="str">
        <x:v>F002</x:v>
      </x:c>
      <x:c r="K79" s="6" t="str">
        <x:v>纳入字段</x:v>
      </x:c>
      <x:c r="L79" s="6" t="str">
        <x:v>已核实原值</x:v>
      </x:c>
    </x:row>
    <x:row r="80" ht="40" customHeight="1">
      <x:c r="A80" s="6" t="str">
        <x:v>R0075</x:v>
      </x:c>
      <x:c r="B80" s="6" t="str">
        <x:v>字段</x:v>
      </x:c>
      <x:c r="C80" s="17" t="n">
        <x:v>1</x:v>
      </x:c>
      <x:c r="D80" s="6" t="str">
        <x:v>海能未来技术集团股份有限公司</x:v>
      </x:c>
      <x:c r="E80" s="6" t="str">
        <x:v>经营活动产生的现金流量净额</x:v>
      </x:c>
      <x:c r="F80" s="6" t="str">
        <x:v>50521242.74</x:v>
      </x:c>
      <x:c r="G80" s="6" t="str">
        <x:v>人民币元</x:v>
      </x:c>
      <x:c r="H80" s="20" t="d">
        <x:v>2026-03-16T00:00:00.000Z</x:v>
      </x:c>
      <x:c r="I80" s="6" t="str">
        <x:v>PDF物理第8页：单位：元
经营活动产生的现金流量净额 50,521,242.74 27,986,031.41 80.52% 46,144,855.38</x:v>
      </x:c>
      <x:c r="J80" s="6" t="str">
        <x:v>F002</x:v>
      </x:c>
      <x:c r="K80" s="6" t="str">
        <x:v>纳入字段</x:v>
      </x:c>
      <x:c r="L80" s="6" t="str">
        <x:v>已核实原值</x:v>
      </x:c>
    </x:row>
    <x:row r="81" ht="40" customHeight="1">
      <x:c r="A81" s="6" t="str">
        <x:v>R0076</x:v>
      </x:c>
      <x:c r="B81" s="6" t="str">
        <x:v>字段</x:v>
      </x:c>
      <x:c r="C81" s="17" t="n">
        <x:v>1</x:v>
      </x:c>
      <x:c r="D81" s="6" t="str">
        <x:v>海能未来技术集团股份有限公司</x:v>
      </x:c>
      <x:c r="E81" s="6" t="str">
        <x:v>营业成本</x:v>
      </x:c>
      <x:c r="F81" s="6" t="str">
        <x:v>126486821.62</x:v>
      </x:c>
      <x:c r="G81" s="6" t="str">
        <x:v>人民币元</x:v>
      </x:c>
      <x:c r="H81" s="20" t="d">
        <x:v>2026-03-16T00:00:00.000Z</x:v>
      </x:c>
      <x:c r="I81" s="6" t="str">
        <x:v>PDF物理第21页：单位：元
营业成本 126,486,821.62 34.96% 109,867,944.58 35.41% 15.13%</x:v>
      </x:c>
      <x:c r="J81" s="6" t="str">
        <x:v>F002</x:v>
      </x:c>
      <x:c r="K81" s="6" t="str">
        <x:v>纳入字段</x:v>
      </x:c>
      <x:c r="L81" s="6" t="str">
        <x:v>已核实原值</x:v>
      </x:c>
    </x:row>
    <x:row r="82" ht="40" customHeight="1">
      <x:c r="A82" s="6" t="str">
        <x:v>R0077</x:v>
      </x:c>
      <x:c r="B82" s="6" t="str">
        <x:v>字段</x:v>
      </x:c>
      <x:c r="C82" s="17" t="n">
        <x:v>1</x:v>
      </x:c>
      <x:c r="D82" s="6" t="str">
        <x:v>海能未来技术集团股份有限公司</x:v>
      </x:c>
      <x:c r="E82" s="6" t="str">
        <x:v>销售费用</x:v>
      </x:c>
      <x:c r="F82" s="6" t="str">
        <x:v>80818889.67</x:v>
      </x:c>
      <x:c r="G82" s="6" t="str">
        <x:v>人民币元</x:v>
      </x:c>
      <x:c r="H82" s="20" t="d">
        <x:v>2026-03-16T00:00:00.000Z</x:v>
      </x:c>
      <x:c r="I82" s="6" t="str">
        <x:v>PDF物理第21页：单位：元
销售费用 80,818,889.67 22.33% 78,599,807.29 25.33% 2.82%</x:v>
      </x:c>
      <x:c r="J82" s="6" t="str">
        <x:v>F002</x:v>
      </x:c>
      <x:c r="K82" s="6" t="str">
        <x:v>纳入字段</x:v>
      </x:c>
      <x:c r="L82" s="6" t="str">
        <x:v>已核实原值</x:v>
      </x:c>
    </x:row>
    <x:row r="83" ht="40" customHeight="1">
      <x:c r="A83" s="6" t="str">
        <x:v>R0078</x:v>
      </x:c>
      <x:c r="B83" s="6" t="str">
        <x:v>字段</x:v>
      </x:c>
      <x:c r="C83" s="17" t="n">
        <x:v>1</x:v>
      </x:c>
      <x:c r="D83" s="6" t="str">
        <x:v>海能未来技术集团股份有限公司</x:v>
      </x:c>
      <x:c r="E83" s="6" t="str">
        <x:v>管理费用</x:v>
      </x:c>
      <x:c r="F83" s="6" t="str">
        <x:v>61218431.69</x:v>
      </x:c>
      <x:c r="G83" s="6" t="str">
        <x:v>人民币元</x:v>
      </x:c>
      <x:c r="H83" s="20" t="d">
        <x:v>2026-03-16T00:00:00.000Z</x:v>
      </x:c>
      <x:c r="I83" s="6" t="str">
        <x:v>PDF物理第21页：单位：元
管理费用 61,218,431.69 16.92% 62,127,393.33 20.02% -1.46%</x:v>
      </x:c>
      <x:c r="J83" s="6" t="str">
        <x:v>F002</x:v>
      </x:c>
      <x:c r="K83" s="6" t="str">
        <x:v>纳入字段</x:v>
      </x:c>
      <x:c r="L83" s="6" t="str">
        <x:v>已核实原值</x:v>
      </x:c>
    </x:row>
    <x:row r="84" ht="40" customHeight="1">
      <x:c r="A84" s="6" t="str">
        <x:v>R0079</x:v>
      </x:c>
      <x:c r="B84" s="6" t="str">
        <x:v>字段</x:v>
      </x:c>
      <x:c r="C84" s="17" t="n">
        <x:v>1</x:v>
      </x:c>
      <x:c r="D84" s="6" t="str">
        <x:v>海能未来技术集团股份有限公司</x:v>
      </x:c>
      <x:c r="E84" s="6" t="str">
        <x:v>研发费用</x:v>
      </x:c>
      <x:c r="F84" s="6" t="str">
        <x:v>54114694.86</x:v>
      </x:c>
      <x:c r="G84" s="6" t="str">
        <x:v>人民币元</x:v>
      </x:c>
      <x:c r="H84" s="20" t="d">
        <x:v>2026-03-16T00:00:00.000Z</x:v>
      </x:c>
      <x:c r="I84" s="6" t="str">
        <x:v>PDF物理第21页：单位：元
研发费用 54,114,694.86 14.96% 57,291,723.39 18.47% -5.55%</x:v>
      </x:c>
      <x:c r="J84" s="6" t="str">
        <x:v>F002</x:v>
      </x:c>
      <x:c r="K84" s="6" t="str">
        <x:v>纳入字段</x:v>
      </x:c>
      <x:c r="L84" s="6" t="str">
        <x:v>已核实原值</x:v>
      </x:c>
    </x:row>
    <x:row r="85" ht="40" customHeight="1">
      <x:c r="A85" s="6" t="str">
        <x:v>R0080</x:v>
      </x:c>
      <x:c r="B85" s="6" t="str">
        <x:v>字段</x:v>
      </x:c>
      <x:c r="C85" s="17" t="n">
        <x:v>1</x:v>
      </x:c>
      <x:c r="D85" s="6" t="str">
        <x:v>海能未来技术集团股份有限公司</x:v>
      </x:c>
      <x:c r="E85" s="6" t="str">
        <x:v>净利润</x:v>
      </x:c>
      <x:c r="F85" s="6" t="str">
        <x:v>38607340.54</x:v>
      </x:c>
      <x:c r="G85" s="6" t="str">
        <x:v>人民币元</x:v>
      </x:c>
      <x:c r="H85" s="20" t="d">
        <x:v>2026-03-16T00:00:00.000Z</x:v>
      </x:c>
      <x:c r="I85" s="6" t="str">
        <x:v>PDF物理第21页：单位：元
净利润 38,607,340.54 10.67% 5,825,380.61 1.88% 562.74%</x:v>
      </x:c>
      <x:c r="J85" s="6" t="str">
        <x:v>F002</x:v>
      </x:c>
      <x:c r="K85" s="6" t="str">
        <x:v>纳入字段</x:v>
      </x:c>
      <x:c r="L85" s="6" t="str">
        <x:v>已核实原值</x:v>
      </x:c>
    </x:row>
    <x:row r="86" ht="40" customHeight="1">
      <x:c r="A86" s="6" t="str">
        <x:v>R0081</x:v>
      </x:c>
      <x:c r="B86" s="6" t="str">
        <x:v>字段</x:v>
      </x:c>
      <x:c r="C86" s="17" t="n">
        <x:v>1</x:v>
      </x:c>
      <x:c r="D86" s="6" t="str">
        <x:v>海能未来技术集团股份有限公司</x:v>
      </x:c>
      <x:c r="E86" s="6" t="str">
        <x:v>所得税费用</x:v>
      </x:c>
      <x:c r="F86" s="6" t="str">
        <x:v>4958191.88</x:v>
      </x:c>
      <x:c r="G86" s="6" t="str">
        <x:v>人民币元</x:v>
      </x:c>
      <x:c r="H86" s="20" t="d">
        <x:v>2026-03-16T00:00:00.000Z</x:v>
      </x:c>
      <x:c r="I86" s="6" t="str">
        <x:v>PDF物理第21页：单位：元
所得税费用 4,958,191.88 1.37% 207,068.65 0.07% 2,294.47%</x:v>
      </x:c>
      <x:c r="J86" s="6" t="str">
        <x:v>F002</x:v>
      </x:c>
      <x:c r="K86" s="6" t="str">
        <x:v>纳入字段</x:v>
      </x:c>
      <x:c r="L86" s="6" t="str">
        <x:v>已核实原值</x:v>
      </x:c>
    </x:row>
    <x:row r="87" ht="40" customHeight="1">
      <x:c r="A87" s="6" t="str">
        <x:v>R0082</x:v>
      </x:c>
      <x:c r="B87" s="6" t="str">
        <x:v>字段</x:v>
      </x:c>
      <x:c r="C87" s="17" t="n">
        <x:v>1</x:v>
      </x:c>
      <x:c r="D87" s="6" t="str">
        <x:v>海能未来技术集团股份有限公司</x:v>
      </x:c>
      <x:c r="E87" s="6" t="str">
        <x:v>投资活动产生的现金流量净额</x:v>
      </x:c>
      <x:c r="F87" s="6" t="str">
        <x:v>-22691492.64</x:v>
      </x:c>
      <x:c r="G87" s="6" t="str">
        <x:v>人民币元</x:v>
      </x:c>
      <x:c r="H87" s="20" t="d">
        <x:v>2026-03-16T00:00:00.000Z</x:v>
      </x:c>
      <x:c r="I87" s="6" t="str">
        <x:v>PDF物理第24页：单位：元
投资活动产生的现金流量净额 -22,691,492.64 -4,533,009.33 -400.58%</x:v>
      </x:c>
      <x:c r="J87" s="6" t="str">
        <x:v>F002</x:v>
      </x:c>
      <x:c r="K87" s="6" t="str">
        <x:v>纳入字段</x:v>
      </x:c>
      <x:c r="L87" s="6" t="str">
        <x:v>已核实原值</x:v>
      </x:c>
    </x:row>
    <x:row r="88" ht="40" customHeight="1">
      <x:c r="A88" s="6" t="str">
        <x:v>R0083</x:v>
      </x:c>
      <x:c r="B88" s="6" t="str">
        <x:v>字段</x:v>
      </x:c>
      <x:c r="C88" s="17" t="n">
        <x:v>1</x:v>
      </x:c>
      <x:c r="D88" s="6" t="str">
        <x:v>海能未来技术集团股份有限公司</x:v>
      </x:c>
      <x:c r="E88" s="6" t="str">
        <x:v>筹资活动产生的现金流量净额</x:v>
      </x:c>
      <x:c r="F88" s="6" t="str">
        <x:v>-18905964.79</x:v>
      </x:c>
      <x:c r="G88" s="6" t="str">
        <x:v>人民币元</x:v>
      </x:c>
      <x:c r="H88" s="20" t="d">
        <x:v>2026-03-16T00:00:00.000Z</x:v>
      </x:c>
      <x:c r="I88" s="6" t="str">
        <x:v>PDF物理第24页：单位：元
筹资活动产生的现金流量净额 -18,905,964.79 -56,701,824.55 66.66%</x:v>
      </x:c>
      <x:c r="J88" s="6" t="str">
        <x:v>F002</x:v>
      </x:c>
      <x:c r="K88" s="6" t="str">
        <x:v>纳入字段</x:v>
      </x:c>
      <x:c r="L88" s="6" t="str">
        <x:v>已核实原值</x:v>
      </x:c>
    </x:row>
    <x:row r="89" ht="34" customHeight="1">
      <x:c r="A89" s="6" t="str">
        <x:v>R0084</x:v>
      </x:c>
      <x:c r="B89" s="6" t="str">
        <x:v>字段</x:v>
      </x:c>
      <x:c r="C89" s="17" t="n">
        <x:v>1</x:v>
      </x:c>
      <x:c r="D89" s="6" t="str">
        <x:v>海能未来技术集团股份有限公司</x:v>
      </x:c>
      <x:c r="E89" s="6" t="str">
        <x:v>研发支出金额</x:v>
      </x:c>
      <x:c r="F89" s="6" t="str">
        <x:v>54114694.86</x:v>
      </x:c>
      <x:c r="G89" s="6" t="str">
        <x:v>人民币元</x:v>
      </x:c>
      <x:c r="H89" s="20" t="d">
        <x:v>2026-03-16T00:00:00.000Z</x:v>
      </x:c>
      <x:c r="I89" s="6" t="str">
        <x:v>PDF物理第27页：单位：元；研发支出金额 54,114,694.86 57,291,723.39</x:v>
      </x:c>
      <x:c r="J89" s="6" t="str">
        <x:v>F002</x:v>
      </x:c>
      <x:c r="K89" s="6" t="str">
        <x:v>纳入字段</x:v>
      </x:c>
      <x:c r="L89" s="6" t="str">
        <x:v>已核实原值</x:v>
      </x:c>
    </x:row>
    <x:row r="90" ht="34" customHeight="1">
      <x:c r="A90" s="6" t="str">
        <x:v>R0085</x:v>
      </x:c>
      <x:c r="B90" s="6" t="str">
        <x:v>字段</x:v>
      </x:c>
      <x:c r="C90" s="17" t="n">
        <x:v>1</x:v>
      </x:c>
      <x:c r="D90" s="6" t="str">
        <x:v>海能未来技术集团股份有限公司</x:v>
      </x:c>
      <x:c r="E90" s="6" t="str">
        <x:v>研发支出占营业收入的比例</x:v>
      </x:c>
      <x:c r="F90" s="6" t="str">
        <x:v>14.96</x:v>
      </x:c>
      <x:c r="G90" s="6" t="str">
        <x:v>%</x:v>
      </x:c>
      <x:c r="H90" s="20" t="d">
        <x:v>2026-03-16T00:00:00.000Z</x:v>
      </x:c>
      <x:c r="I90" s="6" t="str">
        <x:v>PDF物理第27页：研发支出占营业收入的比例 14.96% 18.47%</x:v>
      </x:c>
      <x:c r="J90" s="6" t="str">
        <x:v>F002</x:v>
      </x:c>
      <x:c r="K90" s="6" t="str">
        <x:v>纳入字段</x:v>
      </x:c>
      <x:c r="L90" s="6" t="str">
        <x:v>已核实原值</x:v>
      </x:c>
    </x:row>
    <x:row r="91" ht="34" customHeight="1">
      <x:c r="A91" s="6" t="str">
        <x:v>R0086</x:v>
      </x:c>
      <x:c r="B91" s="6" t="str">
        <x:v>字段</x:v>
      </x:c>
      <x:c r="C91" s="17" t="n">
        <x:v>1</x:v>
      </x:c>
      <x:c r="D91" s="6" t="str">
        <x:v>海能未来技术集团股份有限公司</x:v>
      </x:c>
      <x:c r="E91" s="6" t="str">
        <x:v>研发支出资本化的金额</x:v>
      </x:c>
      <x:c r="F91" s="15" t="str">
        <x:v>0</x:v>
      </x:c>
      <x:c r="G91" s="6" t="str">
        <x:v>人民币元</x:v>
      </x:c>
      <x:c r="H91" s="20" t="d">
        <x:v>2026-03-16T00:00:00.000Z</x:v>
      </x:c>
      <x:c r="I91" s="6" t="str">
        <x:v>PDF物理第27页：研发支出资本化的金额 0.00 0.00</x:v>
      </x:c>
      <x:c r="J91" s="6" t="str">
        <x:v>F002</x:v>
      </x:c>
      <x:c r="K91" s="6" t="str">
        <x:v>纳入字段</x:v>
      </x:c>
      <x:c r="L91" s="6" t="str">
        <x:v>已核实原值</x:v>
      </x:c>
    </x:row>
    <x:row r="92" ht="34" customHeight="1">
      <x:c r="A92" s="6" t="str">
        <x:v>R0087</x:v>
      </x:c>
      <x:c r="B92" s="6" t="str">
        <x:v>字段</x:v>
      </x:c>
      <x:c r="C92" s="17" t="n">
        <x:v>1</x:v>
      </x:c>
      <x:c r="D92" s="6" t="str">
        <x:v>海能未来技术集团股份有限公司</x:v>
      </x:c>
      <x:c r="E92" s="6" t="str">
        <x:v>研发人员总计</x:v>
      </x:c>
      <x:c r="F92" s="15" t="str">
        <x:v>128</x:v>
      </x:c>
      <x:c r="G92" s="6" t="str">
        <x:v>人</x:v>
      </x:c>
      <x:c r="H92" s="20" t="d">
        <x:v>2026-03-16T00:00:00.000Z</x:v>
      </x:c>
      <x:c r="I92" s="6" t="str">
        <x:v>PDF物理第27页：研发人员总计 136 128</x:v>
      </x:c>
      <x:c r="J92" s="6" t="str">
        <x:v>F002</x:v>
      </x:c>
      <x:c r="K92" s="6" t="str">
        <x:v>纳入字段</x:v>
      </x:c>
      <x:c r="L92" s="6" t="str">
        <x:v>已核实原值</x:v>
      </x:c>
    </x:row>
    <x:row r="93" ht="34" customHeight="1">
      <x:c r="A93" s="6" t="str">
        <x:v>R0088</x:v>
      </x:c>
      <x:c r="B93" s="6" t="str">
        <x:v>字段</x:v>
      </x:c>
      <x:c r="C93" s="17" t="n">
        <x:v>1</x:v>
      </x:c>
      <x:c r="D93" s="6" t="str">
        <x:v>海能未来技术集团股份有限公司</x:v>
      </x:c>
      <x:c r="E93" s="6" t="str">
        <x:v>研发人员占员工总量的比例</x:v>
      </x:c>
      <x:c r="F93" s="6" t="str">
        <x:v>22.65</x:v>
      </x:c>
      <x:c r="G93" s="6" t="str">
        <x:v>%</x:v>
      </x:c>
      <x:c r="H93" s="20" t="d">
        <x:v>2026-03-16T00:00:00.000Z</x:v>
      </x:c>
      <x:c r="I93" s="6" t="str">
        <x:v>PDF物理第27页：研发人员占员工总量的比例（%） 23.45% 22.65%</x:v>
      </x:c>
      <x:c r="J93" s="6" t="str">
        <x:v>F002</x:v>
      </x:c>
      <x:c r="K93" s="6" t="str">
        <x:v>纳入字段</x:v>
      </x:c>
      <x:c r="L93" s="6" t="str">
        <x:v>已核实原值</x:v>
      </x:c>
    </x:row>
    <x:row r="94" ht="34" customHeight="1">
      <x:c r="A94" s="6" t="str">
        <x:v>R0089</x:v>
      </x:c>
      <x:c r="B94" s="6" t="str">
        <x:v>字段</x:v>
      </x:c>
      <x:c r="C94" s="17" t="n">
        <x:v>1</x:v>
      </x:c>
      <x:c r="D94" s="6" t="str">
        <x:v>海能未来技术集团股份有限公司</x:v>
      </x:c>
      <x:c r="E94" s="6" t="str">
        <x:v>公司拥有的专利数量</x:v>
      </x:c>
      <x:c r="F94" s="15" t="str">
        <x:v>190</x:v>
      </x:c>
      <x:c r="G94" s="6" t="str">
        <x:v>项</x:v>
      </x:c>
      <x:c r="H94" s="20" t="d">
        <x:v>2026-03-16T00:00:00.000Z</x:v>
      </x:c>
      <x:c r="I94" s="6" t="str">
        <x:v>PDF物理第27页：公司拥有的专利数量 190 168</x:v>
      </x:c>
      <x:c r="J94" s="6" t="str">
        <x:v>F002</x:v>
      </x:c>
      <x:c r="K94" s="6" t="str">
        <x:v>纳入字段</x:v>
      </x:c>
      <x:c r="L94" s="6" t="str">
        <x:v>已核实原值</x:v>
      </x:c>
    </x:row>
    <x:row r="95" ht="34" customHeight="1">
      <x:c r="A95" s="6" t="str">
        <x:v>R0090</x:v>
      </x:c>
      <x:c r="B95" s="6" t="str">
        <x:v>字段</x:v>
      </x:c>
      <x:c r="C95" s="17" t="n">
        <x:v>1</x:v>
      </x:c>
      <x:c r="D95" s="6" t="str">
        <x:v>海能未来技术集团股份有限公司</x:v>
      </x:c>
      <x:c r="E95" s="6" t="str">
        <x:v>公司拥有的发明专利数量</x:v>
      </x:c>
      <x:c r="F95" s="15" t="str">
        <x:v>56</x:v>
      </x:c>
      <x:c r="G95" s="6" t="str">
        <x:v>项</x:v>
      </x:c>
      <x:c r="H95" s="20" t="d">
        <x:v>2026-03-16T00:00:00.000Z</x:v>
      </x:c>
      <x:c r="I95" s="6" t="str">
        <x:v>PDF物理第27页：公司拥有的发明专利数量 56 41</x:v>
      </x:c>
      <x:c r="J95" s="6" t="str">
        <x:v>F002</x:v>
      </x:c>
      <x:c r="K95" s="6" t="str">
        <x:v>纳入字段</x:v>
      </x:c>
      <x:c r="L95" s="6" t="str">
        <x:v>已核实原值</x:v>
      </x:c>
    </x:row>
    <x:row r="96" ht="40" customHeight="1">
      <x:c r="A96" s="6" t="str">
        <x:v>R0091</x:v>
      </x:c>
      <x:c r="B96" s="6" t="str">
        <x:v>字段</x:v>
      </x:c>
      <x:c r="C96" s="17" t="n">
        <x:v>1</x:v>
      </x:c>
      <x:c r="D96" s="6" t="str">
        <x:v>海能未来技术集团股份有限公司</x:v>
      </x:c>
      <x:c r="E96" s="6" t="str">
        <x:v>管理人员期末人数</x:v>
      </x:c>
      <x:c r="F96" s="15" t="str">
        <x:v>25</x:v>
      </x:c>
      <x:c r="G96" s="6" t="str">
        <x:v>人</x:v>
      </x:c>
      <x:c r="H96" s="20" t="d">
        <x:v>2026-08-17T00:00:00.000Z</x:v>
      </x:c>
      <x:c r="I96" s="6" t="str">
        <x:v>PDF物理第29页：在职员工（公司及控股子公司）基本情况；按工作性质分类 期初人数 本期新增 本期减少 期末人数；管理人员 22 3 0 25</x:v>
      </x:c>
      <x:c r="J96" s="6" t="str">
        <x:v>F001</x:v>
      </x:c>
      <x:c r="K96" s="6" t="str">
        <x:v>纳入字段</x:v>
      </x:c>
      <x:c r="L96" s="6" t="str">
        <x:v>已核实原值</x:v>
      </x:c>
    </x:row>
    <x:row r="97" ht="40" customHeight="1">
      <x:c r="A97" s="6" t="str">
        <x:v>R0092</x:v>
      </x:c>
      <x:c r="B97" s="6" t="str">
        <x:v>字段</x:v>
      </x:c>
      <x:c r="C97" s="17" t="n">
        <x:v>1</x:v>
      </x:c>
      <x:c r="D97" s="6" t="str">
        <x:v>海能未来技术集团股份有限公司</x:v>
      </x:c>
      <x:c r="E97" s="6" t="str">
        <x:v>行政人员期末人数</x:v>
      </x:c>
      <x:c r="F97" s="15" t="str">
        <x:v>59</x:v>
      </x:c>
      <x:c r="G97" s="6" t="str">
        <x:v>人</x:v>
      </x:c>
      <x:c r="H97" s="20" t="d">
        <x:v>2026-08-17T00:00:00.000Z</x:v>
      </x:c>
      <x:c r="I97" s="6" t="str">
        <x:v>PDF物理第29页：在职员工（公司及控股子公司）基本情况；按工作性质分类 期初人数 本期新增 本期减少 期末人数；行政人员 54 9 4 59</x:v>
      </x:c>
      <x:c r="J97" s="6" t="str">
        <x:v>F001</x:v>
      </x:c>
      <x:c r="K97" s="6" t="str">
        <x:v>纳入字段</x:v>
      </x:c>
      <x:c r="L97" s="6" t="str">
        <x:v>已核实原值</x:v>
      </x:c>
    </x:row>
    <x:row r="98" ht="40" customHeight="1">
      <x:c r="A98" s="6" t="str">
        <x:v>R0093</x:v>
      </x:c>
      <x:c r="B98" s="6" t="str">
        <x:v>字段</x:v>
      </x:c>
      <x:c r="C98" s="17" t="n">
        <x:v>1</x:v>
      </x:c>
      <x:c r="D98" s="6" t="str">
        <x:v>海能未来技术集团股份有限公司</x:v>
      </x:c>
      <x:c r="E98" s="6" t="str">
        <x:v>生产人员期末人数</x:v>
      </x:c>
      <x:c r="F98" s="15" t="str">
        <x:v>127</x:v>
      </x:c>
      <x:c r="G98" s="6" t="str">
        <x:v>人</x:v>
      </x:c>
      <x:c r="H98" s="20" t="d">
        <x:v>2026-08-17T00:00:00.000Z</x:v>
      </x:c>
      <x:c r="I98" s="6" t="str">
        <x:v>PDF物理第29页：在职员工（公司及控股子公司）基本情况；按工作性质分类 期初人数 本期新增 本期减少 期末人数；生产人员 133 11 17 127</x:v>
      </x:c>
      <x:c r="J98" s="6" t="str">
        <x:v>F001</x:v>
      </x:c>
      <x:c r="K98" s="6" t="str">
        <x:v>纳入字段</x:v>
      </x:c>
      <x:c r="L98" s="6" t="str">
        <x:v>已核实原值</x:v>
      </x:c>
    </x:row>
    <x:row r="99" ht="40" customHeight="1">
      <x:c r="A99" s="6" t="str">
        <x:v>R0094</x:v>
      </x:c>
      <x:c r="B99" s="6" t="str">
        <x:v>字段</x:v>
      </x:c>
      <x:c r="C99" s="17" t="n">
        <x:v>1</x:v>
      </x:c>
      <x:c r="D99" s="6" t="str">
        <x:v>海能未来技术集团股份有限公司</x:v>
      </x:c>
      <x:c r="E99" s="6" t="str">
        <x:v>销售人员期末人数</x:v>
      </x:c>
      <x:c r="F99" s="15" t="str">
        <x:v>143</x:v>
      </x:c>
      <x:c r="G99" s="6" t="str">
        <x:v>人</x:v>
      </x:c>
      <x:c r="H99" s="20" t="d">
        <x:v>2026-08-17T00:00:00.000Z</x:v>
      </x:c>
      <x:c r="I99" s="6" t="str">
        <x:v>PDF物理第29页：在职员工（公司及控股子公司）基本情况；按工作性质分类 期初人数 本期新增 本期减少 期末人数；销售人员 139 18 14 143</x:v>
      </x:c>
      <x:c r="J99" s="6" t="str">
        <x:v>F001</x:v>
      </x:c>
      <x:c r="K99" s="6" t="str">
        <x:v>纳入字段</x:v>
      </x:c>
      <x:c r="L99" s="6" t="str">
        <x:v>已核实原值</x:v>
      </x:c>
    </x:row>
    <x:row r="100" ht="40" customHeight="1">
      <x:c r="A100" s="6" t="str">
        <x:v>R0095</x:v>
      </x:c>
      <x:c r="B100" s="6" t="str">
        <x:v>字段</x:v>
      </x:c>
      <x:c r="C100" s="17" t="n">
        <x:v>1</x:v>
      </x:c>
      <x:c r="D100" s="6" t="str">
        <x:v>海能未来技术集团股份有限公司</x:v>
      </x:c>
      <x:c r="E100" s="6" t="str">
        <x:v>技术人员期末人数</x:v>
      </x:c>
      <x:c r="F100" s="15" t="str">
        <x:v>188</x:v>
      </x:c>
      <x:c r="G100" s="6" t="str">
        <x:v>人</x:v>
      </x:c>
      <x:c r="H100" s="20" t="d">
        <x:v>2026-08-17T00:00:00.000Z</x:v>
      </x:c>
      <x:c r="I100" s="6" t="str">
        <x:v>PDF物理第29页：在职员工（公司及控股子公司）基本情况；按工作性质分类 期初人数 本期新增 本期减少 期末人数；技术人员 193 6 11 188</x:v>
      </x:c>
      <x:c r="J100" s="6" t="str">
        <x:v>F001</x:v>
      </x:c>
      <x:c r="K100" s="6" t="str">
        <x:v>纳入字段</x:v>
      </x:c>
      <x:c r="L100" s="6" t="str">
        <x:v>已核实原值</x:v>
      </x:c>
    </x:row>
    <x:row r="101" ht="40" customHeight="1">
      <x:c r="A101" s="6" t="str">
        <x:v>R0096</x:v>
      </x:c>
      <x:c r="B101" s="6" t="str">
        <x:v>字段</x:v>
      </x:c>
      <x:c r="C101" s="17" t="n">
        <x:v>1</x:v>
      </x:c>
      <x:c r="D101" s="6" t="str">
        <x:v>海能未来技术集团股份有限公司</x:v>
      </x:c>
      <x:c r="E101" s="6" t="str">
        <x:v>财务人员期末人数</x:v>
      </x:c>
      <x:c r="F101" s="15" t="str">
        <x:v>24</x:v>
      </x:c>
      <x:c r="G101" s="6" t="str">
        <x:v>人</x:v>
      </x:c>
      <x:c r="H101" s="20" t="d">
        <x:v>2026-08-17T00:00:00.000Z</x:v>
      </x:c>
      <x:c r="I101" s="6" t="str">
        <x:v>PDF物理第29页：在职员工（公司及控股子公司）基本情况；按工作性质分类 期初人数 本期新增 本期减少 期末人数；财务人员 24 1 1 24</x:v>
      </x:c>
      <x:c r="J101" s="6" t="str">
        <x:v>F001</x:v>
      </x:c>
      <x:c r="K101" s="6" t="str">
        <x:v>纳入字段</x:v>
      </x:c>
      <x:c r="L101" s="6" t="str">
        <x:v>已核实原值</x:v>
      </x:c>
    </x:row>
    <x:row r="102" ht="40" customHeight="1">
      <x:c r="A102" s="6" t="str">
        <x:v>R0097</x:v>
      </x:c>
      <x:c r="B102" s="6" t="str">
        <x:v>字段</x:v>
      </x:c>
      <x:c r="C102" s="17" t="n">
        <x:v>1</x:v>
      </x:c>
      <x:c r="D102" s="6" t="str">
        <x:v>海能未来技术集团股份有限公司</x:v>
      </x:c>
      <x:c r="E102" s="6" t="str">
        <x:v>员工总计期末人数</x:v>
      </x:c>
      <x:c r="F102" s="15" t="str">
        <x:v>566</x:v>
      </x:c>
      <x:c r="G102" s="6" t="str">
        <x:v>人</x:v>
      </x:c>
      <x:c r="H102" s="20" t="d">
        <x:v>2026-08-17T00:00:00.000Z</x:v>
      </x:c>
      <x:c r="I102" s="6" t="str">
        <x:v>PDF物理第29页：在职员工（公司及控股子公司）基本情况；按工作性质分类 期初人数 本期新增 本期减少 期末人数；员工总计 565 48 47 566</x:v>
      </x:c>
      <x:c r="J102" s="6" t="str">
        <x:v>F001</x:v>
      </x:c>
      <x:c r="K102" s="6" t="str">
        <x:v>纳入字段</x:v>
      </x:c>
      <x:c r="L102" s="6" t="str">
        <x:v>已核实原值</x:v>
      </x:c>
    </x:row>
    <x:row r="103" ht="40" customHeight="1">
      <x:c r="A103" s="6" t="str">
        <x:v>R0098</x:v>
      </x:c>
      <x:c r="B103" s="6" t="str">
        <x:v>字段</x:v>
      </x:c>
      <x:c r="C103" s="17" t="n">
        <x:v>1</x:v>
      </x:c>
      <x:c r="D103" s="6" t="str">
        <x:v>海能未来技术集团股份有限公司</x:v>
      </x:c>
      <x:c r="E103" s="6" t="str">
        <x:v>期初在职员工</x:v>
      </x:c>
      <x:c r="F103" s="15" t="str">
        <x:v>565</x:v>
      </x:c>
      <x:c r="G103" s="6" t="str">
        <x:v>人</x:v>
      </x:c>
      <x:c r="H103" s="20" t="d">
        <x:v>2026-08-17T00:00:00.000Z</x:v>
      </x:c>
      <x:c r="I103" s="6" t="str">
        <x:v>PDF物理第29页：在职员工（公司及控股子公司）基本情况；按工作性质分类 期初人数 本期新增 本期减少 期末人数；员工总计 565 48 47 566</x:v>
      </x:c>
      <x:c r="J103" s="6" t="str">
        <x:v>F001</x:v>
      </x:c>
      <x:c r="K103" s="6" t="str">
        <x:v>纳入字段</x:v>
      </x:c>
      <x:c r="L103" s="6" t="str">
        <x:v>已核实原值</x:v>
      </x:c>
    </x:row>
    <x:row r="104" ht="40" customHeight="1">
      <x:c r="A104" s="6" t="str">
        <x:v>R0099</x:v>
      </x:c>
      <x:c r="B104" s="6" t="str">
        <x:v>字段</x:v>
      </x:c>
      <x:c r="C104" s="17" t="n">
        <x:v>1</x:v>
      </x:c>
      <x:c r="D104" s="6" t="str">
        <x:v>海能未来技术集团股份有限公司</x:v>
      </x:c>
      <x:c r="E104" s="6" t="str">
        <x:v>本期新增在职员工</x:v>
      </x:c>
      <x:c r="F104" s="15" t="str">
        <x:v>48</x:v>
      </x:c>
      <x:c r="G104" s="6" t="str">
        <x:v>人</x:v>
      </x:c>
      <x:c r="H104" s="20" t="d">
        <x:v>2026-08-17T00:00:00.000Z</x:v>
      </x:c>
      <x:c r="I104" s="6" t="str">
        <x:v>PDF物理第29页：在职员工（公司及控股子公司）基本情况；按工作性质分类 期初人数 本期新增 本期减少 期末人数；员工总计 565 48 47 566</x:v>
      </x:c>
      <x:c r="J104" s="6" t="str">
        <x:v>F001</x:v>
      </x:c>
      <x:c r="K104" s="6" t="str">
        <x:v>纳入字段</x:v>
      </x:c>
      <x:c r="L104" s="6" t="str">
        <x:v>已核实原值</x:v>
      </x:c>
    </x:row>
    <x:row r="105" ht="40" customHeight="1">
      <x:c r="A105" s="6" t="str">
        <x:v>R0100</x:v>
      </x:c>
      <x:c r="B105" s="6" t="str">
        <x:v>字段</x:v>
      </x:c>
      <x:c r="C105" s="17" t="n">
        <x:v>1</x:v>
      </x:c>
      <x:c r="D105" s="6" t="str">
        <x:v>海能未来技术集团股份有限公司</x:v>
      </x:c>
      <x:c r="E105" s="6" t="str">
        <x:v>本期减少在职员工</x:v>
      </x:c>
      <x:c r="F105" s="15" t="str">
        <x:v>47</x:v>
      </x:c>
      <x:c r="G105" s="6" t="str">
        <x:v>人</x:v>
      </x:c>
      <x:c r="H105" s="20" t="d">
        <x:v>2026-08-17T00:00:00.000Z</x:v>
      </x:c>
      <x:c r="I105" s="6" t="str">
        <x:v>PDF物理第29页：在职员工（公司及控股子公司）基本情况；按工作性质分类 期初人数 本期新增 本期减少 期末人数；员工总计 565 48 47 566</x:v>
      </x:c>
      <x:c r="J105" s="6" t="str">
        <x:v>F001</x:v>
      </x:c>
      <x:c r="K105" s="6" t="str">
        <x:v>纳入字段</x:v>
      </x:c>
      <x:c r="L105" s="6" t="str">
        <x:v>已核实原值</x:v>
      </x:c>
    </x:row>
    <x:row r="106" ht="40" customHeight="1">
      <x:c r="A106" s="6" t="str">
        <x:v>R0101</x:v>
      </x:c>
      <x:c r="B106" s="6" t="str">
        <x:v>字段</x:v>
      </x:c>
      <x:c r="C106" s="17" t="n">
        <x:v>1</x:v>
      </x:c>
      <x:c r="D106" s="6" t="str">
        <x:v>海能未来技术集团股份有限公司</x:v>
      </x:c>
      <x:c r="E106" s="6" t="str">
        <x:v>在职员工净增人数</x:v>
      </x:c>
      <x:c r="F106" s="15" t="str">
        <x:v>1</x:v>
      </x:c>
      <x:c r="G106" s="6" t="str">
        <x:v>人</x:v>
      </x:c>
      <x:c r="H106" s="20" t="d">
        <x:v>2026-08-17T00:00:00.000Z</x:v>
      </x:c>
      <x:c r="I106" s="6" t="str">
        <x:v>PDF物理第29页：在职员工（公司及控股子公司）基本情况；按工作性质分类 期初人数 本期新增 本期减少 期末人数；员工总计 565 48 47 566</x:v>
      </x:c>
      <x:c r="J106" s="6" t="str">
        <x:v>F001</x:v>
      </x:c>
      <x:c r="K106" s="6" t="str">
        <x:v>纳入字段</x:v>
      </x:c>
      <x:c r="L106" s="6" t="str">
        <x:v>由原值计算</x:v>
      </x:c>
    </x:row>
    <x:row r="107" ht="40" customHeight="1">
      <x:c r="A107" s="6" t="str">
        <x:v>R0102</x:v>
      </x:c>
      <x:c r="B107" s="6" t="str">
        <x:v>字段</x:v>
      </x:c>
      <x:c r="C107" s="17" t="n">
        <x:v>1</x:v>
      </x:c>
      <x:c r="D107" s="6" t="str">
        <x:v>海能未来技术集团股份有限公司</x:v>
      </x:c>
      <x:c r="E107" s="6" t="str">
        <x:v>在职员工期末人数交叉核验</x:v>
      </x:c>
      <x:c r="F107" s="15" t="str">
        <x:v>566</x:v>
      </x:c>
      <x:c r="G107" s="6" t="str">
        <x:v>人</x:v>
      </x:c>
      <x:c r="H107" s="20" t="d">
        <x:v>2026-08-17T00:00:00.000Z</x:v>
      </x:c>
      <x:c r="I107" s="6" t="str">
        <x:v>PDF物理第29页：在职员工（公司及控股子公司）基本情况；按工作性质分类 期初人数 本期新增 本期减少 期末人数；员工总计 565 48 47 566</x:v>
      </x:c>
      <x:c r="J107" s="6" t="str">
        <x:v>F001</x:v>
      </x:c>
      <x:c r="K107" s="6" t="str">
        <x:v>纳入字段</x:v>
      </x:c>
      <x:c r="L107" s="6" t="str">
        <x:v>由原值计算</x:v>
      </x:c>
    </x:row>
    <x:row r="108" ht="34" customHeight="1">
      <x:c r="A108" s="6" t="str">
        <x:v>R0103</x:v>
      </x:c>
      <x:c r="B108" s="6" t="str">
        <x:v>字段</x:v>
      </x:c>
      <x:c r="C108" s="17" t="n">
        <x:v>1</x:v>
      </x:c>
      <x:c r="D108" s="6" t="str">
        <x:v>海能未来技术集团股份有限公司</x:v>
      </x:c>
      <x:c r="E108" s="6" t="str">
        <x:v>博士学历员工期末人数</x:v>
      </x:c>
      <x:c r="F108" s="15" t="str">
        <x:v>4</x:v>
      </x:c>
      <x:c r="G108" s="6" t="str">
        <x:v>人</x:v>
      </x:c>
      <x:c r="H108" s="20" t="d">
        <x:v>2026-08-17T00:00:00.000Z</x:v>
      </x:c>
      <x:c r="I108" s="6" t="str">
        <x:v>PDF物理第29页：按教育程度分类 期初人数 期末人数；博士 4 4</x:v>
      </x:c>
      <x:c r="J108" s="6" t="str">
        <x:v>F001</x:v>
      </x:c>
      <x:c r="K108" s="6" t="str">
        <x:v>纳入字段</x:v>
      </x:c>
      <x:c r="L108" s="6" t="str">
        <x:v>已核实原值</x:v>
      </x:c>
    </x:row>
    <x:row r="109" ht="34" customHeight="1">
      <x:c r="A109" s="6" t="str">
        <x:v>R0104</x:v>
      </x:c>
      <x:c r="B109" s="6" t="str">
        <x:v>字段</x:v>
      </x:c>
      <x:c r="C109" s="17" t="n">
        <x:v>1</x:v>
      </x:c>
      <x:c r="D109" s="6" t="str">
        <x:v>海能未来技术集团股份有限公司</x:v>
      </x:c>
      <x:c r="E109" s="6" t="str">
        <x:v>硕士学历员工期末人数</x:v>
      </x:c>
      <x:c r="F109" s="15" t="str">
        <x:v>88</x:v>
      </x:c>
      <x:c r="G109" s="6" t="str">
        <x:v>人</x:v>
      </x:c>
      <x:c r="H109" s="20" t="d">
        <x:v>2026-08-17T00:00:00.000Z</x:v>
      </x:c>
      <x:c r="I109" s="6" t="str">
        <x:v>PDF物理第29页：按教育程度分类 期初人数 期末人数；硕士 79 88</x:v>
      </x:c>
      <x:c r="J109" s="6" t="str">
        <x:v>F001</x:v>
      </x:c>
      <x:c r="K109" s="6" t="str">
        <x:v>纳入字段</x:v>
      </x:c>
      <x:c r="L109" s="6" t="str">
        <x:v>已核实原值</x:v>
      </x:c>
    </x:row>
    <x:row r="110" ht="34" customHeight="1">
      <x:c r="A110" s="6" t="str">
        <x:v>R0105</x:v>
      </x:c>
      <x:c r="B110" s="6" t="str">
        <x:v>字段</x:v>
      </x:c>
      <x:c r="C110" s="17" t="n">
        <x:v>1</x:v>
      </x:c>
      <x:c r="D110" s="6" t="str">
        <x:v>海能未来技术集团股份有限公司</x:v>
      </x:c>
      <x:c r="E110" s="6" t="str">
        <x:v>本科学历员工期末人数</x:v>
      </x:c>
      <x:c r="F110" s="15" t="str">
        <x:v>246</x:v>
      </x:c>
      <x:c r="G110" s="6" t="str">
        <x:v>人</x:v>
      </x:c>
      <x:c r="H110" s="20" t="d">
        <x:v>2026-08-17T00:00:00.000Z</x:v>
      </x:c>
      <x:c r="I110" s="6" t="str">
        <x:v>PDF物理第29页：按教育程度分类 期初人数 期末人数；本科 246 246</x:v>
      </x:c>
      <x:c r="J110" s="6" t="str">
        <x:v>F001</x:v>
      </x:c>
      <x:c r="K110" s="6" t="str">
        <x:v>纳入字段</x:v>
      </x:c>
      <x:c r="L110" s="6" t="str">
        <x:v>已核实原值</x:v>
      </x:c>
    </x:row>
    <x:row r="111" ht="34" customHeight="1">
      <x:c r="A111" s="6" t="str">
        <x:v>R0106</x:v>
      </x:c>
      <x:c r="B111" s="6" t="str">
        <x:v>字段</x:v>
      </x:c>
      <x:c r="C111" s="17" t="n">
        <x:v>1</x:v>
      </x:c>
      <x:c r="D111" s="6" t="str">
        <x:v>海能未来技术集团股份有限公司</x:v>
      </x:c>
      <x:c r="E111" s="6" t="str">
        <x:v>专科学历员工期末人数</x:v>
      </x:c>
      <x:c r="F111" s="15" t="str">
        <x:v>127</x:v>
      </x:c>
      <x:c r="G111" s="6" t="str">
        <x:v>人</x:v>
      </x:c>
      <x:c r="H111" s="20" t="d">
        <x:v>2026-08-17T00:00:00.000Z</x:v>
      </x:c>
      <x:c r="I111" s="6" t="str">
        <x:v>PDF物理第29页：按教育程度分类 期初人数 期末人数；专科 132 127</x:v>
      </x:c>
      <x:c r="J111" s="6" t="str">
        <x:v>F001</x:v>
      </x:c>
      <x:c r="K111" s="6" t="str">
        <x:v>纳入字段</x:v>
      </x:c>
      <x:c r="L111" s="6" t="str">
        <x:v>已核实原值</x:v>
      </x:c>
    </x:row>
    <x:row r="112" ht="34" customHeight="1">
      <x:c r="A112" s="6" t="str">
        <x:v>R0107</x:v>
      </x:c>
      <x:c r="B112" s="6" t="str">
        <x:v>字段</x:v>
      </x:c>
      <x:c r="C112" s="17" t="n">
        <x:v>1</x:v>
      </x:c>
      <x:c r="D112" s="6" t="str">
        <x:v>海能未来技术集团股份有限公司</x:v>
      </x:c>
      <x:c r="E112" s="6" t="str">
        <x:v>专科以下学历员工期末人数</x:v>
      </x:c>
      <x:c r="F112" s="15" t="str">
        <x:v>101</x:v>
      </x:c>
      <x:c r="G112" s="6" t="str">
        <x:v>人</x:v>
      </x:c>
      <x:c r="H112" s="20" t="d">
        <x:v>2026-08-17T00:00:00.000Z</x:v>
      </x:c>
      <x:c r="I112" s="6" t="str">
        <x:v>PDF物理第29页：按教育程度分类 期初人数 期末人数；专科以下 104 101</x:v>
      </x:c>
      <x:c r="J112" s="6" t="str">
        <x:v>F001</x:v>
      </x:c>
      <x:c r="K112" s="6" t="str">
        <x:v>纳入字段</x:v>
      </x:c>
      <x:c r="L112" s="6" t="str">
        <x:v>已核实原值</x:v>
      </x:c>
    </x:row>
    <x:row r="113" ht="34" customHeight="1">
      <x:c r="A113" s="6" t="str">
        <x:v>R0108</x:v>
      </x:c>
      <x:c r="B113" s="6" t="str">
        <x:v>字段</x:v>
      </x:c>
      <x:c r="C113" s="17" t="n">
        <x:v>1</x:v>
      </x:c>
      <x:c r="D113" s="6" t="str">
        <x:v>海能未来技术集团股份有限公司</x:v>
      </x:c>
      <x:c r="E113" s="6" t="str">
        <x:v>核心员工期末人数</x:v>
      </x:c>
      <x:c r="F113" s="15" t="str">
        <x:v>78</x:v>
      </x:c>
      <x:c r="G113" s="6" t="str">
        <x:v>人</x:v>
      </x:c>
      <x:c r="H113" s="20" t="d">
        <x:v>2026-08-17T00:00:00.000Z</x:v>
      </x:c>
      <x:c r="I113" s="6" t="str">
        <x:v>PDF物理第29页：核心员工 78 0 0 78；本期核心员工无变动。</x:v>
      </x:c>
      <x:c r="J113" s="6" t="str">
        <x:v>F001</x:v>
      </x:c>
      <x:c r="K113" s="6" t="str">
        <x:v>纳入字段</x:v>
      </x:c>
      <x:c r="L113" s="6" t="str">
        <x:v>已核实原值</x:v>
      </x:c>
    </x:row>
    <x:row r="114" ht="34" customHeight="1">
      <x:c r="A114" s="6" t="str">
        <x:v>R0109</x:v>
      </x:c>
      <x:c r="B114" s="6" t="str">
        <x:v>字段</x:v>
      </x:c>
      <x:c r="C114" s="17" t="n">
        <x:v>1</x:v>
      </x:c>
      <x:c r="D114" s="6" t="str">
        <x:v>海能未来技术集团股份有限公司</x:v>
      </x:c>
      <x:c r="E114" s="6" t="str">
        <x:v>年度在职员工期末人数</x:v>
      </x:c>
      <x:c r="F114" s="15" t="str">
        <x:v>565</x:v>
      </x:c>
      <x:c r="G114" s="6" t="str">
        <x:v>人</x:v>
      </x:c>
      <x:c r="H114" s="20" t="d">
        <x:v>2026-03-16T00:00:00.000Z</x:v>
      </x:c>
      <x:c r="I114" s="6" t="str">
        <x:v>PDF物理第61页：在职员工（公司及控股子公司）基本情况；员工总计 580 82 97 565</x:v>
      </x:c>
      <x:c r="J114" s="6" t="str">
        <x:v>F002</x:v>
      </x:c>
      <x:c r="K114" s="6" t="str">
        <x:v>纳入字段</x:v>
      </x:c>
      <x:c r="L114" s="6" t="str">
        <x:v>已核实原值</x:v>
      </x:c>
    </x:row>
    <x:row r="115" ht="136" customHeight="1">
      <x:c r="A115" s="6" t="str">
        <x:v>R0110</x:v>
      </x:c>
      <x:c r="B115" s="6" t="str">
        <x:v>字段</x:v>
      </x:c>
      <x:c r="C115" s="17" t="n">
        <x:v>1</x:v>
      </x:c>
      <x:c r="D115" s="6" t="str">
        <x:v>海能未来技术集团股份有限公司</x:v>
      </x:c>
      <x:c r="E115" s="6" t="str">
        <x:v>管理人员年度期末人数</x:v>
      </x:c>
      <x:c r="F115" s="15" t="str">
        <x:v>22</x:v>
      </x:c>
      <x:c r="G115" s="6" t="str">
        <x:v>人</x:v>
      </x:c>
      <x:c r="H115" s="20" t="d">
        <x:v>2026-03-16T00:00:00.000Z</x:v>
      </x:c>
      <x:c r="I115" s="6" t="str">
        <x:v>PDF物理第61页：60 
姓名 职务 已解锁
股份 
未解
锁股
份 
可行权
股份 
已行权股
份 
行权价
（元/
股） 
报告期末市
价（元/
股） 
张振方 董事长 - - 0 330,000 5.90 20.68 
徐渊 董事、总经理 - - 0 330,000 5.90 20.68 
金辉 副董事长、副总经理 - - 0 330,000 5.90 20.68 
刘文玉 董事 - - 0 200,000 5.90 20.68 
宋晓东 董事会秘书 - - 0 200,000 5.90 20.68 
合计 - - - 0 1,390,000 - - 
备注
（如
有） 
报告期内，公司非独立董事、高管为协助公司维护股票市场价值，减少股票期权行权对股东
权益摊薄的影响，自愿主动放弃2020年股票期权激励计划第二个行权期的139.00万份股票
期权行权。 
二、 员工情况 
(一) 在职员工（公司及控股子公司）基本情况</x:v>
      </x:c>
      <x:c r="J115" s="6" t="str">
        <x:v>F002</x:v>
      </x:c>
      <x:c r="K115" s="6" t="str">
        <x:v>纳入字段</x:v>
      </x:c>
      <x:c r="L115" s="6" t="str">
        <x:v>已核实原值</x:v>
      </x:c>
    </x:row>
    <x:row r="116" ht="88" customHeight="1">
      <x:c r="A116" s="6" t="str">
        <x:v>R0110</x:v>
      </x:c>
      <x:c r="B116" s="6" t="str">
        <x:v>字段</x:v>
      </x:c>
      <x:c r="C116" s="17" t="n">
        <x:v>2</x:v>
      </x:c>
      <x:c r="D116" s="6" t="str">
        <x:v>海能未来技术集团股份有限公司</x:v>
      </x:c>
      <x:c r="E116" s="6" t="str">
        <x:v>管理人员年度期末人数</x:v>
      </x:c>
      <x:c r="F116" s="6" t="str"/>
      <x:c r="G116" s="6" t="str">
        <x:v>人</x:v>
      </x:c>
      <x:c r="H116" s="20" t="d">
        <x:v>2026-03-16T00:00:00.000Z</x:v>
      </x:c>
      <x:c r="I116" s="6" t="str">
        <x:v> 
按工作性质分类 期初人数 本期新增 本期减少 期末人数 
管理人员 22 1 1 22 
行政人员 52 5 3 54 
生产人员 144 16 27 133 
销售人员 138 28 27 139 
技术人员 201 28 36 193 
财务人员 23 4 3 24 
员工总计 580 82 97 565 
按教育程度分类 期初人数 期末人数 
博士 3 4 
硕士 83 79 
本科 243 246 
专科及以下 251 236 
员工总计 580 565</x:v>
      </x:c>
      <x:c r="J116" s="6" t="str">
        <x:v>F002</x:v>
      </x:c>
      <x:c r="K116" s="6" t="str">
        <x:v>纳入字段</x:v>
      </x:c>
      <x:c r="L116" s="6" t="str"/>
    </x:row>
    <x:row r="117" ht="136" customHeight="1">
      <x:c r="A117" s="6" t="str">
        <x:v>R0111</x:v>
      </x:c>
      <x:c r="B117" s="6" t="str">
        <x:v>字段</x:v>
      </x:c>
      <x:c r="C117" s="17" t="n">
        <x:v>1</x:v>
      </x:c>
      <x:c r="D117" s="6" t="str">
        <x:v>海能未来技术集团股份有限公司</x:v>
      </x:c>
      <x:c r="E117" s="6" t="str">
        <x:v>行政人员年度期末人数</x:v>
      </x:c>
      <x:c r="F117" s="15" t="str">
        <x:v>54</x:v>
      </x:c>
      <x:c r="G117" s="6" t="str">
        <x:v>人</x:v>
      </x:c>
      <x:c r="H117" s="20" t="d">
        <x:v>2026-03-16T00:00:00.000Z</x:v>
      </x:c>
      <x:c r="I117" s="6" t="str">
        <x:v>PDF物理第61页：60 
姓名 职务 已解锁
股份 
未解
锁股
份 
可行权
股份 
已行权股
份 
行权价
（元/
股） 
报告期末市
价（元/
股） 
张振方 董事长 - - 0 330,000 5.90 20.68 
徐渊 董事、总经理 - - 0 330,000 5.90 20.68 
金辉 副董事长、副总经理 - - 0 330,000 5.90 20.68 
刘文玉 董事 - - 0 200,000 5.90 20.68 
宋晓东 董事会秘书 - - 0 200,000 5.90 20.68 
合计 - - - 0 1,390,000 - - 
备注
（如
有） 
报告期内，公司非独立董事、高管为协助公司维护股票市场价值，减少股票期权行权对股东
权益摊薄的影响，自愿主动放弃2020年股票期权激励计划第二个行权期的139.00万份股票
期权行权。 
二、 员工情况 
(一) 在职员工（公司及控股子公司）基本情况</x:v>
      </x:c>
      <x:c r="J117" s="6" t="str">
        <x:v>F002</x:v>
      </x:c>
      <x:c r="K117" s="6" t="str">
        <x:v>纳入字段</x:v>
      </x:c>
      <x:c r="L117" s="6" t="str">
        <x:v>已核实原值</x:v>
      </x:c>
    </x:row>
    <x:row r="118" ht="88" customHeight="1">
      <x:c r="A118" s="6" t="str">
        <x:v>R0111</x:v>
      </x:c>
      <x:c r="B118" s="6" t="str">
        <x:v>字段</x:v>
      </x:c>
      <x:c r="C118" s="17" t="n">
        <x:v>2</x:v>
      </x:c>
      <x:c r="D118" s="6" t="str">
        <x:v>海能未来技术集团股份有限公司</x:v>
      </x:c>
      <x:c r="E118" s="6" t="str">
        <x:v>行政人员年度期末人数</x:v>
      </x:c>
      <x:c r="F118" s="6" t="str"/>
      <x:c r="G118" s="6" t="str">
        <x:v>人</x:v>
      </x:c>
      <x:c r="H118" s="20" t="d">
        <x:v>2026-03-16T00:00:00.000Z</x:v>
      </x:c>
      <x:c r="I118" s="6" t="str">
        <x:v> 
按工作性质分类 期初人数 本期新增 本期减少 期末人数 
管理人员 22 1 1 22 
行政人员 52 5 3 54 
生产人员 144 16 27 133 
销售人员 138 28 27 139 
技术人员 201 28 36 193 
财务人员 23 4 3 24 
员工总计 580 82 97 565 
按教育程度分类 期初人数 期末人数 
博士 3 4 
硕士 83 79 
本科 243 246 
专科及以下 251 236 
员工总计 580 565</x:v>
      </x:c>
      <x:c r="J118" s="6" t="str">
        <x:v>F002</x:v>
      </x:c>
      <x:c r="K118" s="6" t="str">
        <x:v>纳入字段</x:v>
      </x:c>
      <x:c r="L118" s="6" t="str"/>
    </x:row>
    <x:row r="119" ht="136" customHeight="1">
      <x:c r="A119" s="6" t="str">
        <x:v>R0112</x:v>
      </x:c>
      <x:c r="B119" s="6" t="str">
        <x:v>字段</x:v>
      </x:c>
      <x:c r="C119" s="17" t="n">
        <x:v>1</x:v>
      </x:c>
      <x:c r="D119" s="6" t="str">
        <x:v>海能未来技术集团股份有限公司</x:v>
      </x:c>
      <x:c r="E119" s="6" t="str">
        <x:v>生产人员年度期末人数</x:v>
      </x:c>
      <x:c r="F119" s="15" t="str">
        <x:v>133</x:v>
      </x:c>
      <x:c r="G119" s="6" t="str">
        <x:v>人</x:v>
      </x:c>
      <x:c r="H119" s="20" t="d">
        <x:v>2026-03-16T00:00:00.000Z</x:v>
      </x:c>
      <x:c r="I119" s="6" t="str">
        <x:v>PDF物理第61页：60 
姓名 职务 已解锁
股份 
未解
锁股
份 
可行权
股份 
已行权股
份 
行权价
（元/
股） 
报告期末市
价（元/
股） 
张振方 董事长 - - 0 330,000 5.90 20.68 
徐渊 董事、总经理 - - 0 330,000 5.90 20.68 
金辉 副董事长、副总经理 - - 0 330,000 5.90 20.68 
刘文玉 董事 - - 0 200,000 5.90 20.68 
宋晓东 董事会秘书 - - 0 200,000 5.90 20.68 
合计 - - - 0 1,390,000 - - 
备注
（如
有） 
报告期内，公司非独立董事、高管为协助公司维护股票市场价值，减少股票期权行权对股东
权益摊薄的影响，自愿主动放弃2020年股票期权激励计划第二个行权期的139.00万份股票
期权行权。 
二、 员工情况 
(一) 在职员工（公司及控股子公司）基本情况</x:v>
      </x:c>
      <x:c r="J119" s="6" t="str">
        <x:v>F002</x:v>
      </x:c>
      <x:c r="K119" s="6" t="str">
        <x:v>纳入字段</x:v>
      </x:c>
      <x:c r="L119" s="6" t="str">
        <x:v>已核实原值</x:v>
      </x:c>
    </x:row>
    <x:row r="120" ht="88" customHeight="1">
      <x:c r="A120" s="6" t="str">
        <x:v>R0112</x:v>
      </x:c>
      <x:c r="B120" s="6" t="str">
        <x:v>字段</x:v>
      </x:c>
      <x:c r="C120" s="17" t="n">
        <x:v>2</x:v>
      </x:c>
      <x:c r="D120" s="6" t="str">
        <x:v>海能未来技术集团股份有限公司</x:v>
      </x:c>
      <x:c r="E120" s="6" t="str">
        <x:v>生产人员年度期末人数</x:v>
      </x:c>
      <x:c r="F120" s="6" t="str"/>
      <x:c r="G120" s="6" t="str">
        <x:v>人</x:v>
      </x:c>
      <x:c r="H120" s="20" t="d">
        <x:v>2026-03-16T00:00:00.000Z</x:v>
      </x:c>
      <x:c r="I120" s="6" t="str">
        <x:v> 
按工作性质分类 期初人数 本期新增 本期减少 期末人数 
管理人员 22 1 1 22 
行政人员 52 5 3 54 
生产人员 144 16 27 133 
销售人员 138 28 27 139 
技术人员 201 28 36 193 
财务人员 23 4 3 24 
员工总计 580 82 97 565 
按教育程度分类 期初人数 期末人数 
博士 3 4 
硕士 83 79 
本科 243 246 
专科及以下 251 236 
员工总计 580 565</x:v>
      </x:c>
      <x:c r="J120" s="6" t="str">
        <x:v>F002</x:v>
      </x:c>
      <x:c r="K120" s="6" t="str">
        <x:v>纳入字段</x:v>
      </x:c>
      <x:c r="L120" s="6" t="str"/>
    </x:row>
    <x:row r="121" ht="136" customHeight="1">
      <x:c r="A121" s="6" t="str">
        <x:v>R0113</x:v>
      </x:c>
      <x:c r="B121" s="6" t="str">
        <x:v>字段</x:v>
      </x:c>
      <x:c r="C121" s="17" t="n">
        <x:v>1</x:v>
      </x:c>
      <x:c r="D121" s="6" t="str">
        <x:v>海能未来技术集团股份有限公司</x:v>
      </x:c>
      <x:c r="E121" s="6" t="str">
        <x:v>销售人员年度期末人数</x:v>
      </x:c>
      <x:c r="F121" s="15" t="str">
        <x:v>139</x:v>
      </x:c>
      <x:c r="G121" s="6" t="str">
        <x:v>人</x:v>
      </x:c>
      <x:c r="H121" s="20" t="d">
        <x:v>2026-03-16T00:00:00.000Z</x:v>
      </x:c>
      <x:c r="I121" s="6" t="str">
        <x:v>PDF物理第61页：60 
姓名 职务 已解锁
股份 
未解
锁股
份 
可行权
股份 
已行权股
份 
行权价
（元/
股） 
报告期末市
价（元/
股） 
张振方 董事长 - - 0 330,000 5.90 20.68 
徐渊 董事、总经理 - - 0 330,000 5.90 20.68 
金辉 副董事长、副总经理 - - 0 330,000 5.90 20.68 
刘文玉 董事 - - 0 200,000 5.90 20.68 
宋晓东 董事会秘书 - - 0 200,000 5.90 20.68 
合计 - - - 0 1,390,000 - - 
备注
（如
有） 
报告期内，公司非独立董事、高管为协助公司维护股票市场价值，减少股票期权行权对股东
权益摊薄的影响，自愿主动放弃2020年股票期权激励计划第二个行权期的139.00万份股票
期权行权。 
二、 员工情况 
(一) 在职员工（公司及控股子公司）基本情况</x:v>
      </x:c>
      <x:c r="J121" s="6" t="str">
        <x:v>F002</x:v>
      </x:c>
      <x:c r="K121" s="6" t="str">
        <x:v>纳入字段</x:v>
      </x:c>
      <x:c r="L121" s="6" t="str">
        <x:v>已核实原值</x:v>
      </x:c>
    </x:row>
    <x:row r="122" ht="88" customHeight="1">
      <x:c r="A122" s="6" t="str">
        <x:v>R0113</x:v>
      </x:c>
      <x:c r="B122" s="6" t="str">
        <x:v>字段</x:v>
      </x:c>
      <x:c r="C122" s="17" t="n">
        <x:v>2</x:v>
      </x:c>
      <x:c r="D122" s="6" t="str">
        <x:v>海能未来技术集团股份有限公司</x:v>
      </x:c>
      <x:c r="E122" s="6" t="str">
        <x:v>销售人员年度期末人数</x:v>
      </x:c>
      <x:c r="F122" s="6" t="str"/>
      <x:c r="G122" s="6" t="str">
        <x:v>人</x:v>
      </x:c>
      <x:c r="H122" s="20" t="d">
        <x:v>2026-03-16T00:00:00.000Z</x:v>
      </x:c>
      <x:c r="I122" s="6" t="str">
        <x:v> 
按工作性质分类 期初人数 本期新增 本期减少 期末人数 
管理人员 22 1 1 22 
行政人员 52 5 3 54 
生产人员 144 16 27 133 
销售人员 138 28 27 139 
技术人员 201 28 36 193 
财务人员 23 4 3 24 
员工总计 580 82 97 565 
按教育程度分类 期初人数 期末人数 
博士 3 4 
硕士 83 79 
本科 243 246 
专科及以下 251 236 
员工总计 580 565</x:v>
      </x:c>
      <x:c r="J122" s="6" t="str">
        <x:v>F002</x:v>
      </x:c>
      <x:c r="K122" s="6" t="str">
        <x:v>纳入字段</x:v>
      </x:c>
      <x:c r="L122" s="6" t="str"/>
    </x:row>
    <x:row r="123" ht="136" customHeight="1">
      <x:c r="A123" s="6" t="str">
        <x:v>R0114</x:v>
      </x:c>
      <x:c r="B123" s="6" t="str">
        <x:v>字段</x:v>
      </x:c>
      <x:c r="C123" s="17" t="n">
        <x:v>1</x:v>
      </x:c>
      <x:c r="D123" s="6" t="str">
        <x:v>海能未来技术集团股份有限公司</x:v>
      </x:c>
      <x:c r="E123" s="6" t="str">
        <x:v>技术人员年度期末人数</x:v>
      </x:c>
      <x:c r="F123" s="15" t="str">
        <x:v>193</x:v>
      </x:c>
      <x:c r="G123" s="6" t="str">
        <x:v>人</x:v>
      </x:c>
      <x:c r="H123" s="20" t="d">
        <x:v>2026-03-16T00:00:00.000Z</x:v>
      </x:c>
      <x:c r="I123" s="6" t="str">
        <x:v>PDF物理第61页：60 
姓名 职务 已解锁
股份 
未解
锁股
份 
可行权
股份 
已行权股
份 
行权价
（元/
股） 
报告期末市
价（元/
股） 
张振方 董事长 - - 0 330,000 5.90 20.68 
徐渊 董事、总经理 - - 0 330,000 5.90 20.68 
金辉 副董事长、副总经理 - - 0 330,000 5.90 20.68 
刘文玉 董事 - - 0 200,000 5.90 20.68 
宋晓东 董事会秘书 - - 0 200,000 5.90 20.68 
合计 - - - 0 1,390,000 - - 
备注
（如
有） 
报告期内，公司非独立董事、高管为协助公司维护股票市场价值，减少股票期权行权对股东
权益摊薄的影响，自愿主动放弃2020年股票期权激励计划第二个行权期的139.00万份股票
期权行权。 
二、 员工情况 
(一) 在职员工（公司及控股子公司）基本情况</x:v>
      </x:c>
      <x:c r="J123" s="6" t="str">
        <x:v>F002</x:v>
      </x:c>
      <x:c r="K123" s="6" t="str">
        <x:v>纳入字段</x:v>
      </x:c>
      <x:c r="L123" s="6" t="str">
        <x:v>已核实原值</x:v>
      </x:c>
    </x:row>
    <x:row r="124" ht="88" customHeight="1">
      <x:c r="A124" s="6" t="str">
        <x:v>R0114</x:v>
      </x:c>
      <x:c r="B124" s="6" t="str">
        <x:v>字段</x:v>
      </x:c>
      <x:c r="C124" s="17" t="n">
        <x:v>2</x:v>
      </x:c>
      <x:c r="D124" s="6" t="str">
        <x:v>海能未来技术集团股份有限公司</x:v>
      </x:c>
      <x:c r="E124" s="6" t="str">
        <x:v>技术人员年度期末人数</x:v>
      </x:c>
      <x:c r="F124" s="6" t="str"/>
      <x:c r="G124" s="6" t="str">
        <x:v>人</x:v>
      </x:c>
      <x:c r="H124" s="20" t="d">
        <x:v>2026-03-16T00:00:00.000Z</x:v>
      </x:c>
      <x:c r="I124" s="6" t="str">
        <x:v> 
按工作性质分类 期初人数 本期新增 本期减少 期末人数 
管理人员 22 1 1 22 
行政人员 52 5 3 54 
生产人员 144 16 27 133 
销售人员 138 28 27 139 
技术人员 201 28 36 193 
财务人员 23 4 3 24 
员工总计 580 82 97 565 
按教育程度分类 期初人数 期末人数 
博士 3 4 
硕士 83 79 
本科 243 246 
专科及以下 251 236 
员工总计 580 565</x:v>
      </x:c>
      <x:c r="J124" s="6" t="str">
        <x:v>F002</x:v>
      </x:c>
      <x:c r="K124" s="6" t="str">
        <x:v>纳入字段</x:v>
      </x:c>
      <x:c r="L124" s="6" t="str"/>
    </x:row>
    <x:row r="125" ht="136" customHeight="1">
      <x:c r="A125" s="6" t="str">
        <x:v>R0115</x:v>
      </x:c>
      <x:c r="B125" s="6" t="str">
        <x:v>字段</x:v>
      </x:c>
      <x:c r="C125" s="17" t="n">
        <x:v>1</x:v>
      </x:c>
      <x:c r="D125" s="6" t="str">
        <x:v>海能未来技术集团股份有限公司</x:v>
      </x:c>
      <x:c r="E125" s="6" t="str">
        <x:v>财务人员年度期末人数</x:v>
      </x:c>
      <x:c r="F125" s="15" t="str">
        <x:v>24</x:v>
      </x:c>
      <x:c r="G125" s="6" t="str">
        <x:v>人</x:v>
      </x:c>
      <x:c r="H125" s="20" t="d">
        <x:v>2026-03-16T00:00:00.000Z</x:v>
      </x:c>
      <x:c r="I125" s="6" t="str">
        <x:v>PDF物理第61页：60 
姓名 职务 已解锁
股份 
未解
锁股
份 
可行权
股份 
已行权股
份 
行权价
（元/
股） 
报告期末市
价（元/
股） 
张振方 董事长 - - 0 330,000 5.90 20.68 
徐渊 董事、总经理 - - 0 330,000 5.90 20.68 
金辉 副董事长、副总经理 - - 0 330,000 5.90 20.68 
刘文玉 董事 - - 0 200,000 5.90 20.68 
宋晓东 董事会秘书 - - 0 200,000 5.90 20.68 
合计 - - - 0 1,390,000 - - 
备注
（如
有） 
报告期内，公司非独立董事、高管为协助公司维护股票市场价值，减少股票期权行权对股东
权益摊薄的影响，自愿主动放弃2020年股票期权激励计划第二个行权期的139.00万份股票
期权行权。 
二、 员工情况 
(一) 在职员工（公司及控股子公司）基本情况</x:v>
      </x:c>
      <x:c r="J125" s="6" t="str">
        <x:v>F002</x:v>
      </x:c>
      <x:c r="K125" s="6" t="str">
        <x:v>纳入字段</x:v>
      </x:c>
      <x:c r="L125" s="6" t="str">
        <x:v>已核实原值</x:v>
      </x:c>
    </x:row>
    <x:row r="126" ht="88" customHeight="1">
      <x:c r="A126" s="6" t="str">
        <x:v>R0115</x:v>
      </x:c>
      <x:c r="B126" s="6" t="str">
        <x:v>字段</x:v>
      </x:c>
      <x:c r="C126" s="17" t="n">
        <x:v>2</x:v>
      </x:c>
      <x:c r="D126" s="6" t="str">
        <x:v>海能未来技术集团股份有限公司</x:v>
      </x:c>
      <x:c r="E126" s="6" t="str">
        <x:v>财务人员年度期末人数</x:v>
      </x:c>
      <x:c r="F126" s="6" t="str"/>
      <x:c r="G126" s="6" t="str">
        <x:v>人</x:v>
      </x:c>
      <x:c r="H126" s="20" t="d">
        <x:v>2026-03-16T00:00:00.000Z</x:v>
      </x:c>
      <x:c r="I126" s="6" t="str">
        <x:v> 
按工作性质分类 期初人数 本期新增 本期减少 期末人数 
管理人员 22 1 1 22 
行政人员 52 5 3 54 
生产人员 144 16 27 133 
销售人员 138 28 27 139 
技术人员 201 28 36 193 
财务人员 23 4 3 24 
员工总计 580 82 97 565 
按教育程度分类 期初人数 期末人数 
博士 3 4 
硕士 83 79 
本科 243 246 
专科及以下 251 236 
员工总计 580 565</x:v>
      </x:c>
      <x:c r="J126" s="6" t="str">
        <x:v>F002</x:v>
      </x:c>
      <x:c r="K126" s="6" t="str">
        <x:v>纳入字段</x:v>
      </x:c>
      <x:c r="L126" s="6" t="str"/>
    </x:row>
    <x:row r="127" ht="136" customHeight="1">
      <x:c r="A127" s="6" t="str">
        <x:v>R0116</x:v>
      </x:c>
      <x:c r="B127" s="6" t="str">
        <x:v>字段</x:v>
      </x:c>
      <x:c r="C127" s="17" t="n">
        <x:v>1</x:v>
      </x:c>
      <x:c r="D127" s="6" t="str">
        <x:v>海能未来技术集团股份有限公司</x:v>
      </x:c>
      <x:c r="E127" s="6" t="str">
        <x:v>科学仪器-有机元素分析系列产品营业收入</x:v>
      </x:c>
      <x:c r="F127" s="6" t="str">
        <x:v>50164115.07</x:v>
      </x:c>
      <x:c r="G127" s="6" t="str">
        <x:v>人民币元</x:v>
      </x:c>
      <x:c r="H127" s="20" t="d">
        <x:v>2026-08-17T00:00:00.000Z</x:v>
      </x:c>
      <x:c r="I127"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27" s="6" t="str">
        <x:v>F001</x:v>
      </x:c>
      <x:c r="K127" s="6" t="str">
        <x:v>纳入字段</x:v>
      </x:c>
      <x:c r="L127" s="6" t="str">
        <x:v>已核实原值</x:v>
      </x:c>
    </x:row>
    <x:row r="128" ht="72" customHeight="1">
      <x:c r="A128" s="6" t="str">
        <x:v>R0116</x:v>
      </x:c>
      <x:c r="B128" s="6" t="str">
        <x:v>字段</x:v>
      </x:c>
      <x:c r="C128" s="17" t="n">
        <x:v>2</x:v>
      </x:c>
      <x:c r="D128" s="6" t="str">
        <x:v>海能未来技术集团股份有限公司</x:v>
      </x:c>
      <x:c r="E128" s="6" t="str">
        <x:v>科学仪器-有机元素分析系列产品营业收入</x:v>
      </x:c>
      <x:c r="F128" s="6" t="str"/>
      <x:c r="G128" s="6" t="str">
        <x:v>人民币元</x:v>
      </x:c>
      <x:c r="H128" s="20" t="d">
        <x:v>2026-08-17T00:00:00.000Z</x:v>
      </x:c>
      <x:c r="I128" s="6" t="str">
        <x:v>24.40 2,384,354.84 60.73% 13.78% -4.03% 增加 7.29
个百分点 
原材料及耗材 11,914,165.64 4,353,032.72 63.46% 16.13% -6.05% 增加 8.62
个百分点 
其他业务收入 465,010.03 21,283.05 95.42% -52.33% -88.54% 增加 14.46
个百分点 
合计 158,557,611.34 58,722,150.96 - - - -</x:v>
      </x:c>
      <x:c r="J128" s="6" t="str">
        <x:v>F001</x:v>
      </x:c>
      <x:c r="K128" s="6" t="str">
        <x:v>纳入字段</x:v>
      </x:c>
      <x:c r="L128" s="6" t="str"/>
    </x:row>
    <x:row r="129" ht="136" customHeight="1">
      <x:c r="A129" s="6" t="str">
        <x:v>R0117</x:v>
      </x:c>
      <x:c r="B129" s="6" t="str">
        <x:v>字段</x:v>
      </x:c>
      <x:c r="C129" s="17" t="n">
        <x:v>1</x:v>
      </x:c>
      <x:c r="D129" s="6" t="str">
        <x:v>海能未来技术集团股份有限公司</x:v>
      </x:c>
      <x:c r="E129" s="6" t="str">
        <x:v>科学仪器-有机元素分析系列产品毛利率</x:v>
      </x:c>
      <x:c r="F129" s="6" t="str">
        <x:v>75.35</x:v>
      </x:c>
      <x:c r="G129" s="6" t="str">
        <x:v>%</x:v>
      </x:c>
      <x:c r="H129" s="20" t="d">
        <x:v>2026-08-17T00:00:00.000Z</x:v>
      </x:c>
      <x:c r="I129"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29" s="6" t="str">
        <x:v>F001</x:v>
      </x:c>
      <x:c r="K129" s="6" t="str">
        <x:v>纳入字段</x:v>
      </x:c>
      <x:c r="L129" s="6" t="str">
        <x:v>已核实原值</x:v>
      </x:c>
    </x:row>
    <x:row r="130" ht="72" customHeight="1">
      <x:c r="A130" s="6" t="str">
        <x:v>R0117</x:v>
      </x:c>
      <x:c r="B130" s="6" t="str">
        <x:v>字段</x:v>
      </x:c>
      <x:c r="C130" s="17" t="n">
        <x:v>2</x:v>
      </x:c>
      <x:c r="D130" s="6" t="str">
        <x:v>海能未来技术集团股份有限公司</x:v>
      </x:c>
      <x:c r="E130" s="6" t="str">
        <x:v>科学仪器-有机元素分析系列产品毛利率</x:v>
      </x:c>
      <x:c r="F130" s="6" t="str"/>
      <x:c r="G130" s="6" t="str">
        <x:v>%</x:v>
      </x:c>
      <x:c r="H130" s="20" t="d">
        <x:v>2026-08-17T00:00:00.000Z</x:v>
      </x:c>
      <x:c r="I130" s="6" t="str">
        <x:v>24.40 2,384,354.84 60.73% 13.78% -4.03% 增加 7.29
个百分点 
原材料及耗材 11,914,165.64 4,353,032.72 63.46% 16.13% -6.05% 增加 8.62
个百分点 
其他业务收入 465,010.03 21,283.05 95.42% -52.33% -88.54% 增加 14.46
个百分点 
合计 158,557,611.34 58,722,150.96 - - - -</x:v>
      </x:c>
      <x:c r="J130" s="6" t="str">
        <x:v>F001</x:v>
      </x:c>
      <x:c r="K130" s="6" t="str">
        <x:v>纳入字段</x:v>
      </x:c>
      <x:c r="L130" s="6" t="str"/>
    </x:row>
    <x:row r="131" ht="136" customHeight="1">
      <x:c r="A131" s="6" t="str">
        <x:v>R0118</x:v>
      </x:c>
      <x:c r="B131" s="6" t="str">
        <x:v>字段</x:v>
      </x:c>
      <x:c r="C131" s="17" t="n">
        <x:v>1</x:v>
      </x:c>
      <x:c r="D131" s="6" t="str">
        <x:v>海能未来技术集团股份有限公司</x:v>
      </x:c>
      <x:c r="E131" s="6" t="str">
        <x:v>科学仪器-色谱光谱系列产品营业收入</x:v>
      </x:c>
      <x:c r="F131" s="6" t="str">
        <x:v>44418545.52</x:v>
      </x:c>
      <x:c r="G131" s="6" t="str">
        <x:v>人民币元</x:v>
      </x:c>
      <x:c r="H131" s="20" t="d">
        <x:v>2026-08-17T00:00:00.000Z</x:v>
      </x:c>
      <x:c r="I131"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31" s="6" t="str">
        <x:v>F001</x:v>
      </x:c>
      <x:c r="K131" s="6" t="str">
        <x:v>纳入字段</x:v>
      </x:c>
      <x:c r="L131" s="6" t="str">
        <x:v>已核实原值</x:v>
      </x:c>
    </x:row>
    <x:row r="132" ht="72" customHeight="1">
      <x:c r="A132" s="6" t="str">
        <x:v>R0118</x:v>
      </x:c>
      <x:c r="B132" s="6" t="str">
        <x:v>字段</x:v>
      </x:c>
      <x:c r="C132" s="17" t="n">
        <x:v>2</x:v>
      </x:c>
      <x:c r="D132" s="6" t="str">
        <x:v>海能未来技术集团股份有限公司</x:v>
      </x:c>
      <x:c r="E132" s="6" t="str">
        <x:v>科学仪器-色谱光谱系列产品营业收入</x:v>
      </x:c>
      <x:c r="F132" s="6" t="str"/>
      <x:c r="G132" s="6" t="str">
        <x:v>人民币元</x:v>
      </x:c>
      <x:c r="H132" s="20" t="d">
        <x:v>2026-08-17T00:00:00.000Z</x:v>
      </x:c>
      <x:c r="I132" s="6" t="str">
        <x:v>24.40 2,384,354.84 60.73% 13.78% -4.03% 增加 7.29
个百分点 
原材料及耗材 11,914,165.64 4,353,032.72 63.46% 16.13% -6.05% 增加 8.62
个百分点 
其他业务收入 465,010.03 21,283.05 95.42% -52.33% -88.54% 增加 14.46
个百分点 
合计 158,557,611.34 58,722,150.96 - - - -</x:v>
      </x:c>
      <x:c r="J132" s="6" t="str">
        <x:v>F001</x:v>
      </x:c>
      <x:c r="K132" s="6" t="str">
        <x:v>纳入字段</x:v>
      </x:c>
      <x:c r="L132" s="6" t="str"/>
    </x:row>
    <x:row r="133" ht="136" customHeight="1">
      <x:c r="A133" s="6" t="str">
        <x:v>R0119</x:v>
      </x:c>
      <x:c r="B133" s="6" t="str">
        <x:v>字段</x:v>
      </x:c>
      <x:c r="C133" s="17" t="n">
        <x:v>1</x:v>
      </x:c>
      <x:c r="D133" s="6" t="str">
        <x:v>海能未来技术集团股份有限公司</x:v>
      </x:c>
      <x:c r="E133" s="6" t="str">
        <x:v>科学仪器-色谱光谱系列产品毛利率</x:v>
      </x:c>
      <x:c r="F133" s="6" t="str">
        <x:v>51.69</x:v>
      </x:c>
      <x:c r="G133" s="6" t="str">
        <x:v>%</x:v>
      </x:c>
      <x:c r="H133" s="20" t="d">
        <x:v>2026-08-17T00:00:00.000Z</x:v>
      </x:c>
      <x:c r="I133"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33" s="6" t="str">
        <x:v>F001</x:v>
      </x:c>
      <x:c r="K133" s="6" t="str">
        <x:v>纳入字段</x:v>
      </x:c>
      <x:c r="L133" s="6" t="str">
        <x:v>已核实原值</x:v>
      </x:c>
    </x:row>
    <x:row r="134" ht="72" customHeight="1">
      <x:c r="A134" s="6" t="str">
        <x:v>R0119</x:v>
      </x:c>
      <x:c r="B134" s="6" t="str">
        <x:v>字段</x:v>
      </x:c>
      <x:c r="C134" s="17" t="n">
        <x:v>2</x:v>
      </x:c>
      <x:c r="D134" s="6" t="str">
        <x:v>海能未来技术集团股份有限公司</x:v>
      </x:c>
      <x:c r="E134" s="6" t="str">
        <x:v>科学仪器-色谱光谱系列产品毛利率</x:v>
      </x:c>
      <x:c r="F134" s="6" t="str"/>
      <x:c r="G134" s="6" t="str">
        <x:v>%</x:v>
      </x:c>
      <x:c r="H134" s="20" t="d">
        <x:v>2026-08-17T00:00:00.000Z</x:v>
      </x:c>
      <x:c r="I134" s="6" t="str">
        <x:v>24.40 2,384,354.84 60.73% 13.78% -4.03% 增加 7.29
个百分点 
原材料及耗材 11,914,165.64 4,353,032.72 63.46% 16.13% -6.05% 增加 8.62
个百分点 
其他业务收入 465,010.03 21,283.05 95.42% -52.33% -88.54% 增加 14.46
个百分点 
合计 158,557,611.34 58,722,150.96 - - - -</x:v>
      </x:c>
      <x:c r="J134" s="6" t="str">
        <x:v>F001</x:v>
      </x:c>
      <x:c r="K134" s="6" t="str">
        <x:v>纳入字段</x:v>
      </x:c>
      <x:c r="L134" s="6" t="str"/>
    </x:row>
    <x:row r="135" ht="136" customHeight="1">
      <x:c r="A135" s="6" t="str">
        <x:v>R0120</x:v>
      </x:c>
      <x:c r="B135" s="6" t="str">
        <x:v>字段</x:v>
      </x:c>
      <x:c r="C135" s="17" t="n">
        <x:v>1</x:v>
      </x:c>
      <x:c r="D135" s="6" t="str">
        <x:v>海能未来技术集团股份有限公司</x:v>
      </x:c>
      <x:c r="E135" s="6" t="str">
        <x:v>科学仪器-样品前处理系列产品营业收入</x:v>
      </x:c>
      <x:c r="F135" s="6" t="str">
        <x:v>27583221.21</x:v>
      </x:c>
      <x:c r="G135" s="6" t="str">
        <x:v>人民币元</x:v>
      </x:c>
      <x:c r="H135" s="20" t="d">
        <x:v>2026-08-17T00:00:00.000Z</x:v>
      </x:c>
      <x:c r="I135"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35" s="6" t="str">
        <x:v>F001</x:v>
      </x:c>
      <x:c r="K135" s="6" t="str">
        <x:v>纳入字段</x:v>
      </x:c>
      <x:c r="L135" s="6" t="str">
        <x:v>已核实原值</x:v>
      </x:c>
    </x:row>
    <x:row r="136" ht="72" customHeight="1">
      <x:c r="A136" s="6" t="str">
        <x:v>R0120</x:v>
      </x:c>
      <x:c r="B136" s="6" t="str">
        <x:v>字段</x:v>
      </x:c>
      <x:c r="C136" s="17" t="n">
        <x:v>2</x:v>
      </x:c>
      <x:c r="D136" s="6" t="str">
        <x:v>海能未来技术集团股份有限公司</x:v>
      </x:c>
      <x:c r="E136" s="6" t="str">
        <x:v>科学仪器-样品前处理系列产品营业收入</x:v>
      </x:c>
      <x:c r="F136" s="6" t="str"/>
      <x:c r="G136" s="6" t="str">
        <x:v>人民币元</x:v>
      </x:c>
      <x:c r="H136" s="20" t="d">
        <x:v>2026-08-17T00:00:00.000Z</x:v>
      </x:c>
      <x:c r="I136" s="6" t="str">
        <x:v>24.40 2,384,354.84 60.73% 13.78% -4.03% 增加 7.29
个百分点 
原材料及耗材 11,914,165.64 4,353,032.72 63.46% 16.13% -6.05% 增加 8.62
个百分点 
其他业务收入 465,010.03 21,283.05 95.42% -52.33% -88.54% 增加 14.46
个百分点 
合计 158,557,611.34 58,722,150.96 - - - -</x:v>
      </x:c>
      <x:c r="J136" s="6" t="str">
        <x:v>F001</x:v>
      </x:c>
      <x:c r="K136" s="6" t="str">
        <x:v>纳入字段</x:v>
      </x:c>
      <x:c r="L136" s="6" t="str"/>
    </x:row>
    <x:row r="137" ht="136" customHeight="1">
      <x:c r="A137" s="6" t="str">
        <x:v>R0121</x:v>
      </x:c>
      <x:c r="B137" s="6" t="str">
        <x:v>字段</x:v>
      </x:c>
      <x:c r="C137" s="17" t="n">
        <x:v>1</x:v>
      </x:c>
      <x:c r="D137" s="6" t="str">
        <x:v>海能未来技术集团股份有限公司</x:v>
      </x:c>
      <x:c r="E137" s="6" t="str">
        <x:v>科学仪器-样品前处理系列产品毛利率</x:v>
      </x:c>
      <x:c r="F137" s="6" t="str">
        <x:v>58.43</x:v>
      </x:c>
      <x:c r="G137" s="6" t="str">
        <x:v>%</x:v>
      </x:c>
      <x:c r="H137" s="20" t="d">
        <x:v>2026-08-17T00:00:00.000Z</x:v>
      </x:c>
      <x:c r="I137"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37" s="6" t="str">
        <x:v>F001</x:v>
      </x:c>
      <x:c r="K137" s="6" t="str">
        <x:v>纳入字段</x:v>
      </x:c>
      <x:c r="L137" s="6" t="str">
        <x:v>已核实原值</x:v>
      </x:c>
    </x:row>
    <x:row r="138" ht="72" customHeight="1">
      <x:c r="A138" s="6" t="str">
        <x:v>R0121</x:v>
      </x:c>
      <x:c r="B138" s="6" t="str">
        <x:v>字段</x:v>
      </x:c>
      <x:c r="C138" s="17" t="n">
        <x:v>2</x:v>
      </x:c>
      <x:c r="D138" s="6" t="str">
        <x:v>海能未来技术集团股份有限公司</x:v>
      </x:c>
      <x:c r="E138" s="6" t="str">
        <x:v>科学仪器-样品前处理系列产品毛利率</x:v>
      </x:c>
      <x:c r="F138" s="6" t="str"/>
      <x:c r="G138" s="6" t="str">
        <x:v>%</x:v>
      </x:c>
      <x:c r="H138" s="20" t="d">
        <x:v>2026-08-17T00:00:00.000Z</x:v>
      </x:c>
      <x:c r="I138" s="6" t="str">
        <x:v>24.40 2,384,354.84 60.73% 13.78% -4.03% 增加 7.29
个百分点 
原材料及耗材 11,914,165.64 4,353,032.72 63.46% 16.13% -6.05% 增加 8.62
个百分点 
其他业务收入 465,010.03 21,283.05 95.42% -52.33% -88.54% 增加 14.46
个百分点 
合计 158,557,611.34 58,722,150.96 - - - -</x:v>
      </x:c>
      <x:c r="J138" s="6" t="str">
        <x:v>F001</x:v>
      </x:c>
      <x:c r="K138" s="6" t="str">
        <x:v>纳入字段</x:v>
      </x:c>
      <x:c r="L138" s="6" t="str"/>
    </x:row>
    <x:row r="139" ht="136" customHeight="1">
      <x:c r="A139" s="6" t="str">
        <x:v>R0122</x:v>
      </x:c>
      <x:c r="B139" s="6" t="str">
        <x:v>字段</x:v>
      </x:c>
      <x:c r="C139" s="17" t="n">
        <x:v>1</x:v>
      </x:c>
      <x:c r="D139" s="6" t="str">
        <x:v>海能未来技术集团股份有限公司</x:v>
      </x:c>
      <x:c r="E139" s="6" t="str">
        <x:v>科学仪器-通用仪器系列产品营业收入</x:v>
      </x:c>
      <x:c r="F139" s="6" t="str">
        <x:v>17940629.47</x:v>
      </x:c>
      <x:c r="G139" s="6" t="str">
        <x:v>人民币元</x:v>
      </x:c>
      <x:c r="H139" s="20" t="d">
        <x:v>2026-08-17T00:00:00.000Z</x:v>
      </x:c>
      <x:c r="I139"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39" s="6" t="str">
        <x:v>F001</x:v>
      </x:c>
      <x:c r="K139" s="6" t="str">
        <x:v>纳入字段</x:v>
      </x:c>
      <x:c r="L139" s="6" t="str">
        <x:v>已核实原值</x:v>
      </x:c>
    </x:row>
    <x:row r="140" ht="72" customHeight="1">
      <x:c r="A140" s="6" t="str">
        <x:v>R0122</x:v>
      </x:c>
      <x:c r="B140" s="6" t="str">
        <x:v>字段</x:v>
      </x:c>
      <x:c r="C140" s="17" t="n">
        <x:v>2</x:v>
      </x:c>
      <x:c r="D140" s="6" t="str">
        <x:v>海能未来技术集团股份有限公司</x:v>
      </x:c>
      <x:c r="E140" s="6" t="str">
        <x:v>科学仪器-通用仪器系列产品营业收入</x:v>
      </x:c>
      <x:c r="F140" s="6" t="str"/>
      <x:c r="G140" s="6" t="str">
        <x:v>人民币元</x:v>
      </x:c>
      <x:c r="H140" s="20" t="d">
        <x:v>2026-08-17T00:00:00.000Z</x:v>
      </x:c>
      <x:c r="I140" s="6" t="str">
        <x:v>24.40 2,384,354.84 60.73% 13.78% -4.03% 增加 7.29
个百分点 
原材料及耗材 11,914,165.64 4,353,032.72 63.46% 16.13% -6.05% 增加 8.62
个百分点 
其他业务收入 465,010.03 21,283.05 95.42% -52.33% -88.54% 增加 14.46
个百分点 
合计 158,557,611.34 58,722,150.96 - - - -</x:v>
      </x:c>
      <x:c r="J140" s="6" t="str">
        <x:v>F001</x:v>
      </x:c>
      <x:c r="K140" s="6" t="str">
        <x:v>纳入字段</x:v>
      </x:c>
      <x:c r="L140" s="6" t="str"/>
    </x:row>
    <x:row r="141" ht="136" customHeight="1">
      <x:c r="A141" s="6" t="str">
        <x:v>R0123</x:v>
      </x:c>
      <x:c r="B141" s="6" t="str">
        <x:v>字段</x:v>
      </x:c>
      <x:c r="C141" s="17" t="n">
        <x:v>1</x:v>
      </x:c>
      <x:c r="D141" s="6" t="str">
        <x:v>海能未来技术集团股份有限公司</x:v>
      </x:c>
      <x:c r="E141" s="6" t="str">
        <x:v>科学仪器-通用仪器系列产品毛利率</x:v>
      </x:c>
      <x:c r="F141" s="6" t="str">
        <x:v>62.79</x:v>
      </x:c>
      <x:c r="G141" s="6" t="str">
        <x:v>%</x:v>
      </x:c>
      <x:c r="H141" s="20" t="d">
        <x:v>2026-08-17T00:00:00.000Z</x:v>
      </x:c>
      <x:c r="I141"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41" s="6" t="str">
        <x:v>F001</x:v>
      </x:c>
      <x:c r="K141" s="6" t="str">
        <x:v>纳入字段</x:v>
      </x:c>
      <x:c r="L141" s="6" t="str">
        <x:v>已核实原值</x:v>
      </x:c>
    </x:row>
    <x:row r="142" ht="72" customHeight="1">
      <x:c r="A142" s="6" t="str">
        <x:v>R0123</x:v>
      </x:c>
      <x:c r="B142" s="6" t="str">
        <x:v>字段</x:v>
      </x:c>
      <x:c r="C142" s="17" t="n">
        <x:v>2</x:v>
      </x:c>
      <x:c r="D142" s="6" t="str">
        <x:v>海能未来技术集团股份有限公司</x:v>
      </x:c>
      <x:c r="E142" s="6" t="str">
        <x:v>科学仪器-通用仪器系列产品毛利率</x:v>
      </x:c>
      <x:c r="F142" s="6" t="str"/>
      <x:c r="G142" s="6" t="str">
        <x:v>%</x:v>
      </x:c>
      <x:c r="H142" s="20" t="d">
        <x:v>2026-08-17T00:00:00.000Z</x:v>
      </x:c>
      <x:c r="I142" s="6" t="str">
        <x:v>24.40 2,384,354.84 60.73% 13.78% -4.03% 增加 7.29
个百分点 
原材料及耗材 11,914,165.64 4,353,032.72 63.46% 16.13% -6.05% 增加 8.62
个百分点 
其他业务收入 465,010.03 21,283.05 95.42% -52.33% -88.54% 增加 14.46
个百分点 
合计 158,557,611.34 58,722,150.96 - - - -</x:v>
      </x:c>
      <x:c r="J142" s="6" t="str">
        <x:v>F001</x:v>
      </x:c>
      <x:c r="K142" s="6" t="str">
        <x:v>纳入字段</x:v>
      </x:c>
      <x:c r="L142" s="6" t="str"/>
    </x:row>
    <x:row r="143" ht="136" customHeight="1">
      <x:c r="A143" s="6" t="str">
        <x:v>R0124</x:v>
      </x:c>
      <x:c r="B143" s="6" t="str">
        <x:v>字段</x:v>
      </x:c>
      <x:c r="C143" s="17" t="n">
        <x:v>1</x:v>
      </x:c>
      <x:c r="D143" s="6" t="str">
        <x:v>海能未来技术集团股份有限公司</x:v>
      </x:c>
      <x:c r="E143" s="6" t="str">
        <x:v>维修服务及技术服务营业收入</x:v>
      </x:c>
      <x:c r="F143" s="6" t="str">
        <x:v>6071924.4</x:v>
      </x:c>
      <x:c r="G143" s="6" t="str">
        <x:v>人民币元</x:v>
      </x:c>
      <x:c r="H143" s="20" t="d">
        <x:v>2026-08-17T00:00:00.000Z</x:v>
      </x:c>
      <x:c r="I143"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43" s="6" t="str">
        <x:v>F001</x:v>
      </x:c>
      <x:c r="K143" s="6" t="str">
        <x:v>纳入字段</x:v>
      </x:c>
      <x:c r="L143" s="6" t="str">
        <x:v>已核实原值</x:v>
      </x:c>
    </x:row>
    <x:row r="144" ht="72" customHeight="1">
      <x:c r="A144" s="6" t="str">
        <x:v>R0124</x:v>
      </x:c>
      <x:c r="B144" s="6" t="str">
        <x:v>字段</x:v>
      </x:c>
      <x:c r="C144" s="17" t="n">
        <x:v>2</x:v>
      </x:c>
      <x:c r="D144" s="6" t="str">
        <x:v>海能未来技术集团股份有限公司</x:v>
      </x:c>
      <x:c r="E144" s="6" t="str">
        <x:v>维修服务及技术服务营业收入</x:v>
      </x:c>
      <x:c r="F144" s="6" t="str"/>
      <x:c r="G144" s="6" t="str">
        <x:v>人民币元</x:v>
      </x:c>
      <x:c r="H144" s="20" t="d">
        <x:v>2026-08-17T00:00:00.000Z</x:v>
      </x:c>
      <x:c r="I144" s="6" t="str">
        <x:v>24.40 2,384,354.84 60.73% 13.78% -4.03% 增加 7.29
个百分点 
原材料及耗材 11,914,165.64 4,353,032.72 63.46% 16.13% -6.05% 增加 8.62
个百分点 
其他业务收入 465,010.03 21,283.05 95.42% -52.33% -88.54% 增加 14.46
个百分点 
合计 158,557,611.34 58,722,150.96 - - - -</x:v>
      </x:c>
      <x:c r="J144" s="6" t="str">
        <x:v>F001</x:v>
      </x:c>
      <x:c r="K144" s="6" t="str">
        <x:v>纳入字段</x:v>
      </x:c>
      <x:c r="L144" s="6" t="str"/>
    </x:row>
    <x:row r="145" ht="136" customHeight="1">
      <x:c r="A145" s="6" t="str">
        <x:v>R0125</x:v>
      </x:c>
      <x:c r="B145" s="6" t="str">
        <x:v>字段</x:v>
      </x:c>
      <x:c r="C145" s="17" t="n">
        <x:v>1</x:v>
      </x:c>
      <x:c r="D145" s="6" t="str">
        <x:v>海能未来技术集团股份有限公司</x:v>
      </x:c>
      <x:c r="E145" s="6" t="str">
        <x:v>维修服务及技术服务毛利率</x:v>
      </x:c>
      <x:c r="F145" s="6" t="str">
        <x:v>60.73</x:v>
      </x:c>
      <x:c r="G145" s="6" t="str">
        <x:v>%</x:v>
      </x:c>
      <x:c r="H145" s="20" t="d">
        <x:v>2026-08-17T00:00:00.000Z</x:v>
      </x:c>
      <x:c r="I145"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45" s="6" t="str">
        <x:v>F001</x:v>
      </x:c>
      <x:c r="K145" s="6" t="str">
        <x:v>纳入字段</x:v>
      </x:c>
      <x:c r="L145" s="6" t="str">
        <x:v>已核实原值</x:v>
      </x:c>
    </x:row>
    <x:row r="146" ht="72" customHeight="1">
      <x:c r="A146" s="6" t="str">
        <x:v>R0125</x:v>
      </x:c>
      <x:c r="B146" s="6" t="str">
        <x:v>字段</x:v>
      </x:c>
      <x:c r="C146" s="17" t="n">
        <x:v>2</x:v>
      </x:c>
      <x:c r="D146" s="6" t="str">
        <x:v>海能未来技术集团股份有限公司</x:v>
      </x:c>
      <x:c r="E146" s="6" t="str">
        <x:v>维修服务及技术服务毛利率</x:v>
      </x:c>
      <x:c r="F146" s="6" t="str"/>
      <x:c r="G146" s="6" t="str">
        <x:v>%</x:v>
      </x:c>
      <x:c r="H146" s="20" t="d">
        <x:v>2026-08-17T00:00:00.000Z</x:v>
      </x:c>
      <x:c r="I146" s="6" t="str">
        <x:v>24.40 2,384,354.84 60.73% 13.78% -4.03% 增加 7.29
个百分点 
原材料及耗材 11,914,165.64 4,353,032.72 63.46% 16.13% -6.05% 增加 8.62
个百分点 
其他业务收入 465,010.03 21,283.05 95.42% -52.33% -88.54% 增加 14.46
个百分点 
合计 158,557,611.34 58,722,150.96 - - - -</x:v>
      </x:c>
      <x:c r="J146" s="6" t="str">
        <x:v>F001</x:v>
      </x:c>
      <x:c r="K146" s="6" t="str">
        <x:v>纳入字段</x:v>
      </x:c>
      <x:c r="L146" s="6" t="str"/>
    </x:row>
    <x:row r="147" ht="136" customHeight="1">
      <x:c r="A147" s="6" t="str">
        <x:v>R0126</x:v>
      </x:c>
      <x:c r="B147" s="6" t="str">
        <x:v>字段</x:v>
      </x:c>
      <x:c r="C147" s="17" t="n">
        <x:v>1</x:v>
      </x:c>
      <x:c r="D147" s="6" t="str">
        <x:v>海能未来技术集团股份有限公司</x:v>
      </x:c>
      <x:c r="E147" s="6" t="str">
        <x:v>原材料及耗材营业收入</x:v>
      </x:c>
      <x:c r="F147" s="6" t="str">
        <x:v>11914165.64</x:v>
      </x:c>
      <x:c r="G147" s="6" t="str">
        <x:v>人民币元</x:v>
      </x:c>
      <x:c r="H147" s="20" t="d">
        <x:v>2026-08-17T00:00:00.000Z</x:v>
      </x:c>
      <x:c r="I147"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47" s="6" t="str">
        <x:v>F001</x:v>
      </x:c>
      <x:c r="K147" s="6" t="str">
        <x:v>纳入字段</x:v>
      </x:c>
      <x:c r="L147" s="6" t="str">
        <x:v>已核实原值</x:v>
      </x:c>
    </x:row>
    <x:row r="148" ht="72" customHeight="1">
      <x:c r="A148" s="6" t="str">
        <x:v>R0126</x:v>
      </x:c>
      <x:c r="B148" s="6" t="str">
        <x:v>字段</x:v>
      </x:c>
      <x:c r="C148" s="17" t="n">
        <x:v>2</x:v>
      </x:c>
      <x:c r="D148" s="6" t="str">
        <x:v>海能未来技术集团股份有限公司</x:v>
      </x:c>
      <x:c r="E148" s="6" t="str">
        <x:v>原材料及耗材营业收入</x:v>
      </x:c>
      <x:c r="F148" s="6" t="str"/>
      <x:c r="G148" s="6" t="str">
        <x:v>人民币元</x:v>
      </x:c>
      <x:c r="H148" s="20" t="d">
        <x:v>2026-08-17T00:00:00.000Z</x:v>
      </x:c>
      <x:c r="I148" s="6" t="str">
        <x:v>24.40 2,384,354.84 60.73% 13.78% -4.03% 增加 7.29
个百分点 
原材料及耗材 11,914,165.64 4,353,032.72 63.46% 16.13% -6.05% 增加 8.62
个百分点 
其他业务收入 465,010.03 21,283.05 95.42% -52.33% -88.54% 增加 14.46
个百分点 
合计 158,557,611.34 58,722,150.96 - - - -</x:v>
      </x:c>
      <x:c r="J148" s="6" t="str">
        <x:v>F001</x:v>
      </x:c>
      <x:c r="K148" s="6" t="str">
        <x:v>纳入字段</x:v>
      </x:c>
      <x:c r="L148" s="6" t="str"/>
    </x:row>
    <x:row r="149" ht="136" customHeight="1">
      <x:c r="A149" s="6" t="str">
        <x:v>R0127</x:v>
      </x:c>
      <x:c r="B149" s="6" t="str">
        <x:v>字段</x:v>
      </x:c>
      <x:c r="C149" s="17" t="n">
        <x:v>1</x:v>
      </x:c>
      <x:c r="D149" s="6" t="str">
        <x:v>海能未来技术集团股份有限公司</x:v>
      </x:c>
      <x:c r="E149" s="6" t="str">
        <x:v>原材料及耗材毛利率</x:v>
      </x:c>
      <x:c r="F149" s="6" t="str">
        <x:v>63.46</x:v>
      </x:c>
      <x:c r="G149" s="6" t="str">
        <x:v>%</x:v>
      </x:c>
      <x:c r="H149" s="20" t="d">
        <x:v>2026-08-17T00:00:00.000Z</x:v>
      </x:c>
      <x:c r="I149" s="6" t="str">
        <x:v>PDF物理第16页：单位：元 
类别/项目 营业收入 营业成本 毛利率% 
营业收
入比上
年同期 
增减% 
营业成
本比上
年同期
增减% 
毛利率比
上年同期
增减 
科学仪器-有机元素
分析系列产品 
50,164,115.07 12,363,532.75 75.35% 10.25% 10.69% 减少 0.10
个百分点 
科学仪器-色谱光谱
系列产品 
44,418,545.52 21,458,011.02 51.69% 50.57% 53.52% 减少 0.93
个百分点 
科学仪器-样品前处
理系列产品 
27,583,221.21 11,466,075.28 58.43% 2.63% 7.92% 减少 2.04
个百分点 
科学仪器-通用仪器
系列产品 
17,940,629.47 6,675,861.30 62.79% 1.82% 3.35% 减少 0.55
个百分点 
维修服务及技术服
务 
6,071,9</x:v>
      </x:c>
      <x:c r="J149" s="6" t="str">
        <x:v>F001</x:v>
      </x:c>
      <x:c r="K149" s="6" t="str">
        <x:v>纳入字段</x:v>
      </x:c>
      <x:c r="L149" s="6" t="str">
        <x:v>已核实原值</x:v>
      </x:c>
    </x:row>
    <x:row r="150" ht="72" customHeight="1">
      <x:c r="A150" s="6" t="str">
        <x:v>R0127</x:v>
      </x:c>
      <x:c r="B150" s="6" t="str">
        <x:v>字段</x:v>
      </x:c>
      <x:c r="C150" s="17" t="n">
        <x:v>2</x:v>
      </x:c>
      <x:c r="D150" s="6" t="str">
        <x:v>海能未来技术集团股份有限公司</x:v>
      </x:c>
      <x:c r="E150" s="6" t="str">
        <x:v>原材料及耗材毛利率</x:v>
      </x:c>
      <x:c r="F150" s="6" t="str"/>
      <x:c r="G150" s="6" t="str">
        <x:v>%</x:v>
      </x:c>
      <x:c r="H150" s="20" t="d">
        <x:v>2026-08-17T00:00:00.000Z</x:v>
      </x:c>
      <x:c r="I150" s="6" t="str">
        <x:v>24.40 2,384,354.84 60.73% 13.78% -4.03% 增加 7.29
个百分点 
原材料及耗材 11,914,165.64 4,353,032.72 63.46% 16.13% -6.05% 增加 8.62
个百分点 
其他业务收入 465,010.03 21,283.05 95.42% -52.33% -88.54% 增加 14.46
个百分点 
合计 158,557,611.34 58,722,150.96 - - - -</x:v>
      </x:c>
      <x:c r="J150" s="6" t="str">
        <x:v>F001</x:v>
      </x:c>
      <x:c r="K150" s="6" t="str">
        <x:v>纳入字段</x:v>
      </x:c>
      <x:c r="L150" s="6" t="str"/>
    </x:row>
    <x:row r="151" ht="40" customHeight="1">
      <x:c r="A151" s="6" t="str">
        <x:v>R0128</x:v>
      </x:c>
      <x:c r="B151" s="6" t="str">
        <x:v>字段</x:v>
      </x:c>
      <x:c r="C151" s="17" t="n">
        <x:v>1</x:v>
      </x:c>
      <x:c r="D151" s="6" t="str">
        <x:v>海能未来技术集团股份有限公司</x:v>
      </x:c>
      <x:c r="E151" s="6" t="str">
        <x:v>国内营业收入</x:v>
      </x:c>
      <x:c r="F151" s="6" t="str">
        <x:v>121893694.98</x:v>
      </x:c>
      <x:c r="G151" s="6" t="str">
        <x:v>人民币元</x:v>
      </x:c>
      <x:c r="H151" s="20" t="d">
        <x:v>2026-08-17T00:00:00.000Z</x:v>
      </x:c>
      <x:c r="I151" s="6" t="str">
        <x:v>PDF物理第17页：单位：元；分地区/类别 营业收入 营业成本 毛利率%；国内 121,893,694.98 40,838,612.20 66.50%</x:v>
      </x:c>
      <x:c r="J151" s="6" t="str">
        <x:v>F001</x:v>
      </x:c>
      <x:c r="K151" s="6" t="str">
        <x:v>纳入字段</x:v>
      </x:c>
      <x:c r="L151" s="6" t="str">
        <x:v>已核实原值</x:v>
      </x:c>
    </x:row>
    <x:row r="152" ht="40" customHeight="1">
      <x:c r="A152" s="6" t="str">
        <x:v>R0129</x:v>
      </x:c>
      <x:c r="B152" s="6" t="str">
        <x:v>字段</x:v>
      </x:c>
      <x:c r="C152" s="17" t="n">
        <x:v>1</x:v>
      </x:c>
      <x:c r="D152" s="6" t="str">
        <x:v>海能未来技术集团股份有限公司</x:v>
      </x:c>
      <x:c r="E152" s="6" t="str">
        <x:v>国内营业成本</x:v>
      </x:c>
      <x:c r="F152" s="6" t="str">
        <x:v>40838612.2</x:v>
      </x:c>
      <x:c r="G152" s="6" t="str">
        <x:v>人民币元</x:v>
      </x:c>
      <x:c r="H152" s="20" t="d">
        <x:v>2026-08-17T00:00:00.000Z</x:v>
      </x:c>
      <x:c r="I152" s="6" t="str">
        <x:v>PDF物理第17页：单位：元；分地区/类别 营业收入 营业成本 毛利率%；国内 121,893,694.98 40,838,612.20 66.50%</x:v>
      </x:c>
      <x:c r="J152" s="6" t="str">
        <x:v>F001</x:v>
      </x:c>
      <x:c r="K152" s="6" t="str">
        <x:v>纳入字段</x:v>
      </x:c>
      <x:c r="L152" s="6" t="str">
        <x:v>已核实原值</x:v>
      </x:c>
    </x:row>
    <x:row r="153" ht="40" customHeight="1">
      <x:c r="A153" s="6" t="str">
        <x:v>R0130</x:v>
      </x:c>
      <x:c r="B153" s="6" t="str">
        <x:v>字段</x:v>
      </x:c>
      <x:c r="C153" s="17" t="n">
        <x:v>1</x:v>
      </x:c>
      <x:c r="D153" s="6" t="str">
        <x:v>海能未来技术集团股份有限公司</x:v>
      </x:c>
      <x:c r="E153" s="6" t="str">
        <x:v>国内毛利率</x:v>
      </x:c>
      <x:c r="F153" s="6" t="str">
        <x:v>66.5</x:v>
      </x:c>
      <x:c r="G153" s="6" t="str">
        <x:v>%</x:v>
      </x:c>
      <x:c r="H153" s="20" t="d">
        <x:v>2026-08-17T00:00:00.000Z</x:v>
      </x:c>
      <x:c r="I153" s="6" t="str">
        <x:v>PDF物理第17页：单位：元；分地区/类别 营业收入 营业成本 毛利率%；国内 121,893,694.98 40,838,612.20 66.50%</x:v>
      </x:c>
      <x:c r="J153" s="6" t="str">
        <x:v>F001</x:v>
      </x:c>
      <x:c r="K153" s="6" t="str">
        <x:v>纳入字段</x:v>
      </x:c>
      <x:c r="L153" s="6" t="str">
        <x:v>已核实原值</x:v>
      </x:c>
    </x:row>
    <x:row r="154" ht="40" customHeight="1">
      <x:c r="A154" s="6" t="str">
        <x:v>R0131</x:v>
      </x:c>
      <x:c r="B154" s="6" t="str">
        <x:v>字段</x:v>
      </x:c>
      <x:c r="C154" s="17" t="n">
        <x:v>1</x:v>
      </x:c>
      <x:c r="D154" s="6" t="str">
        <x:v>海能未来技术集团股份有限公司</x:v>
      </x:c>
      <x:c r="E154" s="6" t="str">
        <x:v>国外营业收入</x:v>
      </x:c>
      <x:c r="F154" s="6" t="str">
        <x:v>36663916.36</x:v>
      </x:c>
      <x:c r="G154" s="6" t="str">
        <x:v>人民币元</x:v>
      </x:c>
      <x:c r="H154" s="20" t="d">
        <x:v>2026-08-17T00:00:00.000Z</x:v>
      </x:c>
      <x:c r="I154" s="6" t="str">
        <x:v>PDF物理第17页：单位：元；分地区/类别 营业收入 营业成本 毛利率%；国外 36,663,916.36 17,883,538.76 51.22%</x:v>
      </x:c>
      <x:c r="J154" s="6" t="str">
        <x:v>F001</x:v>
      </x:c>
      <x:c r="K154" s="6" t="str">
        <x:v>纳入字段</x:v>
      </x:c>
      <x:c r="L154" s="6" t="str">
        <x:v>已核实原值</x:v>
      </x:c>
    </x:row>
    <x:row r="155" ht="40" customHeight="1">
      <x:c r="A155" s="6" t="str">
        <x:v>R0132</x:v>
      </x:c>
      <x:c r="B155" s="6" t="str">
        <x:v>字段</x:v>
      </x:c>
      <x:c r="C155" s="17" t="n">
        <x:v>1</x:v>
      </x:c>
      <x:c r="D155" s="6" t="str">
        <x:v>海能未来技术集团股份有限公司</x:v>
      </x:c>
      <x:c r="E155" s="6" t="str">
        <x:v>国外营业成本</x:v>
      </x:c>
      <x:c r="F155" s="6" t="str">
        <x:v>17883538.76</x:v>
      </x:c>
      <x:c r="G155" s="6" t="str">
        <x:v>人民币元</x:v>
      </x:c>
      <x:c r="H155" s="20" t="d">
        <x:v>2026-08-17T00:00:00.000Z</x:v>
      </x:c>
      <x:c r="I155" s="6" t="str">
        <x:v>PDF物理第17页：单位：元；分地区/类别 营业收入 营业成本 毛利率%；国外 36,663,916.36 17,883,538.76 51.22%</x:v>
      </x:c>
      <x:c r="J155" s="6" t="str">
        <x:v>F001</x:v>
      </x:c>
      <x:c r="K155" s="6" t="str">
        <x:v>纳入字段</x:v>
      </x:c>
      <x:c r="L155" s="6" t="str">
        <x:v>已核实原值</x:v>
      </x:c>
    </x:row>
    <x:row r="156" ht="40" customHeight="1">
      <x:c r="A156" s="6" t="str">
        <x:v>R0133</x:v>
      </x:c>
      <x:c r="B156" s="6" t="str">
        <x:v>字段</x:v>
      </x:c>
      <x:c r="C156" s="17" t="n">
        <x:v>1</x:v>
      </x:c>
      <x:c r="D156" s="6" t="str">
        <x:v>海能未来技术集团股份有限公司</x:v>
      </x:c>
      <x:c r="E156" s="6" t="str">
        <x:v>国外毛利率</x:v>
      </x:c>
      <x:c r="F156" s="6" t="str">
        <x:v>51.22</x:v>
      </x:c>
      <x:c r="G156" s="6" t="str">
        <x:v>%</x:v>
      </x:c>
      <x:c r="H156" s="20" t="d">
        <x:v>2026-08-17T00:00:00.000Z</x:v>
      </x:c>
      <x:c r="I156" s="6" t="str">
        <x:v>PDF物理第17页：单位：元；分地区/类别 营业收入 营业成本 毛利率%；国外 36,663,916.36 17,883,538.76 51.22%</x:v>
      </x:c>
      <x:c r="J156" s="6" t="str">
        <x:v>F001</x:v>
      </x:c>
      <x:c r="K156" s="6" t="str">
        <x:v>纳入字段</x:v>
      </x:c>
      <x:c r="L156" s="6" t="str">
        <x:v>已核实原值</x:v>
      </x:c>
    </x:row>
    <x:row r="157" ht="40" customHeight="1">
      <x:c r="A157" s="6" t="str">
        <x:v>R0134</x:v>
      </x:c>
      <x:c r="B157" s="6" t="str">
        <x:v>字段</x:v>
      </x:c>
      <x:c r="C157" s="17" t="n">
        <x:v>1</x:v>
      </x:c>
      <x:c r="D157" s="6" t="str">
        <x:v>海能未来技术集团股份有限公司</x:v>
      </x:c>
      <x:c r="E157" s="6" t="str">
        <x:v>国内营业收入</x:v>
      </x:c>
      <x:c r="F157" s="6" t="str">
        <x:v>284062791.35</x:v>
      </x:c>
      <x:c r="G157" s="6" t="str">
        <x:v>人民币元</x:v>
      </x:c>
      <x:c r="H157" s="20" t="d">
        <x:v>2026-03-16T00:00:00.000Z</x:v>
      </x:c>
      <x:c r="I157" s="6" t="str">
        <x:v>PDF物理第23页：单位：元；分地区/类别 营业收入 营业成本 毛利率%；国内 284,062,791.35 91,722,335.36 67.71%</x:v>
      </x:c>
      <x:c r="J157" s="6" t="str">
        <x:v>F002</x:v>
      </x:c>
      <x:c r="K157" s="6" t="str">
        <x:v>纳入字段</x:v>
      </x:c>
      <x:c r="L157" s="6" t="str">
        <x:v>已核实原值</x:v>
      </x:c>
    </x:row>
    <x:row r="158" ht="40" customHeight="1">
      <x:c r="A158" s="6" t="str">
        <x:v>R0135</x:v>
      </x:c>
      <x:c r="B158" s="6" t="str">
        <x:v>字段</x:v>
      </x:c>
      <x:c r="C158" s="17" t="n">
        <x:v>1</x:v>
      </x:c>
      <x:c r="D158" s="6" t="str">
        <x:v>海能未来技术集团股份有限公司</x:v>
      </x:c>
      <x:c r="E158" s="6" t="str">
        <x:v>国内营业成本</x:v>
      </x:c>
      <x:c r="F158" s="6" t="str">
        <x:v>91722335.36</x:v>
      </x:c>
      <x:c r="G158" s="6" t="str">
        <x:v>人民币元</x:v>
      </x:c>
      <x:c r="H158" s="20" t="d">
        <x:v>2026-03-16T00:00:00.000Z</x:v>
      </x:c>
      <x:c r="I158" s="6" t="str">
        <x:v>PDF物理第23页：单位：元；分地区/类别 营业收入 营业成本 毛利率%；国内 284,062,791.35 91,722,335.36 67.71%</x:v>
      </x:c>
      <x:c r="J158" s="6" t="str">
        <x:v>F002</x:v>
      </x:c>
      <x:c r="K158" s="6" t="str">
        <x:v>纳入字段</x:v>
      </x:c>
      <x:c r="L158" s="6" t="str">
        <x:v>已核实原值</x:v>
      </x:c>
    </x:row>
    <x:row r="159" ht="40" customHeight="1">
      <x:c r="A159" s="6" t="str">
        <x:v>R0136</x:v>
      </x:c>
      <x:c r="B159" s="6" t="str">
        <x:v>字段</x:v>
      </x:c>
      <x:c r="C159" s="17" t="n">
        <x:v>1</x:v>
      </x:c>
      <x:c r="D159" s="6" t="str">
        <x:v>海能未来技术集团股份有限公司</x:v>
      </x:c>
      <x:c r="E159" s="6" t="str">
        <x:v>国内毛利率</x:v>
      </x:c>
      <x:c r="F159" s="6" t="str">
        <x:v>67.71</x:v>
      </x:c>
      <x:c r="G159" s="6" t="str">
        <x:v>%</x:v>
      </x:c>
      <x:c r="H159" s="20" t="d">
        <x:v>2026-03-16T00:00:00.000Z</x:v>
      </x:c>
      <x:c r="I159" s="6" t="str">
        <x:v>PDF物理第23页：单位：元；分地区/类别 营业收入 营业成本 毛利率%；国内 284,062,791.35 91,722,335.36 67.71%</x:v>
      </x:c>
      <x:c r="J159" s="6" t="str">
        <x:v>F002</x:v>
      </x:c>
      <x:c r="K159" s="6" t="str">
        <x:v>纳入字段</x:v>
      </x:c>
      <x:c r="L159" s="6" t="str">
        <x:v>已核实原值</x:v>
      </x:c>
    </x:row>
    <x:row r="160" ht="40" customHeight="1">
      <x:c r="A160" s="6" t="str">
        <x:v>R0137</x:v>
      </x:c>
      <x:c r="B160" s="6" t="str">
        <x:v>字段</x:v>
      </x:c>
      <x:c r="C160" s="17" t="n">
        <x:v>1</x:v>
      </x:c>
      <x:c r="D160" s="6" t="str">
        <x:v>海能未来技术集团股份有限公司</x:v>
      </x:c>
      <x:c r="E160" s="6" t="str">
        <x:v>国外营业收入</x:v>
      </x:c>
      <x:c r="F160" s="6" t="str">
        <x:v>77787374.19</x:v>
      </x:c>
      <x:c r="G160" s="6" t="str">
        <x:v>人民币元</x:v>
      </x:c>
      <x:c r="H160" s="20" t="d">
        <x:v>2026-03-16T00:00:00.000Z</x:v>
      </x:c>
      <x:c r="I160" s="6" t="str">
        <x:v>PDF物理第23页：单位：元；分地区/类别 营业收入 营业成本 毛利率%；国外 77,787,374.19 34,764,486.26 55.31%</x:v>
      </x:c>
      <x:c r="J160" s="6" t="str">
        <x:v>F002</x:v>
      </x:c>
      <x:c r="K160" s="6" t="str">
        <x:v>纳入字段</x:v>
      </x:c>
      <x:c r="L160" s="6" t="str">
        <x:v>已核实原值</x:v>
      </x:c>
    </x:row>
    <x:row r="161" ht="40" customHeight="1">
      <x:c r="A161" s="6" t="str">
        <x:v>R0138</x:v>
      </x:c>
      <x:c r="B161" s="6" t="str">
        <x:v>字段</x:v>
      </x:c>
      <x:c r="C161" s="17" t="n">
        <x:v>1</x:v>
      </x:c>
      <x:c r="D161" s="6" t="str">
        <x:v>海能未来技术集团股份有限公司</x:v>
      </x:c>
      <x:c r="E161" s="6" t="str">
        <x:v>国外营业成本</x:v>
      </x:c>
      <x:c r="F161" s="6" t="str">
        <x:v>34764486.26</x:v>
      </x:c>
      <x:c r="G161" s="6" t="str">
        <x:v>人民币元</x:v>
      </x:c>
      <x:c r="H161" s="20" t="d">
        <x:v>2026-03-16T00:00:00.000Z</x:v>
      </x:c>
      <x:c r="I161" s="6" t="str">
        <x:v>PDF物理第23页：单位：元；分地区/类别 营业收入 营业成本 毛利率%；国外 77,787,374.19 34,764,486.26 55.31%</x:v>
      </x:c>
      <x:c r="J161" s="6" t="str">
        <x:v>F002</x:v>
      </x:c>
      <x:c r="K161" s="6" t="str">
        <x:v>纳入字段</x:v>
      </x:c>
      <x:c r="L161" s="6" t="str">
        <x:v>已核实原值</x:v>
      </x:c>
    </x:row>
    <x:row r="162" ht="40" customHeight="1">
      <x:c r="A162" s="6" t="str">
        <x:v>R0139</x:v>
      </x:c>
      <x:c r="B162" s="6" t="str">
        <x:v>字段</x:v>
      </x:c>
      <x:c r="C162" s="17" t="n">
        <x:v>1</x:v>
      </x:c>
      <x:c r="D162" s="6" t="str">
        <x:v>海能未来技术集团股份有限公司</x:v>
      </x:c>
      <x:c r="E162" s="6" t="str">
        <x:v>国外毛利率</x:v>
      </x:c>
      <x:c r="F162" s="6" t="str">
        <x:v>55.31</x:v>
      </x:c>
      <x:c r="G162" s="6" t="str">
        <x:v>%</x:v>
      </x:c>
      <x:c r="H162" s="20" t="d">
        <x:v>2026-03-16T00:00:00.000Z</x:v>
      </x:c>
      <x:c r="I162" s="6" t="str">
        <x:v>PDF物理第23页：单位：元；分地区/类别 营业收入 营业成本 毛利率%；国外 77,787,374.19 34,764,486.26 55.31%</x:v>
      </x:c>
      <x:c r="J162" s="6" t="str">
        <x:v>F002</x:v>
      </x:c>
      <x:c r="K162" s="6" t="str">
        <x:v>纳入字段</x:v>
      </x:c>
      <x:c r="L162" s="6" t="str">
        <x:v>已核实原值</x:v>
      </x:c>
    </x:row>
    <x:row r="163" ht="40" customHeight="1">
      <x:c r="A163" s="6" t="str">
        <x:v>R0140</x:v>
      </x:c>
      <x:c r="B163" s="6" t="str">
        <x:v>字段</x:v>
      </x:c>
      <x:c r="C163" s="17" t="n">
        <x:v>1</x:v>
      </x:c>
      <x:c r="D163" s="6" t="str">
        <x:v>海能未来技术集团股份有限公司</x:v>
      </x:c>
      <x:c r="E163" s="6" t="str">
        <x:v>2025年前五客户第1名</x:v>
      </x:c>
      <x:c r="F163" s="6" t="str">
        <x:v>杭州国迈进出口有限公司</x:v>
      </x:c>
      <x:c r="G163" s="6" t="str"/>
      <x:c r="H163" s="20" t="d">
        <x:v>2026-03-16T00:00:00.000Z</x:v>
      </x:c>
      <x:c r="I163" s="6" t="str">
        <x:v>PDF物理第23页：单位：元；序号 客户 销售金额 年度占比% 是否存在关联关系；1 杭州国迈进出口有限公司 23,866,523.02 6.60% 否</x:v>
      </x:c>
      <x:c r="J163" s="6" t="str">
        <x:v>F002</x:v>
      </x:c>
      <x:c r="K163" s="6" t="str">
        <x:v>纳入字段</x:v>
      </x:c>
      <x:c r="L163" s="6" t="str">
        <x:v>已核实原值</x:v>
      </x:c>
    </x:row>
    <x:row r="164" ht="40" customHeight="1">
      <x:c r="A164" s="6" t="str">
        <x:v>R0141</x:v>
      </x:c>
      <x:c r="B164" s="6" t="str">
        <x:v>字段</x:v>
      </x:c>
      <x:c r="C164" s="17" t="n">
        <x:v>1</x:v>
      </x:c>
      <x:c r="D164" s="6" t="str">
        <x:v>海能未来技术集团股份有限公司</x:v>
      </x:c>
      <x:c r="E164" s="6" t="str">
        <x:v>杭州国迈进出口有限公司对应年度销售金额</x:v>
      </x:c>
      <x:c r="F164" s="6" t="str">
        <x:v>23866523.02</x:v>
      </x:c>
      <x:c r="G164" s="6" t="str">
        <x:v>人民币元</x:v>
      </x:c>
      <x:c r="H164" s="20" t="d">
        <x:v>2026-03-16T00:00:00.000Z</x:v>
      </x:c>
      <x:c r="I164" s="6" t="str">
        <x:v>PDF物理第23页：单位：元；序号 客户 销售金额 年度占比% 是否存在关联关系；1 杭州国迈进出口有限公司 23,866,523.02 6.60% 否</x:v>
      </x:c>
      <x:c r="J164" s="6" t="str">
        <x:v>F002</x:v>
      </x:c>
      <x:c r="K164" s="6" t="str">
        <x:v>纳入字段</x:v>
      </x:c>
      <x:c r="L164" s="6" t="str">
        <x:v>已核实原值</x:v>
      </x:c>
    </x:row>
    <x:row r="165" ht="40" customHeight="1">
      <x:c r="A165" s="6" t="str">
        <x:v>R0142</x:v>
      </x:c>
      <x:c r="B165" s="6" t="str">
        <x:v>字段</x:v>
      </x:c>
      <x:c r="C165" s="17" t="n">
        <x:v>1</x:v>
      </x:c>
      <x:c r="D165" s="6" t="str">
        <x:v>海能未来技术集团股份有限公司</x:v>
      </x:c>
      <x:c r="E165" s="6" t="str">
        <x:v>杭州国迈进出口有限公司对应年度占比</x:v>
      </x:c>
      <x:c r="F165" s="6" t="str">
        <x:v>6.6</x:v>
      </x:c>
      <x:c r="G165" s="6" t="str">
        <x:v>%</x:v>
      </x:c>
      <x:c r="H165" s="20" t="d">
        <x:v>2026-03-16T00:00:00.000Z</x:v>
      </x:c>
      <x:c r="I165" s="6" t="str">
        <x:v>PDF物理第23页：单位：元；序号 客户 销售金额 年度占比% 是否存在关联关系；1 杭州国迈进出口有限公司 23,866,523.02 6.60% 否</x:v>
      </x:c>
      <x:c r="J165" s="6" t="str">
        <x:v>F002</x:v>
      </x:c>
      <x:c r="K165" s="6" t="str">
        <x:v>纳入字段</x:v>
      </x:c>
      <x:c r="L165" s="6" t="str">
        <x:v>已核实原值</x:v>
      </x:c>
    </x:row>
    <x:row r="166" ht="40" customHeight="1">
      <x:c r="A166" s="6" t="str">
        <x:v>R0143</x:v>
      </x:c>
      <x:c r="B166" s="6" t="str">
        <x:v>字段</x:v>
      </x:c>
      <x:c r="C166" s="17" t="n">
        <x:v>1</x:v>
      </x:c>
      <x:c r="D166" s="6" t="str">
        <x:v>海能未来技术集团股份有限公司</x:v>
      </x:c>
      <x:c r="E166" s="6" t="str">
        <x:v>2025年前五客户第2名</x:v>
      </x:c>
      <x:c r="F166" s="6" t="str">
        <x:v>浙江省科学器材进出口有限责任公司</x:v>
      </x:c>
      <x:c r="G166" s="6" t="str"/>
      <x:c r="H166" s="20" t="d">
        <x:v>2026-03-16T00:00:00.000Z</x:v>
      </x:c>
      <x:c r="I166" s="6" t="str">
        <x:v>PDF物理第23页：单位：元；序号 客户 销售金额 年度占比% 是否存在关联关系；2 浙江省科学器材进出口有限责任公司 8,963,385.91 2.48% 否</x:v>
      </x:c>
      <x:c r="J166" s="6" t="str">
        <x:v>F002</x:v>
      </x:c>
      <x:c r="K166" s="6" t="str">
        <x:v>纳入字段</x:v>
      </x:c>
      <x:c r="L166" s="6" t="str">
        <x:v>已核实原值</x:v>
      </x:c>
    </x:row>
    <x:row r="167" ht="40" customHeight="1">
      <x:c r="A167" s="6" t="str">
        <x:v>R0144</x:v>
      </x:c>
      <x:c r="B167" s="6" t="str">
        <x:v>字段</x:v>
      </x:c>
      <x:c r="C167" s="17" t="n">
        <x:v>1</x:v>
      </x:c>
      <x:c r="D167" s="6" t="str">
        <x:v>海能未来技术集团股份有限公司</x:v>
      </x:c>
      <x:c r="E167" s="6" t="str">
        <x:v>浙江省科学器材进出口有限责任公司对应年度销售金额</x:v>
      </x:c>
      <x:c r="F167" s="6" t="str">
        <x:v>8963385.91</x:v>
      </x:c>
      <x:c r="G167" s="6" t="str">
        <x:v>人民币元</x:v>
      </x:c>
      <x:c r="H167" s="20" t="d">
        <x:v>2026-03-16T00:00:00.000Z</x:v>
      </x:c>
      <x:c r="I167" s="6" t="str">
        <x:v>PDF物理第23页：单位：元；序号 客户 销售金额 年度占比% 是否存在关联关系；2 浙江省科学器材进出口有限责任公司 8,963,385.91 2.48% 否</x:v>
      </x:c>
      <x:c r="J167" s="6" t="str">
        <x:v>F002</x:v>
      </x:c>
      <x:c r="K167" s="6" t="str">
        <x:v>纳入字段</x:v>
      </x:c>
      <x:c r="L167" s="6" t="str">
        <x:v>已核实原值</x:v>
      </x:c>
    </x:row>
    <x:row r="168" ht="40" customHeight="1">
      <x:c r="A168" s="6" t="str">
        <x:v>R0145</x:v>
      </x:c>
      <x:c r="B168" s="6" t="str">
        <x:v>字段</x:v>
      </x:c>
      <x:c r="C168" s="17" t="n">
        <x:v>1</x:v>
      </x:c>
      <x:c r="D168" s="6" t="str">
        <x:v>海能未来技术集团股份有限公司</x:v>
      </x:c>
      <x:c r="E168" s="6" t="str">
        <x:v>浙江省科学器材进出口有限责任公司对应年度占比</x:v>
      </x:c>
      <x:c r="F168" s="6" t="str">
        <x:v>2.48</x:v>
      </x:c>
      <x:c r="G168" s="6" t="str">
        <x:v>%</x:v>
      </x:c>
      <x:c r="H168" s="20" t="d">
        <x:v>2026-03-16T00:00:00.000Z</x:v>
      </x:c>
      <x:c r="I168" s="6" t="str">
        <x:v>PDF物理第23页：单位：元；序号 客户 销售金额 年度占比% 是否存在关联关系；2 浙江省科学器材进出口有限责任公司 8,963,385.91 2.48% 否</x:v>
      </x:c>
      <x:c r="J168" s="6" t="str">
        <x:v>F002</x:v>
      </x:c>
      <x:c r="K168" s="6" t="str">
        <x:v>纳入字段</x:v>
      </x:c>
      <x:c r="L168" s="6" t="str">
        <x:v>已核实原值</x:v>
      </x:c>
    </x:row>
    <x:row r="169" ht="40" customHeight="1">
      <x:c r="A169" s="6" t="str">
        <x:v>R0146</x:v>
      </x:c>
      <x:c r="B169" s="6" t="str">
        <x:v>字段</x:v>
      </x:c>
      <x:c r="C169" s="17" t="n">
        <x:v>1</x:v>
      </x:c>
      <x:c r="D169" s="6" t="str">
        <x:v>海能未来技术集团股份有限公司</x:v>
      </x:c>
      <x:c r="E169" s="6" t="str">
        <x:v>2025年前五客户第3名</x:v>
      </x:c>
      <x:c r="F169" s="6" t="str">
        <x:v>华测检测认证集团股份有限公司及其关联企业</x:v>
      </x:c>
      <x:c r="G169" s="6" t="str"/>
      <x:c r="H169" s="20" t="d">
        <x:v>2026-03-16T00:00:00.000Z</x:v>
      </x:c>
      <x:c r="I169" s="6" t="str">
        <x:v>PDF物理第23页：单位：元；序号 客户 销售金额 年度占比% 是否存在关联关系；3 华测检测认证集团股份有限公司及其关联企业 4,456,627.92 1.23% 否</x:v>
      </x:c>
      <x:c r="J169" s="6" t="str">
        <x:v>F002</x:v>
      </x:c>
      <x:c r="K169" s="6" t="str">
        <x:v>纳入字段</x:v>
      </x:c>
      <x:c r="L169" s="6" t="str">
        <x:v>已核实原值</x:v>
      </x:c>
    </x:row>
    <x:row r="170" ht="40" customHeight="1">
      <x:c r="A170" s="6" t="str">
        <x:v>R0147</x:v>
      </x:c>
      <x:c r="B170" s="6" t="str">
        <x:v>字段</x:v>
      </x:c>
      <x:c r="C170" s="17" t="n">
        <x:v>1</x:v>
      </x:c>
      <x:c r="D170" s="6" t="str">
        <x:v>海能未来技术集团股份有限公司</x:v>
      </x:c>
      <x:c r="E170" s="6" t="str">
        <x:v>华测检测认证集团股份有限公司及其关联企业对应年度销售金额</x:v>
      </x:c>
      <x:c r="F170" s="6" t="str">
        <x:v>4456627.92</x:v>
      </x:c>
      <x:c r="G170" s="6" t="str">
        <x:v>人民币元</x:v>
      </x:c>
      <x:c r="H170" s="20" t="d">
        <x:v>2026-03-16T00:00:00.000Z</x:v>
      </x:c>
      <x:c r="I170" s="6" t="str">
        <x:v>PDF物理第23页：单位：元；序号 客户 销售金额 年度占比% 是否存在关联关系；3 华测检测认证集团股份有限公司及其关联企业 4,456,627.92 1.23% 否</x:v>
      </x:c>
      <x:c r="J170" s="6" t="str">
        <x:v>F002</x:v>
      </x:c>
      <x:c r="K170" s="6" t="str">
        <x:v>纳入字段</x:v>
      </x:c>
      <x:c r="L170" s="6" t="str">
        <x:v>已核实原值</x:v>
      </x:c>
    </x:row>
    <x:row r="171" ht="40" customHeight="1">
      <x:c r="A171" s="6" t="str">
        <x:v>R0148</x:v>
      </x:c>
      <x:c r="B171" s="6" t="str">
        <x:v>字段</x:v>
      </x:c>
      <x:c r="C171" s="17" t="n">
        <x:v>1</x:v>
      </x:c>
      <x:c r="D171" s="6" t="str">
        <x:v>海能未来技术集团股份有限公司</x:v>
      </x:c>
      <x:c r="E171" s="6" t="str">
        <x:v>华测检测认证集团股份有限公司及其关联企业对应年度占比</x:v>
      </x:c>
      <x:c r="F171" s="6" t="str">
        <x:v>1.23</x:v>
      </x:c>
      <x:c r="G171" s="6" t="str">
        <x:v>%</x:v>
      </x:c>
      <x:c r="H171" s="20" t="d">
        <x:v>2026-03-16T00:00:00.000Z</x:v>
      </x:c>
      <x:c r="I171" s="6" t="str">
        <x:v>PDF物理第23页：单位：元；序号 客户 销售金额 年度占比% 是否存在关联关系；3 华测检测认证集团股份有限公司及其关联企业 4,456,627.92 1.23% 否</x:v>
      </x:c>
      <x:c r="J171" s="6" t="str">
        <x:v>F002</x:v>
      </x:c>
      <x:c r="K171" s="6" t="str">
        <x:v>纳入字段</x:v>
      </x:c>
      <x:c r="L171" s="6" t="str">
        <x:v>已核实原值</x:v>
      </x:c>
    </x:row>
    <x:row r="172" ht="40" customHeight="1">
      <x:c r="A172" s="6" t="str">
        <x:v>R0149</x:v>
      </x:c>
      <x:c r="B172" s="6" t="str">
        <x:v>字段</x:v>
      </x:c>
      <x:c r="C172" s="17" t="n">
        <x:v>1</x:v>
      </x:c>
      <x:c r="D172" s="6" t="str">
        <x:v>海能未来技术集团股份有限公司</x:v>
      </x:c>
      <x:c r="E172" s="6" t="str">
        <x:v>2025年前五客户第4名</x:v>
      </x:c>
      <x:c r="F172" s="6" t="str">
        <x:v>Lab Service Analytica s.r.l.</x:v>
      </x:c>
      <x:c r="G172" s="6" t="str"/>
      <x:c r="H172" s="20" t="d">
        <x:v>2026-03-16T00:00:00.000Z</x:v>
      </x:c>
      <x:c r="I172" s="6" t="str">
        <x:v>PDF物理第23页：单位：元；序号 客户 销售金额 年度占比% 是否存在关联关系；4 Lab Service Analytica s.r.l. 3,765,881.82 1.04% 否</x:v>
      </x:c>
      <x:c r="J172" s="6" t="str">
        <x:v>F002</x:v>
      </x:c>
      <x:c r="K172" s="6" t="str">
        <x:v>纳入字段</x:v>
      </x:c>
      <x:c r="L172" s="6" t="str">
        <x:v>已核实原值</x:v>
      </x:c>
    </x:row>
    <x:row r="173" ht="40" customHeight="1">
      <x:c r="A173" s="6" t="str">
        <x:v>R0150</x:v>
      </x:c>
      <x:c r="B173" s="6" t="str">
        <x:v>字段</x:v>
      </x:c>
      <x:c r="C173" s="17" t="n">
        <x:v>1</x:v>
      </x:c>
      <x:c r="D173" s="6" t="str">
        <x:v>海能未来技术集团股份有限公司</x:v>
      </x:c>
      <x:c r="E173" s="6" t="str">
        <x:v>Lab Service Analytica s.r.l.对应年度销售金额</x:v>
      </x:c>
      <x:c r="F173" s="6" t="str">
        <x:v>3765881.82</x:v>
      </x:c>
      <x:c r="G173" s="6" t="str">
        <x:v>人民币元</x:v>
      </x:c>
      <x:c r="H173" s="20" t="d">
        <x:v>2026-03-16T00:00:00.000Z</x:v>
      </x:c>
      <x:c r="I173" s="6" t="str">
        <x:v>PDF物理第23页：单位：元；序号 客户 销售金额 年度占比% 是否存在关联关系；4 Lab Service Analytica s.r.l. 3,765,881.82 1.04% 否</x:v>
      </x:c>
      <x:c r="J173" s="6" t="str">
        <x:v>F002</x:v>
      </x:c>
      <x:c r="K173" s="6" t="str">
        <x:v>纳入字段</x:v>
      </x:c>
      <x:c r="L173" s="6" t="str">
        <x:v>已核实原值</x:v>
      </x:c>
    </x:row>
    <x:row r="174" ht="40" customHeight="1">
      <x:c r="A174" s="6" t="str">
        <x:v>R0151</x:v>
      </x:c>
      <x:c r="B174" s="6" t="str">
        <x:v>字段</x:v>
      </x:c>
      <x:c r="C174" s="17" t="n">
        <x:v>1</x:v>
      </x:c>
      <x:c r="D174" s="6" t="str">
        <x:v>海能未来技术集团股份有限公司</x:v>
      </x:c>
      <x:c r="E174" s="6" t="str">
        <x:v>Lab Service Analytica s.r.l.对应年度占比</x:v>
      </x:c>
      <x:c r="F174" s="6" t="str">
        <x:v>1.04</x:v>
      </x:c>
      <x:c r="G174" s="6" t="str">
        <x:v>%</x:v>
      </x:c>
      <x:c r="H174" s="20" t="d">
        <x:v>2026-03-16T00:00:00.000Z</x:v>
      </x:c>
      <x:c r="I174" s="6" t="str">
        <x:v>PDF物理第23页：单位：元；序号 客户 销售金额 年度占比% 是否存在关联关系；4 Lab Service Analytica s.r.l. 3,765,881.82 1.04% 否</x:v>
      </x:c>
      <x:c r="J174" s="6" t="str">
        <x:v>F002</x:v>
      </x:c>
      <x:c r="K174" s="6" t="str">
        <x:v>纳入字段</x:v>
      </x:c>
      <x:c r="L174" s="6" t="str">
        <x:v>已核实原值</x:v>
      </x:c>
    </x:row>
    <x:row r="175" ht="40" customHeight="1">
      <x:c r="A175" s="6" t="str">
        <x:v>R0152</x:v>
      </x:c>
      <x:c r="B175" s="6" t="str">
        <x:v>字段</x:v>
      </x:c>
      <x:c r="C175" s="17" t="n">
        <x:v>1</x:v>
      </x:c>
      <x:c r="D175" s="6" t="str">
        <x:v>海能未来技术集团股份有限公司</x:v>
      </x:c>
      <x:c r="E175" s="6" t="str">
        <x:v>2025年前五客户第5名</x:v>
      </x:c>
      <x:c r="F175" s="6" t="str">
        <x:v>杭州汉一科学仪器有限公司</x:v>
      </x:c>
      <x:c r="G175" s="6" t="str"/>
      <x:c r="H175" s="20" t="d">
        <x:v>2026-03-16T00:00:00.000Z</x:v>
      </x:c>
      <x:c r="I175" s="6" t="str">
        <x:v>PDF物理第23页：单位：元；序号 客户 销售金额 年度占比% 是否存在关联关系；5 杭州汉一科学仪器有限公司 3,644,320.30 1.01% 否</x:v>
      </x:c>
      <x:c r="J175" s="6" t="str">
        <x:v>F002</x:v>
      </x:c>
      <x:c r="K175" s="6" t="str">
        <x:v>纳入字段</x:v>
      </x:c>
      <x:c r="L175" s="6" t="str">
        <x:v>已核实原值</x:v>
      </x:c>
    </x:row>
    <x:row r="176" ht="40" customHeight="1">
      <x:c r="A176" s="6" t="str">
        <x:v>R0153</x:v>
      </x:c>
      <x:c r="B176" s="6" t="str">
        <x:v>字段</x:v>
      </x:c>
      <x:c r="C176" s="17" t="n">
        <x:v>1</x:v>
      </x:c>
      <x:c r="D176" s="6" t="str">
        <x:v>海能未来技术集团股份有限公司</x:v>
      </x:c>
      <x:c r="E176" s="6" t="str">
        <x:v>杭州汉一科学仪器有限公司对应年度销售金额</x:v>
      </x:c>
      <x:c r="F176" s="6" t="str">
        <x:v>3644320.3</x:v>
      </x:c>
      <x:c r="G176" s="6" t="str">
        <x:v>人民币元</x:v>
      </x:c>
      <x:c r="H176" s="20" t="d">
        <x:v>2026-03-16T00:00:00.000Z</x:v>
      </x:c>
      <x:c r="I176" s="6" t="str">
        <x:v>PDF物理第23页：单位：元；序号 客户 销售金额 年度占比% 是否存在关联关系；5 杭州汉一科学仪器有限公司 3,644,320.30 1.01% 否</x:v>
      </x:c>
      <x:c r="J176" s="6" t="str">
        <x:v>F002</x:v>
      </x:c>
      <x:c r="K176" s="6" t="str">
        <x:v>纳入字段</x:v>
      </x:c>
      <x:c r="L176" s="6" t="str">
        <x:v>已核实原值</x:v>
      </x:c>
    </x:row>
    <x:row r="177" ht="40" customHeight="1">
      <x:c r="A177" s="6" t="str">
        <x:v>R0154</x:v>
      </x:c>
      <x:c r="B177" s="6" t="str">
        <x:v>字段</x:v>
      </x:c>
      <x:c r="C177" s="17" t="n">
        <x:v>1</x:v>
      </x:c>
      <x:c r="D177" s="6" t="str">
        <x:v>海能未来技术集团股份有限公司</x:v>
      </x:c>
      <x:c r="E177" s="6" t="str">
        <x:v>杭州汉一科学仪器有限公司对应年度占比</x:v>
      </x:c>
      <x:c r="F177" s="6" t="str">
        <x:v>1.01</x:v>
      </x:c>
      <x:c r="G177" s="6" t="str">
        <x:v>%</x:v>
      </x:c>
      <x:c r="H177" s="20" t="d">
        <x:v>2026-03-16T00:00:00.000Z</x:v>
      </x:c>
      <x:c r="I177" s="6" t="str">
        <x:v>PDF物理第23页：单位：元；序号 客户 销售金额 年度占比% 是否存在关联关系；5 杭州汉一科学仪器有限公司 3,644,320.30 1.01% 否</x:v>
      </x:c>
      <x:c r="J177" s="6" t="str">
        <x:v>F002</x:v>
      </x:c>
      <x:c r="K177" s="6" t="str">
        <x:v>纳入字段</x:v>
      </x:c>
      <x:c r="L177" s="6" t="str">
        <x:v>已核实原值</x:v>
      </x:c>
    </x:row>
    <x:row r="178" ht="40" customHeight="1">
      <x:c r="A178" s="6" t="str">
        <x:v>R0155</x:v>
      </x:c>
      <x:c r="B178" s="6" t="str">
        <x:v>字段</x:v>
      </x:c>
      <x:c r="C178" s="17" t="n">
        <x:v>1</x:v>
      </x:c>
      <x:c r="D178" s="6" t="str">
        <x:v>海能未来技术集团股份有限公司</x:v>
      </x:c>
      <x:c r="E178" s="6" t="str">
        <x:v>2025年前五供应商第1名</x:v>
      </x:c>
      <x:c r="F178" s="6" t="str">
        <x:v>CTC Analytics AG</x:v>
      </x:c>
      <x:c r="G178" s="6" t="str"/>
      <x:c r="H178" s="20" t="d">
        <x:v>2026-03-16T00:00:00.000Z</x:v>
      </x:c>
      <x:c r="I178" s="6" t="str">
        <x:v>PDF物理第23页：单位：元；序号 供应商 采购金额 年度占比% 是否存在关联关系；1 CTC Analytics AG 4,289,389.84 4.83% 否</x:v>
      </x:c>
      <x:c r="J178" s="6" t="str">
        <x:v>F002</x:v>
      </x:c>
      <x:c r="K178" s="6" t="str">
        <x:v>纳入字段</x:v>
      </x:c>
      <x:c r="L178" s="6" t="str">
        <x:v>已核实原值</x:v>
      </x:c>
    </x:row>
    <x:row r="179" ht="40" customHeight="1">
      <x:c r="A179" s="6" t="str">
        <x:v>R0156</x:v>
      </x:c>
      <x:c r="B179" s="6" t="str">
        <x:v>字段</x:v>
      </x:c>
      <x:c r="C179" s="17" t="n">
        <x:v>1</x:v>
      </x:c>
      <x:c r="D179" s="6" t="str">
        <x:v>海能未来技术集团股份有限公司</x:v>
      </x:c>
      <x:c r="E179" s="6" t="str">
        <x:v>CTC Analytics AG对应年度采购金额</x:v>
      </x:c>
      <x:c r="F179" s="6" t="str">
        <x:v>4289389.84</x:v>
      </x:c>
      <x:c r="G179" s="6" t="str">
        <x:v>人民币元</x:v>
      </x:c>
      <x:c r="H179" s="20" t="d">
        <x:v>2026-03-16T00:00:00.000Z</x:v>
      </x:c>
      <x:c r="I179" s="6" t="str">
        <x:v>PDF物理第23页：单位：元；序号 供应商 采购金额 年度占比% 是否存在关联关系；1 CTC Analytics AG 4,289,389.84 4.83% 否</x:v>
      </x:c>
      <x:c r="J179" s="6" t="str">
        <x:v>F002</x:v>
      </x:c>
      <x:c r="K179" s="6" t="str">
        <x:v>纳入字段</x:v>
      </x:c>
      <x:c r="L179" s="6" t="str">
        <x:v>已核实原值</x:v>
      </x:c>
    </x:row>
    <x:row r="180" ht="40" customHeight="1">
      <x:c r="A180" s="6" t="str">
        <x:v>R0157</x:v>
      </x:c>
      <x:c r="B180" s="6" t="str">
        <x:v>字段</x:v>
      </x:c>
      <x:c r="C180" s="17" t="n">
        <x:v>1</x:v>
      </x:c>
      <x:c r="D180" s="6" t="str">
        <x:v>海能未来技术集团股份有限公司</x:v>
      </x:c>
      <x:c r="E180" s="6" t="str">
        <x:v>CTC Analytics AG对应年度占比</x:v>
      </x:c>
      <x:c r="F180" s="6" t="str">
        <x:v>4.83</x:v>
      </x:c>
      <x:c r="G180" s="6" t="str">
        <x:v>%</x:v>
      </x:c>
      <x:c r="H180" s="20" t="d">
        <x:v>2026-03-16T00:00:00.000Z</x:v>
      </x:c>
      <x:c r="I180" s="6" t="str">
        <x:v>PDF物理第23页：单位：元；序号 供应商 采购金额 年度占比% 是否存在关联关系；1 CTC Analytics AG 4,289,389.84 4.83% 否</x:v>
      </x:c>
      <x:c r="J180" s="6" t="str">
        <x:v>F002</x:v>
      </x:c>
      <x:c r="K180" s="6" t="str">
        <x:v>纳入字段</x:v>
      </x:c>
      <x:c r="L180" s="6" t="str">
        <x:v>已核实原值</x:v>
      </x:c>
    </x:row>
    <x:row r="181" ht="40" customHeight="1">
      <x:c r="A181" s="6" t="str">
        <x:v>R0158</x:v>
      </x:c>
      <x:c r="B181" s="6" t="str">
        <x:v>字段</x:v>
      </x:c>
      <x:c r="C181" s="17" t="n">
        <x:v>1</x:v>
      </x:c>
      <x:c r="D181" s="6" t="str">
        <x:v>海能未来技术集团股份有限公司</x:v>
      </x:c>
      <x:c r="E181" s="6" t="str">
        <x:v>2025年前五供应商第2名</x:v>
      </x:c>
      <x:c r="F181" s="6" t="str">
        <x:v>江苏沃凯氟精密智造有限公司</x:v>
      </x:c>
      <x:c r="G181" s="6" t="str"/>
      <x:c r="H181" s="20" t="d">
        <x:v>2026-03-16T00:00:00.000Z</x:v>
      </x:c>
      <x:c r="I181" s="6" t="str">
        <x:v>PDF物理第23页：单位：元；序号 供应商 采购金额 年度占比% 是否存在关联关系；2 江苏沃凯氟精密智造有限公司 3,997,682.20 4.50% 否</x:v>
      </x:c>
      <x:c r="J181" s="6" t="str">
        <x:v>F002</x:v>
      </x:c>
      <x:c r="K181" s="6" t="str">
        <x:v>纳入字段</x:v>
      </x:c>
      <x:c r="L181" s="6" t="str">
        <x:v>已核实原值</x:v>
      </x:c>
    </x:row>
    <x:row r="182" ht="40" customHeight="1">
      <x:c r="A182" s="6" t="str">
        <x:v>R0159</x:v>
      </x:c>
      <x:c r="B182" s="6" t="str">
        <x:v>字段</x:v>
      </x:c>
      <x:c r="C182" s="17" t="n">
        <x:v>1</x:v>
      </x:c>
      <x:c r="D182" s="6" t="str">
        <x:v>海能未来技术集团股份有限公司</x:v>
      </x:c>
      <x:c r="E182" s="6" t="str">
        <x:v>江苏沃凯氟精密智造有限公司对应年度采购金额</x:v>
      </x:c>
      <x:c r="F182" s="6" t="str">
        <x:v>3997682.2</x:v>
      </x:c>
      <x:c r="G182" s="6" t="str">
        <x:v>人民币元</x:v>
      </x:c>
      <x:c r="H182" s="20" t="d">
        <x:v>2026-03-16T00:00:00.000Z</x:v>
      </x:c>
      <x:c r="I182" s="6" t="str">
        <x:v>PDF物理第23页：单位：元；序号 供应商 采购金额 年度占比% 是否存在关联关系；2 江苏沃凯氟精密智造有限公司 3,997,682.20 4.50% 否</x:v>
      </x:c>
      <x:c r="J182" s="6" t="str">
        <x:v>F002</x:v>
      </x:c>
      <x:c r="K182" s="6" t="str">
        <x:v>纳入字段</x:v>
      </x:c>
      <x:c r="L182" s="6" t="str">
        <x:v>已核实原值</x:v>
      </x:c>
    </x:row>
    <x:row r="183" ht="40" customHeight="1">
      <x:c r="A183" s="6" t="str">
        <x:v>R0160</x:v>
      </x:c>
      <x:c r="B183" s="6" t="str">
        <x:v>字段</x:v>
      </x:c>
      <x:c r="C183" s="17" t="n">
        <x:v>1</x:v>
      </x:c>
      <x:c r="D183" s="6" t="str">
        <x:v>海能未来技术集团股份有限公司</x:v>
      </x:c>
      <x:c r="E183" s="6" t="str">
        <x:v>江苏沃凯氟精密智造有限公司对应年度占比</x:v>
      </x:c>
      <x:c r="F183" s="6" t="str">
        <x:v>4.5</x:v>
      </x:c>
      <x:c r="G183" s="6" t="str">
        <x:v>%</x:v>
      </x:c>
      <x:c r="H183" s="20" t="d">
        <x:v>2026-03-16T00:00:00.000Z</x:v>
      </x:c>
      <x:c r="I183" s="6" t="str">
        <x:v>PDF物理第23页：单位：元；序号 供应商 采购金额 年度占比% 是否存在关联关系；2 江苏沃凯氟精密智造有限公司 3,997,682.20 4.50% 否</x:v>
      </x:c>
      <x:c r="J183" s="6" t="str">
        <x:v>F002</x:v>
      </x:c>
      <x:c r="K183" s="6" t="str">
        <x:v>纳入字段</x:v>
      </x:c>
      <x:c r="L183" s="6" t="str">
        <x:v>已核实原值</x:v>
      </x:c>
    </x:row>
    <x:row r="184" ht="40" customHeight="1">
      <x:c r="A184" s="6" t="str">
        <x:v>R0161</x:v>
      </x:c>
      <x:c r="B184" s="6" t="str">
        <x:v>字段</x:v>
      </x:c>
      <x:c r="C184" s="17" t="n">
        <x:v>1</x:v>
      </x:c>
      <x:c r="D184" s="6" t="str">
        <x:v>海能未来技术集团股份有限公司</x:v>
      </x:c>
      <x:c r="E184" s="6" t="str">
        <x:v>2025年前五供应商第3名</x:v>
      </x:c>
      <x:c r="F184" s="6" t="str">
        <x:v>河北磐仪分析仪器有限责任公司</x:v>
      </x:c>
      <x:c r="G184" s="6" t="str"/>
      <x:c r="H184" s="20" t="d">
        <x:v>2026-03-16T00:00:00.000Z</x:v>
      </x:c>
      <x:c r="I184" s="6" t="str">
        <x:v>PDF物理第23页：单位：元；序号 供应商 采购金额 年度占比% 是否存在关联关系；3 河北磐仪分析仪器有限责任公司 2,898,032.00 3.26% 否</x:v>
      </x:c>
      <x:c r="J184" s="6" t="str">
        <x:v>F002</x:v>
      </x:c>
      <x:c r="K184" s="6" t="str">
        <x:v>纳入字段</x:v>
      </x:c>
      <x:c r="L184" s="6" t="str">
        <x:v>已核实原值</x:v>
      </x:c>
    </x:row>
    <x:row r="185" ht="40" customHeight="1">
      <x:c r="A185" s="6" t="str">
        <x:v>R0162</x:v>
      </x:c>
      <x:c r="B185" s="6" t="str">
        <x:v>字段</x:v>
      </x:c>
      <x:c r="C185" s="17" t="n">
        <x:v>1</x:v>
      </x:c>
      <x:c r="D185" s="6" t="str">
        <x:v>海能未来技术集团股份有限公司</x:v>
      </x:c>
      <x:c r="E185" s="6" t="str">
        <x:v>河北磐仪分析仪器有限责任公司对应年度采购金额</x:v>
      </x:c>
      <x:c r="F185" s="15" t="str">
        <x:v>2898032</x:v>
      </x:c>
      <x:c r="G185" s="6" t="str">
        <x:v>人民币元</x:v>
      </x:c>
      <x:c r="H185" s="20" t="d">
        <x:v>2026-03-16T00:00:00.000Z</x:v>
      </x:c>
      <x:c r="I185" s="6" t="str">
        <x:v>PDF物理第23页：单位：元；序号 供应商 采购金额 年度占比% 是否存在关联关系；3 河北磐仪分析仪器有限责任公司 2,898,032.00 3.26% 否</x:v>
      </x:c>
      <x:c r="J185" s="6" t="str">
        <x:v>F002</x:v>
      </x:c>
      <x:c r="K185" s="6" t="str">
        <x:v>纳入字段</x:v>
      </x:c>
      <x:c r="L185" s="6" t="str">
        <x:v>已核实原值</x:v>
      </x:c>
    </x:row>
    <x:row r="186" ht="40" customHeight="1">
      <x:c r="A186" s="6" t="str">
        <x:v>R0163</x:v>
      </x:c>
      <x:c r="B186" s="6" t="str">
        <x:v>字段</x:v>
      </x:c>
      <x:c r="C186" s="17" t="n">
        <x:v>1</x:v>
      </x:c>
      <x:c r="D186" s="6" t="str">
        <x:v>海能未来技术集团股份有限公司</x:v>
      </x:c>
      <x:c r="E186" s="6" t="str">
        <x:v>河北磐仪分析仪器有限责任公司对应年度占比</x:v>
      </x:c>
      <x:c r="F186" s="6" t="str">
        <x:v>3.26</x:v>
      </x:c>
      <x:c r="G186" s="6" t="str">
        <x:v>%</x:v>
      </x:c>
      <x:c r="H186" s="20" t="d">
        <x:v>2026-03-16T00:00:00.000Z</x:v>
      </x:c>
      <x:c r="I186" s="6" t="str">
        <x:v>PDF物理第23页：单位：元；序号 供应商 采购金额 年度占比% 是否存在关联关系；3 河北磐仪分析仪器有限责任公司 2,898,032.00 3.26% 否</x:v>
      </x:c>
      <x:c r="J186" s="6" t="str">
        <x:v>F002</x:v>
      </x:c>
      <x:c r="K186" s="6" t="str">
        <x:v>纳入字段</x:v>
      </x:c>
      <x:c r="L186" s="6" t="str">
        <x:v>已核实原值</x:v>
      </x:c>
    </x:row>
    <x:row r="187" ht="40" customHeight="1">
      <x:c r="A187" s="6" t="str">
        <x:v>R0164</x:v>
      </x:c>
      <x:c r="B187" s="6" t="str">
        <x:v>字段</x:v>
      </x:c>
      <x:c r="C187" s="17" t="n">
        <x:v>1</x:v>
      </x:c>
      <x:c r="D187" s="6" t="str">
        <x:v>海能未来技术集团股份有限公司</x:v>
      </x:c>
      <x:c r="E187" s="6" t="str">
        <x:v>2025年前五供应商第4名</x:v>
      </x:c>
      <x:c r="F187" s="6" t="str">
        <x:v>石家庄莱博瑞分析仪器有限公司</x:v>
      </x:c>
      <x:c r="G187" s="6" t="str"/>
      <x:c r="H187" s="20" t="d">
        <x:v>2026-03-16T00:00:00.000Z</x:v>
      </x:c>
      <x:c r="I187" s="6" t="str">
        <x:v>PDF物理第23页：单位：元；序号 供应商 采购金额 年度占比% 是否存在关联关系；4 石家庄莱博瑞分析仪器有限公司 2,205,982.31 2.48% 否</x:v>
      </x:c>
      <x:c r="J187" s="6" t="str">
        <x:v>F002</x:v>
      </x:c>
      <x:c r="K187" s="6" t="str">
        <x:v>纳入字段</x:v>
      </x:c>
      <x:c r="L187" s="6" t="str">
        <x:v>已核实原值</x:v>
      </x:c>
    </x:row>
    <x:row r="188" ht="40" customHeight="1">
      <x:c r="A188" s="6" t="str">
        <x:v>R0165</x:v>
      </x:c>
      <x:c r="B188" s="6" t="str">
        <x:v>字段</x:v>
      </x:c>
      <x:c r="C188" s="17" t="n">
        <x:v>1</x:v>
      </x:c>
      <x:c r="D188" s="6" t="str">
        <x:v>海能未来技术集团股份有限公司</x:v>
      </x:c>
      <x:c r="E188" s="6" t="str">
        <x:v>石家庄莱博瑞分析仪器有限公司对应年度采购金额</x:v>
      </x:c>
      <x:c r="F188" s="6" t="str">
        <x:v>2205982.31</x:v>
      </x:c>
      <x:c r="G188" s="6" t="str">
        <x:v>人民币元</x:v>
      </x:c>
      <x:c r="H188" s="20" t="d">
        <x:v>2026-03-16T00:00:00.000Z</x:v>
      </x:c>
      <x:c r="I188" s="6" t="str">
        <x:v>PDF物理第23页：单位：元；序号 供应商 采购金额 年度占比% 是否存在关联关系；4 石家庄莱博瑞分析仪器有限公司 2,205,982.31 2.48% 否</x:v>
      </x:c>
      <x:c r="J188" s="6" t="str">
        <x:v>F002</x:v>
      </x:c>
      <x:c r="K188" s="6" t="str">
        <x:v>纳入字段</x:v>
      </x:c>
      <x:c r="L188" s="6" t="str">
        <x:v>已核实原值</x:v>
      </x:c>
    </x:row>
    <x:row r="189" ht="40" customHeight="1">
      <x:c r="A189" s="6" t="str">
        <x:v>R0166</x:v>
      </x:c>
      <x:c r="B189" s="6" t="str">
        <x:v>字段</x:v>
      </x:c>
      <x:c r="C189" s="17" t="n">
        <x:v>1</x:v>
      </x:c>
      <x:c r="D189" s="6" t="str">
        <x:v>海能未来技术集团股份有限公司</x:v>
      </x:c>
      <x:c r="E189" s="6" t="str">
        <x:v>石家庄莱博瑞分析仪器有限公司对应年度占比</x:v>
      </x:c>
      <x:c r="F189" s="6" t="str">
        <x:v>2.48</x:v>
      </x:c>
      <x:c r="G189" s="6" t="str">
        <x:v>%</x:v>
      </x:c>
      <x:c r="H189" s="20" t="d">
        <x:v>2026-03-16T00:00:00.000Z</x:v>
      </x:c>
      <x:c r="I189" s="6" t="str">
        <x:v>PDF物理第23页：单位：元；序号 供应商 采购金额 年度占比% 是否存在关联关系；4 石家庄莱博瑞分析仪器有限公司 2,205,982.31 2.48% 否</x:v>
      </x:c>
      <x:c r="J189" s="6" t="str">
        <x:v>F002</x:v>
      </x:c>
      <x:c r="K189" s="6" t="str">
        <x:v>纳入字段</x:v>
      </x:c>
      <x:c r="L189" s="6" t="str">
        <x:v>已核实原值</x:v>
      </x:c>
    </x:row>
    <x:row r="190" ht="40" customHeight="1">
      <x:c r="A190" s="6" t="str">
        <x:v>R0167</x:v>
      </x:c>
      <x:c r="B190" s="6" t="str">
        <x:v>字段</x:v>
      </x:c>
      <x:c r="C190" s="17" t="n">
        <x:v>1</x:v>
      </x:c>
      <x:c r="D190" s="6" t="str">
        <x:v>海能未来技术集团股份有限公司</x:v>
      </x:c>
      <x:c r="E190" s="6" t="str">
        <x:v>2025年前五供应商第5名</x:v>
      </x:c>
      <x:c r="F190" s="6" t="str">
        <x:v>上海侃达机电设备有限公司</x:v>
      </x:c>
      <x:c r="G190" s="6" t="str"/>
      <x:c r="H190" s="20" t="d">
        <x:v>2026-03-16T00:00:00.000Z</x:v>
      </x:c>
      <x:c r="I190" s="6" t="str">
        <x:v>PDF物理第23页：单位：元；序号 供应商 采购金额 年度占比% 是否存在关联关系；5 上海侃达机电设备有限公司 1,929,727.27 2.17% 否</x:v>
      </x:c>
      <x:c r="J190" s="6" t="str">
        <x:v>F002</x:v>
      </x:c>
      <x:c r="K190" s="6" t="str">
        <x:v>纳入字段</x:v>
      </x:c>
      <x:c r="L190" s="6" t="str">
        <x:v>已核实原值</x:v>
      </x:c>
    </x:row>
    <x:row r="191" ht="40" customHeight="1">
      <x:c r="A191" s="6" t="str">
        <x:v>R0168</x:v>
      </x:c>
      <x:c r="B191" s="6" t="str">
        <x:v>字段</x:v>
      </x:c>
      <x:c r="C191" s="17" t="n">
        <x:v>1</x:v>
      </x:c>
      <x:c r="D191" s="6" t="str">
        <x:v>海能未来技术集团股份有限公司</x:v>
      </x:c>
      <x:c r="E191" s="6" t="str">
        <x:v>上海侃达机电设备有限公司对应年度采购金额</x:v>
      </x:c>
      <x:c r="F191" s="6" t="str">
        <x:v>1929727.27</x:v>
      </x:c>
      <x:c r="G191" s="6" t="str">
        <x:v>人民币元</x:v>
      </x:c>
      <x:c r="H191" s="20" t="d">
        <x:v>2026-03-16T00:00:00.000Z</x:v>
      </x:c>
      <x:c r="I191" s="6" t="str">
        <x:v>PDF物理第23页：单位：元；序号 供应商 采购金额 年度占比% 是否存在关联关系；5 上海侃达机电设备有限公司 1,929,727.27 2.17% 否</x:v>
      </x:c>
      <x:c r="J191" s="6" t="str">
        <x:v>F002</x:v>
      </x:c>
      <x:c r="K191" s="6" t="str">
        <x:v>纳入字段</x:v>
      </x:c>
      <x:c r="L191" s="6" t="str">
        <x:v>已核实原值</x:v>
      </x:c>
    </x:row>
    <x:row r="192" ht="40" customHeight="1">
      <x:c r="A192" s="6" t="str">
        <x:v>R0169</x:v>
      </x:c>
      <x:c r="B192" s="6" t="str">
        <x:v>字段</x:v>
      </x:c>
      <x:c r="C192" s="17" t="n">
        <x:v>1</x:v>
      </x:c>
      <x:c r="D192" s="6" t="str">
        <x:v>海能未来技术集团股份有限公司</x:v>
      </x:c>
      <x:c r="E192" s="6" t="str">
        <x:v>上海侃达机电设备有限公司对应年度占比</x:v>
      </x:c>
      <x:c r="F192" s="6" t="str">
        <x:v>2.17</x:v>
      </x:c>
      <x:c r="G192" s="6" t="str">
        <x:v>%</x:v>
      </x:c>
      <x:c r="H192" s="20" t="d">
        <x:v>2026-03-16T00:00:00.000Z</x:v>
      </x:c>
      <x:c r="I192" s="6" t="str">
        <x:v>PDF物理第23页：单位：元；序号 供应商 采购金额 年度占比% 是否存在关联关系；5 上海侃达机电设备有限公司 1,929,727.27 2.17% 否</x:v>
      </x:c>
      <x:c r="J192" s="6" t="str">
        <x:v>F002</x:v>
      </x:c>
      <x:c r="K192" s="6" t="str">
        <x:v>纳入字段</x:v>
      </x:c>
      <x:c r="L192" s="6" t="str">
        <x:v>已核实原值</x:v>
      </x:c>
    </x:row>
    <x:row r="193" ht="136" customHeight="1">
      <x:c r="A193" s="6" t="str">
        <x:v>R0170</x:v>
      </x:c>
      <x:c r="B193" s="6" t="str">
        <x:v>字段</x:v>
      </x:c>
      <x:c r="C193" s="17" t="n">
        <x:v>1</x:v>
      </x:c>
      <x:c r="D193" s="6" t="str">
        <x:v>海能未来技术集团股份有限公司</x:v>
      </x:c>
      <x:c r="E193" s="6" t="str">
        <x:v>前五客户销售金额合计</x:v>
      </x:c>
      <x:c r="F193" s="6" t="str">
        <x:v>44696738.97</x:v>
      </x:c>
      <x:c r="G193" s="6" t="str">
        <x:v>人民币元</x:v>
      </x:c>
      <x:c r="H193" s="20" t="d">
        <x:v>2026-03-16T00:00:00.000Z</x:v>
      </x:c>
      <x:c r="I193" s="6" t="str">
        <x:v>PDF物理第23页：单位：元 
序号 客户 销售金额 年度销售
占比% 
是否存在
关联关系 
1 杭州国迈进出口有限公司 23,866,523.02 6.60% 否 
2 浙江省科学器材进出口有限责任公司 8,963,385.91 2.48% 否 
3 华测检测认证集团股份有限公司及其关联企业 4,456,627.92 1.23% 否 
4 Lab Service Analytica s.r.l. 3,765,881.82 1.04% 否 
5 杭州汉一科学仪器有限公司 3,644,320.30 1.01% 否 
合计 44,696,738.97 12.36% - 
(4) 主要供应商情况 
单位：元 
序号 供应商 采购金额 年度采购
占比% 
是否存在
关联关系 
1 CTC Analytics AG 4,289,389.84 4.83% 否 
2 江苏沃凯氟精密智造有限公司 3,997,682.20 4.50% 否 </x:v>
      </x:c>
      <x:c r="J193" s="6" t="str">
        <x:v>F002</x:v>
      </x:c>
      <x:c r="K193" s="6" t="str">
        <x:v>纳入字段</x:v>
      </x:c>
      <x:c r="L193" s="6" t="str">
        <x:v>已核实原值</x:v>
      </x:c>
    </x:row>
    <x:row r="194" ht="56" customHeight="1">
      <x:c r="A194" s="6" t="str">
        <x:v>R0170</x:v>
      </x:c>
      <x:c r="B194" s="6" t="str">
        <x:v>字段</x:v>
      </x:c>
      <x:c r="C194" s="17" t="n">
        <x:v>2</x:v>
      </x:c>
      <x:c r="D194" s="6" t="str">
        <x:v>海能未来技术集团股份有限公司</x:v>
      </x:c>
      <x:c r="E194" s="6" t="str">
        <x:v>前五客户销售金额合计</x:v>
      </x:c>
      <x:c r="F194" s="6" t="str"/>
      <x:c r="G194" s="6" t="str">
        <x:v>人民币元</x:v>
      </x:c>
      <x:c r="H194" s="20" t="d">
        <x:v>2026-03-16T00:00:00.000Z</x:v>
      </x:c>
      <x:c r="I194" s="6" t="str">
        <x:v>
3 河北磐仪分析仪器有限责任公司 2,898,032.00 3.26% 否 
4 石家庄莱博瑞分析仪器有限公司 2,205,982.31 2.48% 否 
5 上海侃达机电设备有限公司 1,929,727.27 2.17% 否 
合计 15,320,813.62 17.24% -</x:v>
      </x:c>
      <x:c r="J194" s="6" t="str">
        <x:v>F002</x:v>
      </x:c>
      <x:c r="K194" s="6" t="str">
        <x:v>纳入字段</x:v>
      </x:c>
      <x:c r="L194" s="6" t="str"/>
    </x:row>
    <x:row r="195" ht="136" customHeight="1">
      <x:c r="A195" s="6" t="str">
        <x:v>R0171</x:v>
      </x:c>
      <x:c r="B195" s="6" t="str">
        <x:v>字段</x:v>
      </x:c>
      <x:c r="C195" s="17" t="n">
        <x:v>1</x:v>
      </x:c>
      <x:c r="D195" s="6" t="str">
        <x:v>海能未来技术集团股份有限公司</x:v>
      </x:c>
      <x:c r="E195" s="6" t="str">
        <x:v>前五客户销售占比合计</x:v>
      </x:c>
      <x:c r="F195" s="6" t="str">
        <x:v>12.36</x:v>
      </x:c>
      <x:c r="G195" s="6" t="str">
        <x:v>%</x:v>
      </x:c>
      <x:c r="H195" s="20" t="d">
        <x:v>2026-03-16T00:00:00.000Z</x:v>
      </x:c>
      <x:c r="I195" s="6" t="str">
        <x:v>PDF物理第23页：单位：元 
序号 客户 销售金额 年度销售
占比% 
是否存在
关联关系 
1 杭州国迈进出口有限公司 23,866,523.02 6.60% 否 
2 浙江省科学器材进出口有限责任公司 8,963,385.91 2.48% 否 
3 华测检测认证集团股份有限公司及其关联企业 4,456,627.92 1.23% 否 
4 Lab Service Analytica s.r.l. 3,765,881.82 1.04% 否 
5 杭州汉一科学仪器有限公司 3,644,320.30 1.01% 否 
合计 44,696,738.97 12.36% - 
(4) 主要供应商情况 
单位：元 
序号 供应商 采购金额 年度采购
占比% 
是否存在
关联关系 
1 CTC Analytics AG 4,289,389.84 4.83% 否 
2 江苏沃凯氟精密智造有限公司 3,997,682.20 4.50% 否 </x:v>
      </x:c>
      <x:c r="J195" s="6" t="str">
        <x:v>F002</x:v>
      </x:c>
      <x:c r="K195" s="6" t="str">
        <x:v>纳入字段</x:v>
      </x:c>
      <x:c r="L195" s="6" t="str">
        <x:v>已核实原值</x:v>
      </x:c>
    </x:row>
    <x:row r="196" ht="56" customHeight="1">
      <x:c r="A196" s="6" t="str">
        <x:v>R0171</x:v>
      </x:c>
      <x:c r="B196" s="6" t="str">
        <x:v>字段</x:v>
      </x:c>
      <x:c r="C196" s="17" t="n">
        <x:v>2</x:v>
      </x:c>
      <x:c r="D196" s="6" t="str">
        <x:v>海能未来技术集团股份有限公司</x:v>
      </x:c>
      <x:c r="E196" s="6" t="str">
        <x:v>前五客户销售占比合计</x:v>
      </x:c>
      <x:c r="F196" s="6" t="str"/>
      <x:c r="G196" s="6" t="str">
        <x:v>%</x:v>
      </x:c>
      <x:c r="H196" s="20" t="d">
        <x:v>2026-03-16T00:00:00.000Z</x:v>
      </x:c>
      <x:c r="I196" s="6" t="str">
        <x:v>
3 河北磐仪分析仪器有限责任公司 2,898,032.00 3.26% 否 
4 石家庄莱博瑞分析仪器有限公司 2,205,982.31 2.48% 否 
5 上海侃达机电设备有限公司 1,929,727.27 2.17% 否 
合计 15,320,813.62 17.24% -</x:v>
      </x:c>
      <x:c r="J196" s="6" t="str">
        <x:v>F002</x:v>
      </x:c>
      <x:c r="K196" s="6" t="str">
        <x:v>纳入字段</x:v>
      </x:c>
      <x:c r="L196" s="6" t="str"/>
    </x:row>
    <x:row r="197" ht="136" customHeight="1">
      <x:c r="A197" s="6" t="str">
        <x:v>R0172</x:v>
      </x:c>
      <x:c r="B197" s="6" t="str">
        <x:v>字段</x:v>
      </x:c>
      <x:c r="C197" s="17" t="n">
        <x:v>1</x:v>
      </x:c>
      <x:c r="D197" s="6" t="str">
        <x:v>海能未来技术集团股份有限公司</x:v>
      </x:c>
      <x:c r="E197" s="6" t="str">
        <x:v>前五供应商采购金额合计</x:v>
      </x:c>
      <x:c r="F197" s="6" t="str">
        <x:v>15320813.62</x:v>
      </x:c>
      <x:c r="G197" s="6" t="str">
        <x:v>人民币元</x:v>
      </x:c>
      <x:c r="H197" s="20" t="d">
        <x:v>2026-03-16T00:00:00.000Z</x:v>
      </x:c>
      <x:c r="I197" s="6" t="str">
        <x:v>PDF物理第23页：单位：元 
序号 客户 销售金额 年度销售
占比% 
是否存在
关联关系 
1 杭州国迈进出口有限公司 23,866,523.02 6.60% 否 
2 浙江省科学器材进出口有限责任公司 8,963,385.91 2.48% 否 
3 华测检测认证集团股份有限公司及其关联企业 4,456,627.92 1.23% 否 
4 Lab Service Analytica s.r.l. 3,765,881.82 1.04% 否 
5 杭州汉一科学仪器有限公司 3,644,320.30 1.01% 否 
合计 44,696,738.97 12.36% - 
(4) 主要供应商情况 
单位：元 
序号 供应商 采购金额 年度采购
占比% 
是否存在
关联关系 
1 CTC Analytics AG 4,289,389.84 4.83% 否 
2 江苏沃凯氟精密智造有限公司 3,997,682.20 4.50% 否 </x:v>
      </x:c>
      <x:c r="J197" s="6" t="str">
        <x:v>F002</x:v>
      </x:c>
      <x:c r="K197" s="6" t="str">
        <x:v>纳入字段</x:v>
      </x:c>
      <x:c r="L197" s="6" t="str">
        <x:v>已核实原值</x:v>
      </x:c>
    </x:row>
    <x:row r="198" ht="56" customHeight="1">
      <x:c r="A198" s="6" t="str">
        <x:v>R0172</x:v>
      </x:c>
      <x:c r="B198" s="6" t="str">
        <x:v>字段</x:v>
      </x:c>
      <x:c r="C198" s="17" t="n">
        <x:v>2</x:v>
      </x:c>
      <x:c r="D198" s="6" t="str">
        <x:v>海能未来技术集团股份有限公司</x:v>
      </x:c>
      <x:c r="E198" s="6" t="str">
        <x:v>前五供应商采购金额合计</x:v>
      </x:c>
      <x:c r="F198" s="6" t="str"/>
      <x:c r="G198" s="6" t="str">
        <x:v>人民币元</x:v>
      </x:c>
      <x:c r="H198" s="20" t="d">
        <x:v>2026-03-16T00:00:00.000Z</x:v>
      </x:c>
      <x:c r="I198" s="6" t="str">
        <x:v>
3 河北磐仪分析仪器有限责任公司 2,898,032.00 3.26% 否 
4 石家庄莱博瑞分析仪器有限公司 2,205,982.31 2.48% 否 
5 上海侃达机电设备有限公司 1,929,727.27 2.17% 否 
合计 15,320,813.62 17.24% -</x:v>
      </x:c>
      <x:c r="J198" s="6" t="str">
        <x:v>F002</x:v>
      </x:c>
      <x:c r="K198" s="6" t="str">
        <x:v>纳入字段</x:v>
      </x:c>
      <x:c r="L198" s="6" t="str"/>
    </x:row>
    <x:row r="199" ht="136" customHeight="1">
      <x:c r="A199" s="6" t="str">
        <x:v>R0173</x:v>
      </x:c>
      <x:c r="B199" s="6" t="str">
        <x:v>字段</x:v>
      </x:c>
      <x:c r="C199" s="17" t="n">
        <x:v>1</x:v>
      </x:c>
      <x:c r="D199" s="6" t="str">
        <x:v>海能未来技术集团股份有限公司</x:v>
      </x:c>
      <x:c r="E199" s="6" t="str">
        <x:v>前五供应商采购占比合计</x:v>
      </x:c>
      <x:c r="F199" s="6" t="str">
        <x:v>17.24</x:v>
      </x:c>
      <x:c r="G199" s="6" t="str">
        <x:v>%</x:v>
      </x:c>
      <x:c r="H199" s="20" t="d">
        <x:v>2026-03-16T00:00:00.000Z</x:v>
      </x:c>
      <x:c r="I199" s="6" t="str">
        <x:v>PDF物理第23页：单位：元 
序号 客户 销售金额 年度销售
占比% 
是否存在
关联关系 
1 杭州国迈进出口有限公司 23,866,523.02 6.60% 否 
2 浙江省科学器材进出口有限责任公司 8,963,385.91 2.48% 否 
3 华测检测认证集团股份有限公司及其关联企业 4,456,627.92 1.23% 否 
4 Lab Service Analytica s.r.l. 3,765,881.82 1.04% 否 
5 杭州汉一科学仪器有限公司 3,644,320.30 1.01% 否 
合计 44,696,738.97 12.36% - 
(4) 主要供应商情况 
单位：元 
序号 供应商 采购金额 年度采购
占比% 
是否存在
关联关系 
1 CTC Analytics AG 4,289,389.84 4.83% 否 
2 江苏沃凯氟精密智造有限公司 3,997,682.20 4.50% 否 </x:v>
      </x:c>
      <x:c r="J199" s="6" t="str">
        <x:v>F002</x:v>
      </x:c>
      <x:c r="K199" s="6" t="str">
        <x:v>纳入字段</x:v>
      </x:c>
      <x:c r="L199" s="6" t="str">
        <x:v>已核实原值</x:v>
      </x:c>
    </x:row>
    <x:row r="200" ht="56" customHeight="1">
      <x:c r="A200" s="6" t="str">
        <x:v>R0173</x:v>
      </x:c>
      <x:c r="B200" s="6" t="str">
        <x:v>字段</x:v>
      </x:c>
      <x:c r="C200" s="17" t="n">
        <x:v>2</x:v>
      </x:c>
      <x:c r="D200" s="6" t="str">
        <x:v>海能未来技术集团股份有限公司</x:v>
      </x:c>
      <x:c r="E200" s="6" t="str">
        <x:v>前五供应商采购占比合计</x:v>
      </x:c>
      <x:c r="F200" s="6" t="str"/>
      <x:c r="G200" s="6" t="str">
        <x:v>%</x:v>
      </x:c>
      <x:c r="H200" s="20" t="d">
        <x:v>2026-03-16T00:00:00.000Z</x:v>
      </x:c>
      <x:c r="I200" s="6" t="str">
        <x:v>
3 河北磐仪分析仪器有限责任公司 2,898,032.00 3.26% 否 
4 石家庄莱博瑞分析仪器有限公司 2,205,982.31 2.48% 否 
5 上海侃达机电设备有限公司 1,929,727.27 2.17% 否 
合计 15,320,813.62 17.24% -</x:v>
      </x:c>
      <x:c r="J200" s="6" t="str">
        <x:v>F002</x:v>
      </x:c>
      <x:c r="K200" s="6" t="str">
        <x:v>纳入字段</x:v>
      </x:c>
      <x:c r="L200" s="6" t="str"/>
    </x:row>
    <x:row r="201" ht="136" customHeight="1">
      <x:c r="A201" s="6" t="str">
        <x:v>R0174</x:v>
      </x:c>
      <x:c r="B201" s="6" t="str">
        <x:v>字段</x:v>
      </x:c>
      <x:c r="C201" s="17" t="n">
        <x:v>1</x:v>
      </x:c>
      <x:c r="D201" s="6" t="str">
        <x:v>山东海能科学仪器有限公司</x:v>
      </x:c>
      <x:c r="E201" s="6" t="str">
        <x:v>注册资本</x:v>
      </x:c>
      <x:c r="F201" s="15" t="str">
        <x:v>100000000</x:v>
      </x:c>
      <x:c r="G201" s="6" t="str">
        <x:v>人民币元</x:v>
      </x:c>
      <x:c r="H201" s="20" t="d">
        <x:v>2026-08-17T00:00:00.000Z</x:v>
      </x:c>
      <x:c r="I201"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01" s="6" t="str">
        <x:v>F001</x:v>
      </x:c>
      <x:c r="K201" s="6" t="str">
        <x:v>纳入字段</x:v>
      </x:c>
      <x:c r="L201" s="6" t="str">
        <x:v>已核实原值</x:v>
      </x:c>
    </x:row>
    <x:row r="202" ht="120" customHeight="1">
      <x:c r="A202" s="6" t="str">
        <x:v>R0174</x:v>
      </x:c>
      <x:c r="B202" s="6" t="str">
        <x:v>字段</x:v>
      </x:c>
      <x:c r="C202" s="17" t="n">
        <x:v>2</x:v>
      </x:c>
      <x:c r="D202" s="6" t="str">
        <x:v>山东海能科学仪器有限公司</x:v>
      </x:c>
      <x:c r="E202" s="6" t="str">
        <x:v>注册资本</x:v>
      </x:c>
      <x:c r="F202" s="6" t="str"/>
      <x:c r="G202" s="6" t="str">
        <x:v>人民币元</x:v>
      </x:c>
      <x:c r="H202" s="20" t="d">
        <x:v>2026-08-17T00:00:00.000Z</x:v>
      </x:c>
      <x:c r="I202"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02" s="6" t="str">
        <x:v>F001</x:v>
      </x:c>
      <x:c r="K202" s="6" t="str">
        <x:v>纳入字段</x:v>
      </x:c>
      <x:c r="L202" s="6" t="str"/>
    </x:row>
    <x:row r="203" ht="136" customHeight="1">
      <x:c r="A203" s="6" t="str">
        <x:v>R0175</x:v>
      </x:c>
      <x:c r="B203" s="6" t="str">
        <x:v>字段</x:v>
      </x:c>
      <x:c r="C203" s="17" t="n">
        <x:v>1</x:v>
      </x:c>
      <x:c r="D203" s="6" t="str">
        <x:v>山东海能科学仪器有限公司</x:v>
      </x:c>
      <x:c r="E203" s="6" t="str">
        <x:v>总资产</x:v>
      </x:c>
      <x:c r="F203" s="6" t="str">
        <x:v>245213238.86</x:v>
      </x:c>
      <x:c r="G203" s="6" t="str">
        <x:v>人民币元</x:v>
      </x:c>
      <x:c r="H203" s="20" t="d">
        <x:v>2026-08-17T00:00:00.000Z</x:v>
      </x:c>
      <x:c r="I203"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03" s="6" t="str">
        <x:v>F001</x:v>
      </x:c>
      <x:c r="K203" s="6" t="str">
        <x:v>纳入字段</x:v>
      </x:c>
      <x:c r="L203" s="6" t="str">
        <x:v>已核实原值</x:v>
      </x:c>
    </x:row>
    <x:row r="204" ht="120" customHeight="1">
      <x:c r="A204" s="6" t="str">
        <x:v>R0175</x:v>
      </x:c>
      <x:c r="B204" s="6" t="str">
        <x:v>字段</x:v>
      </x:c>
      <x:c r="C204" s="17" t="n">
        <x:v>2</x:v>
      </x:c>
      <x:c r="D204" s="6" t="str">
        <x:v>山东海能科学仪器有限公司</x:v>
      </x:c>
      <x:c r="E204" s="6" t="str">
        <x:v>总资产</x:v>
      </x:c>
      <x:c r="F204" s="6" t="str"/>
      <x:c r="G204" s="6" t="str">
        <x:v>人民币元</x:v>
      </x:c>
      <x:c r="H204" s="20" t="d">
        <x:v>2026-08-17T00:00:00.000Z</x:v>
      </x:c>
      <x:c r="I204"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04" s="6" t="str">
        <x:v>F001</x:v>
      </x:c>
      <x:c r="K204" s="6" t="str">
        <x:v>纳入字段</x:v>
      </x:c>
      <x:c r="L204" s="6" t="str"/>
    </x:row>
    <x:row r="205" ht="136" customHeight="1">
      <x:c r="A205" s="6" t="str">
        <x:v>R0176</x:v>
      </x:c>
      <x:c r="B205" s="6" t="str">
        <x:v>字段</x:v>
      </x:c>
      <x:c r="C205" s="17" t="n">
        <x:v>1</x:v>
      </x:c>
      <x:c r="D205" s="6" t="str">
        <x:v>山东海能科学仪器有限公司</x:v>
      </x:c>
      <x:c r="E205" s="6" t="str">
        <x:v>净资产</x:v>
      </x:c>
      <x:c r="F205" s="6" t="str">
        <x:v>97587159.69</x:v>
      </x:c>
      <x:c r="G205" s="6" t="str">
        <x:v>人民币元</x:v>
      </x:c>
      <x:c r="H205" s="20" t="d">
        <x:v>2026-08-17T00:00:00.000Z</x:v>
      </x:c>
      <x:c r="I205"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05" s="6" t="str">
        <x:v>F001</x:v>
      </x:c>
      <x:c r="K205" s="6" t="str">
        <x:v>纳入字段</x:v>
      </x:c>
      <x:c r="L205" s="6" t="str">
        <x:v>已核实原值</x:v>
      </x:c>
    </x:row>
    <x:row r="206" ht="120" customHeight="1">
      <x:c r="A206" s="6" t="str">
        <x:v>R0176</x:v>
      </x:c>
      <x:c r="B206" s="6" t="str">
        <x:v>字段</x:v>
      </x:c>
      <x:c r="C206" s="17" t="n">
        <x:v>2</x:v>
      </x:c>
      <x:c r="D206" s="6" t="str">
        <x:v>山东海能科学仪器有限公司</x:v>
      </x:c>
      <x:c r="E206" s="6" t="str">
        <x:v>净资产</x:v>
      </x:c>
      <x:c r="F206" s="6" t="str"/>
      <x:c r="G206" s="6" t="str">
        <x:v>人民币元</x:v>
      </x:c>
      <x:c r="H206" s="20" t="d">
        <x:v>2026-08-17T00:00:00.000Z</x:v>
      </x:c>
      <x:c r="I206"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06" s="6" t="str">
        <x:v>F001</x:v>
      </x:c>
      <x:c r="K206" s="6" t="str">
        <x:v>纳入字段</x:v>
      </x:c>
      <x:c r="L206" s="6" t="str"/>
    </x:row>
    <x:row r="207" ht="136" customHeight="1">
      <x:c r="A207" s="6" t="str">
        <x:v>R0177</x:v>
      </x:c>
      <x:c r="B207" s="6" t="str">
        <x:v>字段</x:v>
      </x:c>
      <x:c r="C207" s="17" t="n">
        <x:v>1</x:v>
      </x:c>
      <x:c r="D207" s="6" t="str">
        <x:v>山东海能科学仪器有限公司</x:v>
      </x:c>
      <x:c r="E207" s="6" t="str">
        <x:v>营业收入</x:v>
      </x:c>
      <x:c r="F207" s="6" t="str">
        <x:v>68453805.66</x:v>
      </x:c>
      <x:c r="G207" s="6" t="str">
        <x:v>人民币元</x:v>
      </x:c>
      <x:c r="H207" s="20" t="d">
        <x:v>2026-08-17T00:00:00.000Z</x:v>
      </x:c>
      <x:c r="I207"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07" s="6" t="str">
        <x:v>F001</x:v>
      </x:c>
      <x:c r="K207" s="6" t="str">
        <x:v>纳入字段</x:v>
      </x:c>
      <x:c r="L207" s="6" t="str">
        <x:v>已核实原值</x:v>
      </x:c>
    </x:row>
    <x:row r="208" ht="120" customHeight="1">
      <x:c r="A208" s="6" t="str">
        <x:v>R0177</x:v>
      </x:c>
      <x:c r="B208" s="6" t="str">
        <x:v>字段</x:v>
      </x:c>
      <x:c r="C208" s="17" t="n">
        <x:v>2</x:v>
      </x:c>
      <x:c r="D208" s="6" t="str">
        <x:v>山东海能科学仪器有限公司</x:v>
      </x:c>
      <x:c r="E208" s="6" t="str">
        <x:v>营业收入</x:v>
      </x:c>
      <x:c r="F208" s="6" t="str"/>
      <x:c r="G208" s="6" t="str">
        <x:v>人民币元</x:v>
      </x:c>
      <x:c r="H208" s="20" t="d">
        <x:v>2026-08-17T00:00:00.000Z</x:v>
      </x:c>
      <x:c r="I208"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08" s="6" t="str">
        <x:v>F001</x:v>
      </x:c>
      <x:c r="K208" s="6" t="str">
        <x:v>纳入字段</x:v>
      </x:c>
      <x:c r="L208" s="6" t="str"/>
    </x:row>
    <x:row r="209" ht="136" customHeight="1">
      <x:c r="A209" s="6" t="str">
        <x:v>R0178</x:v>
      </x:c>
      <x:c r="B209" s="6" t="str">
        <x:v>字段</x:v>
      </x:c>
      <x:c r="C209" s="17" t="n">
        <x:v>1</x:v>
      </x:c>
      <x:c r="D209" s="6" t="str">
        <x:v>山东海能科学仪器有限公司</x:v>
      </x:c>
      <x:c r="E209" s="6" t="str">
        <x:v>净利润</x:v>
      </x:c>
      <x:c r="F209" s="6" t="str">
        <x:v>430856.65</x:v>
      </x:c>
      <x:c r="G209" s="6" t="str">
        <x:v>人民币元</x:v>
      </x:c>
      <x:c r="H209" s="20" t="d">
        <x:v>2026-08-17T00:00:00.000Z</x:v>
      </x:c>
      <x:c r="I209"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09" s="6" t="str">
        <x:v>F001</x:v>
      </x:c>
      <x:c r="K209" s="6" t="str">
        <x:v>纳入字段</x:v>
      </x:c>
      <x:c r="L209" s="6" t="str">
        <x:v>已核实原值</x:v>
      </x:c>
    </x:row>
    <x:row r="210" ht="120" customHeight="1">
      <x:c r="A210" s="6" t="str">
        <x:v>R0178</x:v>
      </x:c>
      <x:c r="B210" s="6" t="str">
        <x:v>字段</x:v>
      </x:c>
      <x:c r="C210" s="17" t="n">
        <x:v>2</x:v>
      </x:c>
      <x:c r="D210" s="6" t="str">
        <x:v>山东海能科学仪器有限公司</x:v>
      </x:c>
      <x:c r="E210" s="6" t="str">
        <x:v>净利润</x:v>
      </x:c>
      <x:c r="F210" s="6" t="str"/>
      <x:c r="G210" s="6" t="str">
        <x:v>人民币元</x:v>
      </x:c>
      <x:c r="H210" s="20" t="d">
        <x:v>2026-08-17T00:00:00.000Z</x:v>
      </x:c>
      <x:c r="I210"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10" s="6" t="str">
        <x:v>F001</x:v>
      </x:c>
      <x:c r="K210" s="6" t="str">
        <x:v>纳入字段</x:v>
      </x:c>
      <x:c r="L210" s="6" t="str"/>
    </x:row>
    <x:row r="211" ht="136" customHeight="1">
      <x:c r="A211" s="6" t="str">
        <x:v>R0179</x:v>
      </x:c>
      <x:c r="B211" s="6" t="str">
        <x:v>字段</x:v>
      </x:c>
      <x:c r="C211" s="17" t="n">
        <x:v>1</x:v>
      </x:c>
      <x:c r="D211" s="6" t="str">
        <x:v>苏州新仪科学仪器有限公司</x:v>
      </x:c>
      <x:c r="E211" s="6" t="str">
        <x:v>注册资本</x:v>
      </x:c>
      <x:c r="F211" s="15" t="str">
        <x:v>30000000</x:v>
      </x:c>
      <x:c r="G211" s="6" t="str">
        <x:v>人民币元</x:v>
      </x:c>
      <x:c r="H211" s="20" t="d">
        <x:v>2026-08-17T00:00:00.000Z</x:v>
      </x:c>
      <x:c r="I211"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11" s="6" t="str">
        <x:v>F001</x:v>
      </x:c>
      <x:c r="K211" s="6" t="str">
        <x:v>纳入字段</x:v>
      </x:c>
      <x:c r="L211" s="6" t="str">
        <x:v>已核实原值</x:v>
      </x:c>
    </x:row>
    <x:row r="212" ht="120" customHeight="1">
      <x:c r="A212" s="6" t="str">
        <x:v>R0179</x:v>
      </x:c>
      <x:c r="B212" s="6" t="str">
        <x:v>字段</x:v>
      </x:c>
      <x:c r="C212" s="17" t="n">
        <x:v>2</x:v>
      </x:c>
      <x:c r="D212" s="6" t="str">
        <x:v>苏州新仪科学仪器有限公司</x:v>
      </x:c>
      <x:c r="E212" s="6" t="str">
        <x:v>注册资本</x:v>
      </x:c>
      <x:c r="F212" s="6" t="str"/>
      <x:c r="G212" s="6" t="str">
        <x:v>人民币元</x:v>
      </x:c>
      <x:c r="H212" s="20" t="d">
        <x:v>2026-08-17T00:00:00.000Z</x:v>
      </x:c>
      <x:c r="I212"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12" s="6" t="str">
        <x:v>F001</x:v>
      </x:c>
      <x:c r="K212" s="6" t="str">
        <x:v>纳入字段</x:v>
      </x:c>
      <x:c r="L212" s="6" t="str"/>
    </x:row>
    <x:row r="213" ht="136" customHeight="1">
      <x:c r="A213" s="6" t="str">
        <x:v>R0180</x:v>
      </x:c>
      <x:c r="B213" s="6" t="str">
        <x:v>字段</x:v>
      </x:c>
      <x:c r="C213" s="17" t="n">
        <x:v>1</x:v>
      </x:c>
      <x:c r="D213" s="6" t="str">
        <x:v>苏州新仪科学仪器有限公司</x:v>
      </x:c>
      <x:c r="E213" s="6" t="str">
        <x:v>总资产</x:v>
      </x:c>
      <x:c r="F213" s="6" t="str">
        <x:v>12657169.14</x:v>
      </x:c>
      <x:c r="G213" s="6" t="str">
        <x:v>人民币元</x:v>
      </x:c>
      <x:c r="H213" s="20" t="d">
        <x:v>2026-08-17T00:00:00.000Z</x:v>
      </x:c>
      <x:c r="I213"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13" s="6" t="str">
        <x:v>F001</x:v>
      </x:c>
      <x:c r="K213" s="6" t="str">
        <x:v>纳入字段</x:v>
      </x:c>
      <x:c r="L213" s="6" t="str">
        <x:v>已核实原值</x:v>
      </x:c>
    </x:row>
    <x:row r="214" ht="120" customHeight="1">
      <x:c r="A214" s="6" t="str">
        <x:v>R0180</x:v>
      </x:c>
      <x:c r="B214" s="6" t="str">
        <x:v>字段</x:v>
      </x:c>
      <x:c r="C214" s="17" t="n">
        <x:v>2</x:v>
      </x:c>
      <x:c r="D214" s="6" t="str">
        <x:v>苏州新仪科学仪器有限公司</x:v>
      </x:c>
      <x:c r="E214" s="6" t="str">
        <x:v>总资产</x:v>
      </x:c>
      <x:c r="F214" s="6" t="str"/>
      <x:c r="G214" s="6" t="str">
        <x:v>人民币元</x:v>
      </x:c>
      <x:c r="H214" s="20" t="d">
        <x:v>2026-08-17T00:00:00.000Z</x:v>
      </x:c>
      <x:c r="I214"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14" s="6" t="str">
        <x:v>F001</x:v>
      </x:c>
      <x:c r="K214" s="6" t="str">
        <x:v>纳入字段</x:v>
      </x:c>
      <x:c r="L214" s="6" t="str"/>
    </x:row>
    <x:row r="215" ht="136" customHeight="1">
      <x:c r="A215" s="6" t="str">
        <x:v>R0181</x:v>
      </x:c>
      <x:c r="B215" s="6" t="str">
        <x:v>字段</x:v>
      </x:c>
      <x:c r="C215" s="17" t="n">
        <x:v>1</x:v>
      </x:c>
      <x:c r="D215" s="6" t="str">
        <x:v>苏州新仪科学仪器有限公司</x:v>
      </x:c>
      <x:c r="E215" s="6" t="str">
        <x:v>净资产</x:v>
      </x:c>
      <x:c r="F215" s="6" t="str">
        <x:v>11420170.19</x:v>
      </x:c>
      <x:c r="G215" s="6" t="str">
        <x:v>人民币元</x:v>
      </x:c>
      <x:c r="H215" s="20" t="d">
        <x:v>2026-08-17T00:00:00.000Z</x:v>
      </x:c>
      <x:c r="I215"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15" s="6" t="str">
        <x:v>F001</x:v>
      </x:c>
      <x:c r="K215" s="6" t="str">
        <x:v>纳入字段</x:v>
      </x:c>
      <x:c r="L215" s="6" t="str">
        <x:v>已核实原值</x:v>
      </x:c>
    </x:row>
    <x:row r="216" ht="120" customHeight="1">
      <x:c r="A216" s="6" t="str">
        <x:v>R0181</x:v>
      </x:c>
      <x:c r="B216" s="6" t="str">
        <x:v>字段</x:v>
      </x:c>
      <x:c r="C216" s="17" t="n">
        <x:v>2</x:v>
      </x:c>
      <x:c r="D216" s="6" t="str">
        <x:v>苏州新仪科学仪器有限公司</x:v>
      </x:c>
      <x:c r="E216" s="6" t="str">
        <x:v>净资产</x:v>
      </x:c>
      <x:c r="F216" s="6" t="str"/>
      <x:c r="G216" s="6" t="str">
        <x:v>人民币元</x:v>
      </x:c>
      <x:c r="H216" s="20" t="d">
        <x:v>2026-08-17T00:00:00.000Z</x:v>
      </x:c>
      <x:c r="I216"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16" s="6" t="str">
        <x:v>F001</x:v>
      </x:c>
      <x:c r="K216" s="6" t="str">
        <x:v>纳入字段</x:v>
      </x:c>
      <x:c r="L216" s="6" t="str"/>
    </x:row>
    <x:row r="217" ht="136" customHeight="1">
      <x:c r="A217" s="6" t="str">
        <x:v>R0182</x:v>
      </x:c>
      <x:c r="B217" s="6" t="str">
        <x:v>字段</x:v>
      </x:c>
      <x:c r="C217" s="17" t="n">
        <x:v>1</x:v>
      </x:c>
      <x:c r="D217" s="6" t="str">
        <x:v>苏州新仪科学仪器有限公司</x:v>
      </x:c>
      <x:c r="E217" s="6" t="str">
        <x:v>营业收入</x:v>
      </x:c>
      <x:c r="F217" s="6" t="str">
        <x:v>4564853.26</x:v>
      </x:c>
      <x:c r="G217" s="6" t="str">
        <x:v>人民币元</x:v>
      </x:c>
      <x:c r="H217" s="20" t="d">
        <x:v>2026-08-17T00:00:00.000Z</x:v>
      </x:c>
      <x:c r="I217"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17" s="6" t="str">
        <x:v>F001</x:v>
      </x:c>
      <x:c r="K217" s="6" t="str">
        <x:v>纳入字段</x:v>
      </x:c>
      <x:c r="L217" s="6" t="str">
        <x:v>已核实原值</x:v>
      </x:c>
    </x:row>
    <x:row r="218" ht="120" customHeight="1">
      <x:c r="A218" s="6" t="str">
        <x:v>R0182</x:v>
      </x:c>
      <x:c r="B218" s="6" t="str">
        <x:v>字段</x:v>
      </x:c>
      <x:c r="C218" s="17" t="n">
        <x:v>2</x:v>
      </x:c>
      <x:c r="D218" s="6" t="str">
        <x:v>苏州新仪科学仪器有限公司</x:v>
      </x:c>
      <x:c r="E218" s="6" t="str">
        <x:v>营业收入</x:v>
      </x:c>
      <x:c r="F218" s="6" t="str"/>
      <x:c r="G218" s="6" t="str">
        <x:v>人民币元</x:v>
      </x:c>
      <x:c r="H218" s="20" t="d">
        <x:v>2026-08-17T00:00:00.000Z</x:v>
      </x:c>
      <x:c r="I218"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18" s="6" t="str">
        <x:v>F001</x:v>
      </x:c>
      <x:c r="K218" s="6" t="str">
        <x:v>纳入字段</x:v>
      </x:c>
      <x:c r="L218" s="6" t="str"/>
    </x:row>
    <x:row r="219" ht="136" customHeight="1">
      <x:c r="A219" s="6" t="str">
        <x:v>R0183</x:v>
      </x:c>
      <x:c r="B219" s="6" t="str">
        <x:v>字段</x:v>
      </x:c>
      <x:c r="C219" s="17" t="n">
        <x:v>1</x:v>
      </x:c>
      <x:c r="D219" s="6" t="str">
        <x:v>苏州新仪科学仪器有限公司</x:v>
      </x:c>
      <x:c r="E219" s="6" t="str">
        <x:v>净利润</x:v>
      </x:c>
      <x:c r="F219" s="6" t="str">
        <x:v>1451859.78</x:v>
      </x:c>
      <x:c r="G219" s="6" t="str">
        <x:v>人民币元</x:v>
      </x:c>
      <x:c r="H219" s="20" t="d">
        <x:v>2026-08-17T00:00:00.000Z</x:v>
      </x:c>
      <x:c r="I219"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19" s="6" t="str">
        <x:v>F001</x:v>
      </x:c>
      <x:c r="K219" s="6" t="str">
        <x:v>纳入字段</x:v>
      </x:c>
      <x:c r="L219" s="6" t="str">
        <x:v>已核实原值</x:v>
      </x:c>
    </x:row>
    <x:row r="220" ht="120" customHeight="1">
      <x:c r="A220" s="6" t="str">
        <x:v>R0183</x:v>
      </x:c>
      <x:c r="B220" s="6" t="str">
        <x:v>字段</x:v>
      </x:c>
      <x:c r="C220" s="17" t="n">
        <x:v>2</x:v>
      </x:c>
      <x:c r="D220" s="6" t="str">
        <x:v>苏州新仪科学仪器有限公司</x:v>
      </x:c>
      <x:c r="E220" s="6" t="str">
        <x:v>净利润</x:v>
      </x:c>
      <x:c r="F220" s="6" t="str"/>
      <x:c r="G220" s="6" t="str">
        <x:v>人民币元</x:v>
      </x:c>
      <x:c r="H220" s="20" t="d">
        <x:v>2026-08-17T00:00:00.000Z</x:v>
      </x:c>
      <x:c r="I220"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20" s="6" t="str">
        <x:v>F001</x:v>
      </x:c>
      <x:c r="K220" s="6" t="str">
        <x:v>纳入字段</x:v>
      </x:c>
      <x:c r="L220" s="6" t="str"/>
    </x:row>
    <x:row r="221" ht="136" customHeight="1">
      <x:c r="A221" s="6" t="str">
        <x:v>R0184</x:v>
      </x:c>
      <x:c r="B221" s="6" t="str">
        <x:v>字段</x:v>
      </x:c>
      <x:c r="C221" s="17" t="n">
        <x:v>1</x:v>
      </x:c>
      <x:c r="D221" s="6" t="str">
        <x:v>上海新仪微波化学科技有限公司</x:v>
      </x:c>
      <x:c r="E221" s="6" t="str">
        <x:v>注册资本</x:v>
      </x:c>
      <x:c r="F221" s="15" t="str">
        <x:v>10000000</x:v>
      </x:c>
      <x:c r="G221" s="6" t="str">
        <x:v>人民币元</x:v>
      </x:c>
      <x:c r="H221" s="20" t="d">
        <x:v>2026-08-17T00:00:00.000Z</x:v>
      </x:c>
      <x:c r="I221"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21" s="6" t="str">
        <x:v>F001</x:v>
      </x:c>
      <x:c r="K221" s="6" t="str">
        <x:v>纳入字段</x:v>
      </x:c>
      <x:c r="L221" s="6" t="str">
        <x:v>已核实原值</x:v>
      </x:c>
    </x:row>
    <x:row r="222" ht="120" customHeight="1">
      <x:c r="A222" s="6" t="str">
        <x:v>R0184</x:v>
      </x:c>
      <x:c r="B222" s="6" t="str">
        <x:v>字段</x:v>
      </x:c>
      <x:c r="C222" s="17" t="n">
        <x:v>2</x:v>
      </x:c>
      <x:c r="D222" s="6" t="str">
        <x:v>上海新仪微波化学科技有限公司</x:v>
      </x:c>
      <x:c r="E222" s="6" t="str">
        <x:v>注册资本</x:v>
      </x:c>
      <x:c r="F222" s="6" t="str"/>
      <x:c r="G222" s="6" t="str">
        <x:v>人民币元</x:v>
      </x:c>
      <x:c r="H222" s="20" t="d">
        <x:v>2026-08-17T00:00:00.000Z</x:v>
      </x:c>
      <x:c r="I222"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22" s="6" t="str">
        <x:v>F001</x:v>
      </x:c>
      <x:c r="K222" s="6" t="str">
        <x:v>纳入字段</x:v>
      </x:c>
      <x:c r="L222" s="6" t="str"/>
    </x:row>
    <x:row r="223" ht="136" customHeight="1">
      <x:c r="A223" s="6" t="str">
        <x:v>R0185</x:v>
      </x:c>
      <x:c r="B223" s="6" t="str">
        <x:v>字段</x:v>
      </x:c>
      <x:c r="C223" s="17" t="n">
        <x:v>1</x:v>
      </x:c>
      <x:c r="D223" s="6" t="str">
        <x:v>上海新仪微波化学科技有限公司</x:v>
      </x:c>
      <x:c r="E223" s="6" t="str">
        <x:v>总资产</x:v>
      </x:c>
      <x:c r="F223" s="6" t="str">
        <x:v>28376741.08</x:v>
      </x:c>
      <x:c r="G223" s="6" t="str">
        <x:v>人民币元</x:v>
      </x:c>
      <x:c r="H223" s="20" t="d">
        <x:v>2026-08-17T00:00:00.000Z</x:v>
      </x:c>
      <x:c r="I223"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23" s="6" t="str">
        <x:v>F001</x:v>
      </x:c>
      <x:c r="K223" s="6" t="str">
        <x:v>纳入字段</x:v>
      </x:c>
      <x:c r="L223" s="6" t="str">
        <x:v>已核实原值</x:v>
      </x:c>
    </x:row>
    <x:row r="224" ht="120" customHeight="1">
      <x:c r="A224" s="6" t="str">
        <x:v>R0185</x:v>
      </x:c>
      <x:c r="B224" s="6" t="str">
        <x:v>字段</x:v>
      </x:c>
      <x:c r="C224" s="17" t="n">
        <x:v>2</x:v>
      </x:c>
      <x:c r="D224" s="6" t="str">
        <x:v>上海新仪微波化学科技有限公司</x:v>
      </x:c>
      <x:c r="E224" s="6" t="str">
        <x:v>总资产</x:v>
      </x:c>
      <x:c r="F224" s="6" t="str"/>
      <x:c r="G224" s="6" t="str">
        <x:v>人民币元</x:v>
      </x:c>
      <x:c r="H224" s="20" t="d">
        <x:v>2026-08-17T00:00:00.000Z</x:v>
      </x:c>
      <x:c r="I224"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24" s="6" t="str">
        <x:v>F001</x:v>
      </x:c>
      <x:c r="K224" s="6" t="str">
        <x:v>纳入字段</x:v>
      </x:c>
      <x:c r="L224" s="6" t="str"/>
    </x:row>
    <x:row r="225" ht="136" customHeight="1">
      <x:c r="A225" s="6" t="str">
        <x:v>R0186</x:v>
      </x:c>
      <x:c r="B225" s="6" t="str">
        <x:v>字段</x:v>
      </x:c>
      <x:c r="C225" s="17" t="n">
        <x:v>1</x:v>
      </x:c>
      <x:c r="D225" s="6" t="str">
        <x:v>上海新仪微波化学科技有限公司</x:v>
      </x:c>
      <x:c r="E225" s="6" t="str">
        <x:v>净资产</x:v>
      </x:c>
      <x:c r="F225" s="6" t="str">
        <x:v>21868946.47</x:v>
      </x:c>
      <x:c r="G225" s="6" t="str">
        <x:v>人民币元</x:v>
      </x:c>
      <x:c r="H225" s="20" t="d">
        <x:v>2026-08-17T00:00:00.000Z</x:v>
      </x:c>
      <x:c r="I225"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25" s="6" t="str">
        <x:v>F001</x:v>
      </x:c>
      <x:c r="K225" s="6" t="str">
        <x:v>纳入字段</x:v>
      </x:c>
      <x:c r="L225" s="6" t="str">
        <x:v>已核实原值</x:v>
      </x:c>
    </x:row>
    <x:row r="226" ht="120" customHeight="1">
      <x:c r="A226" s="6" t="str">
        <x:v>R0186</x:v>
      </x:c>
      <x:c r="B226" s="6" t="str">
        <x:v>字段</x:v>
      </x:c>
      <x:c r="C226" s="17" t="n">
        <x:v>2</x:v>
      </x:c>
      <x:c r="D226" s="6" t="str">
        <x:v>上海新仪微波化学科技有限公司</x:v>
      </x:c>
      <x:c r="E226" s="6" t="str">
        <x:v>净资产</x:v>
      </x:c>
      <x:c r="F226" s="6" t="str"/>
      <x:c r="G226" s="6" t="str">
        <x:v>人民币元</x:v>
      </x:c>
      <x:c r="H226" s="20" t="d">
        <x:v>2026-08-17T00:00:00.000Z</x:v>
      </x:c>
      <x:c r="I226"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26" s="6" t="str">
        <x:v>F001</x:v>
      </x:c>
      <x:c r="K226" s="6" t="str">
        <x:v>纳入字段</x:v>
      </x:c>
      <x:c r="L226" s="6" t="str"/>
    </x:row>
    <x:row r="227" ht="136" customHeight="1">
      <x:c r="A227" s="6" t="str">
        <x:v>R0187</x:v>
      </x:c>
      <x:c r="B227" s="6" t="str">
        <x:v>字段</x:v>
      </x:c>
      <x:c r="C227" s="17" t="n">
        <x:v>1</x:v>
      </x:c>
      <x:c r="D227" s="6" t="str">
        <x:v>上海新仪微波化学科技有限公司</x:v>
      </x:c>
      <x:c r="E227" s="6" t="str">
        <x:v>营业收入</x:v>
      </x:c>
      <x:c r="F227" s="6" t="str">
        <x:v>25901908.37</x:v>
      </x:c>
      <x:c r="G227" s="6" t="str">
        <x:v>人民币元</x:v>
      </x:c>
      <x:c r="H227" s="20" t="d">
        <x:v>2026-08-17T00:00:00.000Z</x:v>
      </x:c>
      <x:c r="I227"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27" s="6" t="str">
        <x:v>F001</x:v>
      </x:c>
      <x:c r="K227" s="6" t="str">
        <x:v>纳入字段</x:v>
      </x:c>
      <x:c r="L227" s="6" t="str">
        <x:v>已核实原值</x:v>
      </x:c>
    </x:row>
    <x:row r="228" ht="120" customHeight="1">
      <x:c r="A228" s="6" t="str">
        <x:v>R0187</x:v>
      </x:c>
      <x:c r="B228" s="6" t="str">
        <x:v>字段</x:v>
      </x:c>
      <x:c r="C228" s="17" t="n">
        <x:v>2</x:v>
      </x:c>
      <x:c r="D228" s="6" t="str">
        <x:v>上海新仪微波化学科技有限公司</x:v>
      </x:c>
      <x:c r="E228" s="6" t="str">
        <x:v>营业收入</x:v>
      </x:c>
      <x:c r="F228" s="6" t="str"/>
      <x:c r="G228" s="6" t="str">
        <x:v>人民币元</x:v>
      </x:c>
      <x:c r="H228" s="20" t="d">
        <x:v>2026-08-17T00:00:00.000Z</x:v>
      </x:c>
      <x:c r="I228"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28" s="6" t="str">
        <x:v>F001</x:v>
      </x:c>
      <x:c r="K228" s="6" t="str">
        <x:v>纳入字段</x:v>
      </x:c>
      <x:c r="L228" s="6" t="str"/>
    </x:row>
    <x:row r="229" ht="136" customHeight="1">
      <x:c r="A229" s="6" t="str">
        <x:v>R0188</x:v>
      </x:c>
      <x:c r="B229" s="6" t="str">
        <x:v>字段</x:v>
      </x:c>
      <x:c r="C229" s="17" t="n">
        <x:v>1</x:v>
      </x:c>
      <x:c r="D229" s="6" t="str">
        <x:v>上海新仪微波化学科技有限公司</x:v>
      </x:c>
      <x:c r="E229" s="6" t="str">
        <x:v>净利润</x:v>
      </x:c>
      <x:c r="F229" s="6" t="str">
        <x:v>1704666.8</x:v>
      </x:c>
      <x:c r="G229" s="6" t="str">
        <x:v>人民币元</x:v>
      </x:c>
      <x:c r="H229" s="20" t="d">
        <x:v>2026-08-17T00:00:00.000Z</x:v>
      </x:c>
      <x:c r="I229"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29" s="6" t="str">
        <x:v>F001</x:v>
      </x:c>
      <x:c r="K229" s="6" t="str">
        <x:v>纳入字段</x:v>
      </x:c>
      <x:c r="L229" s="6" t="str">
        <x:v>已核实原值</x:v>
      </x:c>
    </x:row>
    <x:row r="230" ht="120" customHeight="1">
      <x:c r="A230" s="6" t="str">
        <x:v>R0188</x:v>
      </x:c>
      <x:c r="B230" s="6" t="str">
        <x:v>字段</x:v>
      </x:c>
      <x:c r="C230" s="17" t="n">
        <x:v>2</x:v>
      </x:c>
      <x:c r="D230" s="6" t="str">
        <x:v>上海新仪微波化学科技有限公司</x:v>
      </x:c>
      <x:c r="E230" s="6" t="str">
        <x:v>净利润</x:v>
      </x:c>
      <x:c r="F230" s="6" t="str"/>
      <x:c r="G230" s="6" t="str">
        <x:v>人民币元</x:v>
      </x:c>
      <x:c r="H230" s="20" t="d">
        <x:v>2026-08-17T00:00:00.000Z</x:v>
      </x:c>
      <x:c r="I230"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30" s="6" t="str">
        <x:v>F001</x:v>
      </x:c>
      <x:c r="K230" s="6" t="str">
        <x:v>纳入字段</x:v>
      </x:c>
      <x:c r="L230" s="6" t="str"/>
    </x:row>
    <x:row r="231" ht="136" customHeight="1">
      <x:c r="A231" s="6" t="str">
        <x:v>R0189</x:v>
      </x:c>
      <x:c r="B231" s="6" t="str">
        <x:v>字段</x:v>
      </x:c>
      <x:c r="C231" s="17" t="n">
        <x:v>1</x:v>
      </x:c>
      <x:c r="D231" s="6" t="str">
        <x:v>海能有为科学仪器（上海）有限公司</x:v>
      </x:c>
      <x:c r="E231" s="6" t="str">
        <x:v>注册资本</x:v>
      </x:c>
      <x:c r="F231" s="15" t="str">
        <x:v>10000000</x:v>
      </x:c>
      <x:c r="G231" s="6" t="str">
        <x:v>人民币元</x:v>
      </x:c>
      <x:c r="H231" s="20" t="d">
        <x:v>2026-08-17T00:00:00.000Z</x:v>
      </x:c>
      <x:c r="I231"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31" s="6" t="str">
        <x:v>F001</x:v>
      </x:c>
      <x:c r="K231" s="6" t="str">
        <x:v>纳入字段</x:v>
      </x:c>
      <x:c r="L231" s="6" t="str">
        <x:v>已核实原值</x:v>
      </x:c>
    </x:row>
    <x:row r="232" ht="120" customHeight="1">
      <x:c r="A232" s="6" t="str">
        <x:v>R0189</x:v>
      </x:c>
      <x:c r="B232" s="6" t="str">
        <x:v>字段</x:v>
      </x:c>
      <x:c r="C232" s="17" t="n">
        <x:v>2</x:v>
      </x:c>
      <x:c r="D232" s="6" t="str">
        <x:v>海能有为科学仪器（上海）有限公司</x:v>
      </x:c>
      <x:c r="E232" s="6" t="str">
        <x:v>注册资本</x:v>
      </x:c>
      <x:c r="F232" s="6" t="str"/>
      <x:c r="G232" s="6" t="str">
        <x:v>人民币元</x:v>
      </x:c>
      <x:c r="H232" s="20" t="d">
        <x:v>2026-08-17T00:00:00.000Z</x:v>
      </x:c>
      <x:c r="I232"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32" s="6" t="str">
        <x:v>F001</x:v>
      </x:c>
      <x:c r="K232" s="6" t="str">
        <x:v>纳入字段</x:v>
      </x:c>
      <x:c r="L232" s="6" t="str"/>
    </x:row>
    <x:row r="233" ht="136" customHeight="1">
      <x:c r="A233" s="6" t="str">
        <x:v>R0190</x:v>
      </x:c>
      <x:c r="B233" s="6" t="str">
        <x:v>字段</x:v>
      </x:c>
      <x:c r="C233" s="17" t="n">
        <x:v>1</x:v>
      </x:c>
      <x:c r="D233" s="6" t="str">
        <x:v>海能有为科学仪器（上海）有限公司</x:v>
      </x:c>
      <x:c r="E233" s="6" t="str">
        <x:v>总资产</x:v>
      </x:c>
      <x:c r="F233" s="6" t="str">
        <x:v>16192629.48</x:v>
      </x:c>
      <x:c r="G233" s="6" t="str">
        <x:v>人民币元</x:v>
      </x:c>
      <x:c r="H233" s="20" t="d">
        <x:v>2026-08-17T00:00:00.000Z</x:v>
      </x:c>
      <x:c r="I233"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33" s="6" t="str">
        <x:v>F001</x:v>
      </x:c>
      <x:c r="K233" s="6" t="str">
        <x:v>纳入字段</x:v>
      </x:c>
      <x:c r="L233" s="6" t="str">
        <x:v>已核实原值</x:v>
      </x:c>
    </x:row>
    <x:row r="234" ht="120" customHeight="1">
      <x:c r="A234" s="6" t="str">
        <x:v>R0190</x:v>
      </x:c>
      <x:c r="B234" s="6" t="str">
        <x:v>字段</x:v>
      </x:c>
      <x:c r="C234" s="17" t="n">
        <x:v>2</x:v>
      </x:c>
      <x:c r="D234" s="6" t="str">
        <x:v>海能有为科学仪器（上海）有限公司</x:v>
      </x:c>
      <x:c r="E234" s="6" t="str">
        <x:v>总资产</x:v>
      </x:c>
      <x:c r="F234" s="6" t="str"/>
      <x:c r="G234" s="6" t="str">
        <x:v>人民币元</x:v>
      </x:c>
      <x:c r="H234" s="20" t="d">
        <x:v>2026-08-17T00:00:00.000Z</x:v>
      </x:c>
      <x:c r="I234"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34" s="6" t="str">
        <x:v>F001</x:v>
      </x:c>
      <x:c r="K234" s="6" t="str">
        <x:v>纳入字段</x:v>
      </x:c>
      <x:c r="L234" s="6" t="str"/>
    </x:row>
    <x:row r="235" ht="136" customHeight="1">
      <x:c r="A235" s="6" t="str">
        <x:v>R0191</x:v>
      </x:c>
      <x:c r="B235" s="6" t="str">
        <x:v>字段</x:v>
      </x:c>
      <x:c r="C235" s="17" t="n">
        <x:v>1</x:v>
      </x:c>
      <x:c r="D235" s="6" t="str">
        <x:v>海能有为科学仪器（上海）有限公司</x:v>
      </x:c>
      <x:c r="E235" s="6" t="str">
        <x:v>净资产</x:v>
      </x:c>
      <x:c r="F235" s="6" t="str">
        <x:v>14110709.23</x:v>
      </x:c>
      <x:c r="G235" s="6" t="str">
        <x:v>人民币元</x:v>
      </x:c>
      <x:c r="H235" s="20" t="d">
        <x:v>2026-08-17T00:00:00.000Z</x:v>
      </x:c>
      <x:c r="I235"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35" s="6" t="str">
        <x:v>F001</x:v>
      </x:c>
      <x:c r="K235" s="6" t="str">
        <x:v>纳入字段</x:v>
      </x:c>
      <x:c r="L235" s="6" t="str">
        <x:v>已核实原值</x:v>
      </x:c>
    </x:row>
    <x:row r="236" ht="120" customHeight="1">
      <x:c r="A236" s="6" t="str">
        <x:v>R0191</x:v>
      </x:c>
      <x:c r="B236" s="6" t="str">
        <x:v>字段</x:v>
      </x:c>
      <x:c r="C236" s="17" t="n">
        <x:v>2</x:v>
      </x:c>
      <x:c r="D236" s="6" t="str">
        <x:v>海能有为科学仪器（上海）有限公司</x:v>
      </x:c>
      <x:c r="E236" s="6" t="str">
        <x:v>净资产</x:v>
      </x:c>
      <x:c r="F236" s="6" t="str"/>
      <x:c r="G236" s="6" t="str">
        <x:v>人民币元</x:v>
      </x:c>
      <x:c r="H236" s="20" t="d">
        <x:v>2026-08-17T00:00:00.000Z</x:v>
      </x:c>
      <x:c r="I236"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36" s="6" t="str">
        <x:v>F001</x:v>
      </x:c>
      <x:c r="K236" s="6" t="str">
        <x:v>纳入字段</x:v>
      </x:c>
      <x:c r="L236" s="6" t="str"/>
    </x:row>
    <x:row r="237" ht="136" customHeight="1">
      <x:c r="A237" s="6" t="str">
        <x:v>R0192</x:v>
      </x:c>
      <x:c r="B237" s="6" t="str">
        <x:v>字段</x:v>
      </x:c>
      <x:c r="C237" s="17" t="n">
        <x:v>1</x:v>
      </x:c>
      <x:c r="D237" s="6" t="str">
        <x:v>海能有为科学仪器（上海）有限公司</x:v>
      </x:c>
      <x:c r="E237" s="6" t="str">
        <x:v>营业收入</x:v>
      </x:c>
      <x:c r="F237" s="15" t="str">
        <x:v>15925208</x:v>
      </x:c>
      <x:c r="G237" s="6" t="str">
        <x:v>人民币元</x:v>
      </x:c>
      <x:c r="H237" s="20" t="d">
        <x:v>2026-08-17T00:00:00.000Z</x:v>
      </x:c>
      <x:c r="I237"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37" s="6" t="str">
        <x:v>F001</x:v>
      </x:c>
      <x:c r="K237" s="6" t="str">
        <x:v>纳入字段</x:v>
      </x:c>
      <x:c r="L237" s="6" t="str">
        <x:v>已核实原值</x:v>
      </x:c>
    </x:row>
    <x:row r="238" ht="120" customHeight="1">
      <x:c r="A238" s="6" t="str">
        <x:v>R0192</x:v>
      </x:c>
      <x:c r="B238" s="6" t="str">
        <x:v>字段</x:v>
      </x:c>
      <x:c r="C238" s="17" t="n">
        <x:v>2</x:v>
      </x:c>
      <x:c r="D238" s="6" t="str">
        <x:v>海能有为科学仪器（上海）有限公司</x:v>
      </x:c>
      <x:c r="E238" s="6" t="str">
        <x:v>营业收入</x:v>
      </x:c>
      <x:c r="F238" s="6" t="str"/>
      <x:c r="G238" s="6" t="str">
        <x:v>人民币元</x:v>
      </x:c>
      <x:c r="H238" s="20" t="d">
        <x:v>2026-08-17T00:00:00.000Z</x:v>
      </x:c>
      <x:c r="I238"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38" s="6" t="str">
        <x:v>F001</x:v>
      </x:c>
      <x:c r="K238" s="6" t="str">
        <x:v>纳入字段</x:v>
      </x:c>
      <x:c r="L238" s="6" t="str"/>
    </x:row>
    <x:row r="239" ht="136" customHeight="1">
      <x:c r="A239" s="6" t="str">
        <x:v>R0193</x:v>
      </x:c>
      <x:c r="B239" s="6" t="str">
        <x:v>字段</x:v>
      </x:c>
      <x:c r="C239" s="17" t="n">
        <x:v>1</x:v>
      </x:c>
      <x:c r="D239" s="6" t="str">
        <x:v>海能有为科学仪器（上海）有限公司</x:v>
      </x:c>
      <x:c r="E239" s="6" t="str">
        <x:v>净利润</x:v>
      </x:c>
      <x:c r="F239" s="6" t="str">
        <x:v>5943047.17</x:v>
      </x:c>
      <x:c r="G239" s="6" t="str">
        <x:v>人民币元</x:v>
      </x:c>
      <x:c r="H239" s="20" t="d">
        <x:v>2026-08-17T00:00:00.000Z</x:v>
      </x:c>
      <x:c r="I239"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39" s="6" t="str">
        <x:v>F001</x:v>
      </x:c>
      <x:c r="K239" s="6" t="str">
        <x:v>纳入字段</x:v>
      </x:c>
      <x:c r="L239" s="6" t="str">
        <x:v>已核实原值</x:v>
      </x:c>
    </x:row>
    <x:row r="240" ht="120" customHeight="1">
      <x:c r="A240" s="6" t="str">
        <x:v>R0193</x:v>
      </x:c>
      <x:c r="B240" s="6" t="str">
        <x:v>字段</x:v>
      </x:c>
      <x:c r="C240" s="17" t="n">
        <x:v>2</x:v>
      </x:c>
      <x:c r="D240" s="6" t="str">
        <x:v>海能有为科学仪器（上海）有限公司</x:v>
      </x:c>
      <x:c r="E240" s="6" t="str">
        <x:v>净利润</x:v>
      </x:c>
      <x:c r="F240" s="6" t="str"/>
      <x:c r="G240" s="6" t="str">
        <x:v>人民币元</x:v>
      </x:c>
      <x:c r="H240" s="20" t="d">
        <x:v>2026-08-17T00:00:00.000Z</x:v>
      </x:c>
      <x:c r="I240"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40" s="6" t="str">
        <x:v>F001</x:v>
      </x:c>
      <x:c r="K240" s="6" t="str">
        <x:v>纳入字段</x:v>
      </x:c>
      <x:c r="L240" s="6" t="str"/>
    </x:row>
    <x:row r="241" ht="136" customHeight="1">
      <x:c r="A241" s="6" t="str">
        <x:v>R0194</x:v>
      </x:c>
      <x:c r="B241" s="6" t="str">
        <x:v>字段</x:v>
      </x:c>
      <x:c r="C241" s="17" t="n">
        <x:v>1</x:v>
      </x:c>
      <x:c r="D241" s="6" t="str">
        <x:v>悟空科学仪器（上海）有限公司</x:v>
      </x:c>
      <x:c r="E241" s="6" t="str">
        <x:v>注册资本</x:v>
      </x:c>
      <x:c r="F241" s="15" t="str">
        <x:v>20000000</x:v>
      </x:c>
      <x:c r="G241" s="6" t="str">
        <x:v>人民币元</x:v>
      </x:c>
      <x:c r="H241" s="20" t="d">
        <x:v>2026-08-17T00:00:00.000Z</x:v>
      </x:c>
      <x:c r="I241"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41" s="6" t="str">
        <x:v>F001</x:v>
      </x:c>
      <x:c r="K241" s="6" t="str">
        <x:v>纳入字段</x:v>
      </x:c>
      <x:c r="L241" s="6" t="str">
        <x:v>已核实原值</x:v>
      </x:c>
    </x:row>
    <x:row r="242" ht="120" customHeight="1">
      <x:c r="A242" s="6" t="str">
        <x:v>R0194</x:v>
      </x:c>
      <x:c r="B242" s="6" t="str">
        <x:v>字段</x:v>
      </x:c>
      <x:c r="C242" s="17" t="n">
        <x:v>2</x:v>
      </x:c>
      <x:c r="D242" s="6" t="str">
        <x:v>悟空科学仪器（上海）有限公司</x:v>
      </x:c>
      <x:c r="E242" s="6" t="str">
        <x:v>注册资本</x:v>
      </x:c>
      <x:c r="F242" s="6" t="str"/>
      <x:c r="G242" s="6" t="str">
        <x:v>人民币元</x:v>
      </x:c>
      <x:c r="H242" s="20" t="d">
        <x:v>2026-08-17T00:00:00.000Z</x:v>
      </x:c>
      <x:c r="I242"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42" s="6" t="str">
        <x:v>F001</x:v>
      </x:c>
      <x:c r="K242" s="6" t="str">
        <x:v>纳入字段</x:v>
      </x:c>
      <x:c r="L242" s="6" t="str"/>
    </x:row>
    <x:row r="243" ht="136" customHeight="1">
      <x:c r="A243" s="6" t="str">
        <x:v>R0195</x:v>
      </x:c>
      <x:c r="B243" s="6" t="str">
        <x:v>字段</x:v>
      </x:c>
      <x:c r="C243" s="17" t="n">
        <x:v>1</x:v>
      </x:c>
      <x:c r="D243" s="6" t="str">
        <x:v>悟空科学仪器（上海）有限公司</x:v>
      </x:c>
      <x:c r="E243" s="6" t="str">
        <x:v>总资产</x:v>
      </x:c>
      <x:c r="F243" s="6" t="str">
        <x:v>24155097.76</x:v>
      </x:c>
      <x:c r="G243" s="6" t="str">
        <x:v>人民币元</x:v>
      </x:c>
      <x:c r="H243" s="20" t="d">
        <x:v>2026-08-17T00:00:00.000Z</x:v>
      </x:c>
      <x:c r="I243"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43" s="6" t="str">
        <x:v>F001</x:v>
      </x:c>
      <x:c r="K243" s="6" t="str">
        <x:v>纳入字段</x:v>
      </x:c>
      <x:c r="L243" s="6" t="str">
        <x:v>已核实原值</x:v>
      </x:c>
    </x:row>
    <x:row r="244" ht="120" customHeight="1">
      <x:c r="A244" s="6" t="str">
        <x:v>R0195</x:v>
      </x:c>
      <x:c r="B244" s="6" t="str">
        <x:v>字段</x:v>
      </x:c>
      <x:c r="C244" s="17" t="n">
        <x:v>2</x:v>
      </x:c>
      <x:c r="D244" s="6" t="str">
        <x:v>悟空科学仪器（上海）有限公司</x:v>
      </x:c>
      <x:c r="E244" s="6" t="str">
        <x:v>总资产</x:v>
      </x:c>
      <x:c r="F244" s="6" t="str"/>
      <x:c r="G244" s="6" t="str">
        <x:v>人民币元</x:v>
      </x:c>
      <x:c r="H244" s="20" t="d">
        <x:v>2026-08-17T00:00:00.000Z</x:v>
      </x:c>
      <x:c r="I244"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44" s="6" t="str">
        <x:v>F001</x:v>
      </x:c>
      <x:c r="K244" s="6" t="str">
        <x:v>纳入字段</x:v>
      </x:c>
      <x:c r="L244" s="6" t="str"/>
    </x:row>
    <x:row r="245" ht="136" customHeight="1">
      <x:c r="A245" s="6" t="str">
        <x:v>R0196</x:v>
      </x:c>
      <x:c r="B245" s="6" t="str">
        <x:v>字段</x:v>
      </x:c>
      <x:c r="C245" s="17" t="n">
        <x:v>1</x:v>
      </x:c>
      <x:c r="D245" s="6" t="str">
        <x:v>悟空科学仪器（上海）有限公司</x:v>
      </x:c>
      <x:c r="E245" s="6" t="str">
        <x:v>净资产</x:v>
      </x:c>
      <x:c r="F245" s="6" t="str">
        <x:v>-40007406.67</x:v>
      </x:c>
      <x:c r="G245" s="6" t="str">
        <x:v>人民币元</x:v>
      </x:c>
      <x:c r="H245" s="20" t="d">
        <x:v>2026-08-17T00:00:00.000Z</x:v>
      </x:c>
      <x:c r="I245"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45" s="6" t="str">
        <x:v>F001</x:v>
      </x:c>
      <x:c r="K245" s="6" t="str">
        <x:v>纳入字段</x:v>
      </x:c>
      <x:c r="L245" s="6" t="str">
        <x:v>已核实原值</x:v>
      </x:c>
    </x:row>
    <x:row r="246" ht="120" customHeight="1">
      <x:c r="A246" s="6" t="str">
        <x:v>R0196</x:v>
      </x:c>
      <x:c r="B246" s="6" t="str">
        <x:v>字段</x:v>
      </x:c>
      <x:c r="C246" s="17" t="n">
        <x:v>2</x:v>
      </x:c>
      <x:c r="D246" s="6" t="str">
        <x:v>悟空科学仪器（上海）有限公司</x:v>
      </x:c>
      <x:c r="E246" s="6" t="str">
        <x:v>净资产</x:v>
      </x:c>
      <x:c r="F246" s="6" t="str"/>
      <x:c r="G246" s="6" t="str">
        <x:v>人民币元</x:v>
      </x:c>
      <x:c r="H246" s="20" t="d">
        <x:v>2026-08-17T00:00:00.000Z</x:v>
      </x:c>
      <x:c r="I246"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46" s="6" t="str">
        <x:v>F001</x:v>
      </x:c>
      <x:c r="K246" s="6" t="str">
        <x:v>纳入字段</x:v>
      </x:c>
      <x:c r="L246" s="6" t="str"/>
    </x:row>
    <x:row r="247" ht="136" customHeight="1">
      <x:c r="A247" s="6" t="str">
        <x:v>R0197</x:v>
      </x:c>
      <x:c r="B247" s="6" t="str">
        <x:v>字段</x:v>
      </x:c>
      <x:c r="C247" s="17" t="n">
        <x:v>1</x:v>
      </x:c>
      <x:c r="D247" s="6" t="str">
        <x:v>悟空科学仪器（上海）有限公司</x:v>
      </x:c>
      <x:c r="E247" s="6" t="str">
        <x:v>营业收入</x:v>
      </x:c>
      <x:c r="F247" s="6" t="str">
        <x:v>25333813.34</x:v>
      </x:c>
      <x:c r="G247" s="6" t="str">
        <x:v>人民币元</x:v>
      </x:c>
      <x:c r="H247" s="20" t="d">
        <x:v>2026-08-17T00:00:00.000Z</x:v>
      </x:c>
      <x:c r="I247"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47" s="6" t="str">
        <x:v>F001</x:v>
      </x:c>
      <x:c r="K247" s="6" t="str">
        <x:v>纳入字段</x:v>
      </x:c>
      <x:c r="L247" s="6" t="str">
        <x:v>已核实原值</x:v>
      </x:c>
    </x:row>
    <x:row r="248" ht="120" customHeight="1">
      <x:c r="A248" s="6" t="str">
        <x:v>R0197</x:v>
      </x:c>
      <x:c r="B248" s="6" t="str">
        <x:v>字段</x:v>
      </x:c>
      <x:c r="C248" s="17" t="n">
        <x:v>2</x:v>
      </x:c>
      <x:c r="D248" s="6" t="str">
        <x:v>悟空科学仪器（上海）有限公司</x:v>
      </x:c>
      <x:c r="E248" s="6" t="str">
        <x:v>营业收入</x:v>
      </x:c>
      <x:c r="F248" s="6" t="str"/>
      <x:c r="G248" s="6" t="str">
        <x:v>人民币元</x:v>
      </x:c>
      <x:c r="H248" s="20" t="d">
        <x:v>2026-08-17T00:00:00.000Z</x:v>
      </x:c>
      <x:c r="I248"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48" s="6" t="str">
        <x:v>F001</x:v>
      </x:c>
      <x:c r="K248" s="6" t="str">
        <x:v>纳入字段</x:v>
      </x:c>
      <x:c r="L248" s="6" t="str"/>
    </x:row>
    <x:row r="249" ht="136" customHeight="1">
      <x:c r="A249" s="6" t="str">
        <x:v>R0198</x:v>
      </x:c>
      <x:c r="B249" s="6" t="str">
        <x:v>字段</x:v>
      </x:c>
      <x:c r="C249" s="17" t="n">
        <x:v>1</x:v>
      </x:c>
      <x:c r="D249" s="6" t="str">
        <x:v>悟空科学仪器（上海）有限公司</x:v>
      </x:c>
      <x:c r="E249" s="6" t="str">
        <x:v>净利润</x:v>
      </x:c>
      <x:c r="F249" s="6" t="str">
        <x:v>-1624868.14</x:v>
      </x:c>
      <x:c r="G249" s="6" t="str">
        <x:v>人民币元</x:v>
      </x:c>
      <x:c r="H249" s="20" t="d">
        <x:v>2026-08-17T00:00:00.000Z</x:v>
      </x:c>
      <x:c r="I249"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49" s="6" t="str">
        <x:v>F001</x:v>
      </x:c>
      <x:c r="K249" s="6" t="str">
        <x:v>纳入字段</x:v>
      </x:c>
      <x:c r="L249" s="6" t="str">
        <x:v>已核实原值</x:v>
      </x:c>
    </x:row>
    <x:row r="250" ht="120" customHeight="1">
      <x:c r="A250" s="6" t="str">
        <x:v>R0198</x:v>
      </x:c>
      <x:c r="B250" s="6" t="str">
        <x:v>字段</x:v>
      </x:c>
      <x:c r="C250" s="17" t="n">
        <x:v>2</x:v>
      </x:c>
      <x:c r="D250" s="6" t="str">
        <x:v>悟空科学仪器（上海）有限公司</x:v>
      </x:c>
      <x:c r="E250" s="6" t="str">
        <x:v>净利润</x:v>
      </x:c>
      <x:c r="F250" s="6" t="str"/>
      <x:c r="G250" s="6" t="str">
        <x:v>人民币元</x:v>
      </x:c>
      <x:c r="H250" s="20" t="d">
        <x:v>2026-08-17T00:00:00.000Z</x:v>
      </x:c>
      <x:c r="I250"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50" s="6" t="str">
        <x:v>F001</x:v>
      </x:c>
      <x:c r="K250" s="6" t="str">
        <x:v>纳入字段</x:v>
      </x:c>
      <x:c r="L250" s="6" t="str"/>
    </x:row>
    <x:row r="251" ht="136" customHeight="1">
      <x:c r="A251" s="6" t="str">
        <x:v>R0199</x:v>
      </x:c>
      <x:c r="B251" s="6" t="str">
        <x:v>字段</x:v>
      </x:c>
      <x:c r="C251" s="17" t="n">
        <x:v>1</x:v>
      </x:c>
      <x:c r="D251" s="6" t="str">
        <x:v>G.A.S. Gesellschaft für analytische Sensorsysteme m.b.H</x:v>
      </x:c>
      <x:c r="E251" s="6" t="str">
        <x:v>注册资本</x:v>
      </x:c>
      <x:c r="F251" s="15" t="str">
        <x:v>98300</x:v>
      </x:c>
      <x:c r="G251" s="6" t="str">
        <x:v>欧元</x:v>
      </x:c>
      <x:c r="H251" s="20" t="d">
        <x:v>2026-08-17T00:00:00.000Z</x:v>
      </x:c>
      <x:c r="I251"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51" s="6" t="str">
        <x:v>F001</x:v>
      </x:c>
      <x:c r="K251" s="6" t="str">
        <x:v>纳入字段</x:v>
      </x:c>
      <x:c r="L251" s="6" t="str">
        <x:v>已核实原值</x:v>
      </x:c>
    </x:row>
    <x:row r="252" ht="120" customHeight="1">
      <x:c r="A252" s="6" t="str">
        <x:v>R0199</x:v>
      </x:c>
      <x:c r="B252" s="6" t="str">
        <x:v>字段</x:v>
      </x:c>
      <x:c r="C252" s="17" t="n">
        <x:v>2</x:v>
      </x:c>
      <x:c r="D252" s="6" t="str">
        <x:v>G.A.S. Gesellschaft für analytische Sensorsysteme m.b.H</x:v>
      </x:c>
      <x:c r="E252" s="6" t="str">
        <x:v>注册资本</x:v>
      </x:c>
      <x:c r="F252" s="6" t="str"/>
      <x:c r="G252" s="6" t="str">
        <x:v>欧元</x:v>
      </x:c>
      <x:c r="H252" s="20" t="d">
        <x:v>2026-08-17T00:00:00.000Z</x:v>
      </x:c>
      <x:c r="I252"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52" s="6" t="str">
        <x:v>F001</x:v>
      </x:c>
      <x:c r="K252" s="6" t="str">
        <x:v>纳入字段</x:v>
      </x:c>
      <x:c r="L252" s="6" t="str"/>
    </x:row>
    <x:row r="253" ht="136" customHeight="1">
      <x:c r="A253" s="6" t="str">
        <x:v>R0200</x:v>
      </x:c>
      <x:c r="B253" s="6" t="str">
        <x:v>字段</x:v>
      </x:c>
      <x:c r="C253" s="17" t="n">
        <x:v>1</x:v>
      </x:c>
      <x:c r="D253" s="6" t="str">
        <x:v>G.A.S. Gesellschaft für analytische Sensorsysteme m.b.H</x:v>
      </x:c>
      <x:c r="E253" s="6" t="str">
        <x:v>总资产</x:v>
      </x:c>
      <x:c r="F253" s="6" t="str">
        <x:v>51687820.83</x:v>
      </x:c>
      <x:c r="G253" s="6" t="str">
        <x:v>人民币元</x:v>
      </x:c>
      <x:c r="H253" s="20" t="d">
        <x:v>2026-08-17T00:00:00.000Z</x:v>
      </x:c>
      <x:c r="I253"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53" s="6" t="str">
        <x:v>F001</x:v>
      </x:c>
      <x:c r="K253" s="6" t="str">
        <x:v>纳入字段</x:v>
      </x:c>
      <x:c r="L253" s="6" t="str">
        <x:v>已核实原值</x:v>
      </x:c>
    </x:row>
    <x:row r="254" ht="120" customHeight="1">
      <x:c r="A254" s="6" t="str">
        <x:v>R0200</x:v>
      </x:c>
      <x:c r="B254" s="6" t="str">
        <x:v>字段</x:v>
      </x:c>
      <x:c r="C254" s="17" t="n">
        <x:v>2</x:v>
      </x:c>
      <x:c r="D254" s="6" t="str">
        <x:v>G.A.S. Gesellschaft für analytische Sensorsysteme m.b.H</x:v>
      </x:c>
      <x:c r="E254" s="6" t="str">
        <x:v>总资产</x:v>
      </x:c>
      <x:c r="F254" s="6" t="str"/>
      <x:c r="G254" s="6" t="str">
        <x:v>人民币元</x:v>
      </x:c>
      <x:c r="H254" s="20" t="d">
        <x:v>2026-08-17T00:00:00.000Z</x:v>
      </x:c>
      <x:c r="I254"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54" s="6" t="str">
        <x:v>F001</x:v>
      </x:c>
      <x:c r="K254" s="6" t="str">
        <x:v>纳入字段</x:v>
      </x:c>
      <x:c r="L254" s="6" t="str"/>
    </x:row>
    <x:row r="255" ht="136" customHeight="1">
      <x:c r="A255" s="6" t="str">
        <x:v>R0201</x:v>
      </x:c>
      <x:c r="B255" s="6" t="str">
        <x:v>字段</x:v>
      </x:c>
      <x:c r="C255" s="17" t="n">
        <x:v>1</x:v>
      </x:c>
      <x:c r="D255" s="6" t="str">
        <x:v>G.A.S. Gesellschaft für analytische Sensorsysteme m.b.H</x:v>
      </x:c>
      <x:c r="E255" s="6" t="str">
        <x:v>净资产</x:v>
      </x:c>
      <x:c r="F255" s="6" t="str">
        <x:v>38698979.04</x:v>
      </x:c>
      <x:c r="G255" s="6" t="str">
        <x:v>人民币元</x:v>
      </x:c>
      <x:c r="H255" s="20" t="d">
        <x:v>2026-08-17T00:00:00.000Z</x:v>
      </x:c>
      <x:c r="I255"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55" s="6" t="str">
        <x:v>F001</x:v>
      </x:c>
      <x:c r="K255" s="6" t="str">
        <x:v>纳入字段</x:v>
      </x:c>
      <x:c r="L255" s="6" t="str">
        <x:v>已核实原值</x:v>
      </x:c>
    </x:row>
    <x:row r="256" ht="120" customHeight="1">
      <x:c r="A256" s="6" t="str">
        <x:v>R0201</x:v>
      </x:c>
      <x:c r="B256" s="6" t="str">
        <x:v>字段</x:v>
      </x:c>
      <x:c r="C256" s="17" t="n">
        <x:v>2</x:v>
      </x:c>
      <x:c r="D256" s="6" t="str">
        <x:v>G.A.S. Gesellschaft für analytische Sensorsysteme m.b.H</x:v>
      </x:c>
      <x:c r="E256" s="6" t="str">
        <x:v>净资产</x:v>
      </x:c>
      <x:c r="F256" s="6" t="str"/>
      <x:c r="G256" s="6" t="str">
        <x:v>人民币元</x:v>
      </x:c>
      <x:c r="H256" s="20" t="d">
        <x:v>2026-08-17T00:00:00.000Z</x:v>
      </x:c>
      <x:c r="I256"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56" s="6" t="str">
        <x:v>F001</x:v>
      </x:c>
      <x:c r="K256" s="6" t="str">
        <x:v>纳入字段</x:v>
      </x:c>
      <x:c r="L256" s="6" t="str"/>
    </x:row>
    <x:row r="257" ht="136" customHeight="1">
      <x:c r="A257" s="6" t="str">
        <x:v>R0202</x:v>
      </x:c>
      <x:c r="B257" s="6" t="str">
        <x:v>字段</x:v>
      </x:c>
      <x:c r="C257" s="17" t="n">
        <x:v>1</x:v>
      </x:c>
      <x:c r="D257" s="6" t="str">
        <x:v>G.A.S. Gesellschaft für analytische Sensorsysteme m.b.H</x:v>
      </x:c>
      <x:c r="E257" s="6" t="str">
        <x:v>营业收入</x:v>
      </x:c>
      <x:c r="F257" s="6" t="str">
        <x:v>12523361.3</x:v>
      </x:c>
      <x:c r="G257" s="6" t="str">
        <x:v>人民币元</x:v>
      </x:c>
      <x:c r="H257" s="20" t="d">
        <x:v>2026-08-17T00:00:00.000Z</x:v>
      </x:c>
      <x:c r="I257"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57" s="6" t="str">
        <x:v>F001</x:v>
      </x:c>
      <x:c r="K257" s="6" t="str">
        <x:v>纳入字段</x:v>
      </x:c>
      <x:c r="L257" s="6" t="str">
        <x:v>已核实原值</x:v>
      </x:c>
    </x:row>
    <x:row r="258" ht="120" customHeight="1">
      <x:c r="A258" s="6" t="str">
        <x:v>R0202</x:v>
      </x:c>
      <x:c r="B258" s="6" t="str">
        <x:v>字段</x:v>
      </x:c>
      <x:c r="C258" s="17" t="n">
        <x:v>2</x:v>
      </x:c>
      <x:c r="D258" s="6" t="str">
        <x:v>G.A.S. Gesellschaft für analytische Sensorsysteme m.b.H</x:v>
      </x:c>
      <x:c r="E258" s="6" t="str">
        <x:v>营业收入</x:v>
      </x:c>
      <x:c r="F258" s="6" t="str"/>
      <x:c r="G258" s="6" t="str">
        <x:v>人民币元</x:v>
      </x:c>
      <x:c r="H258" s="20" t="d">
        <x:v>2026-08-17T00:00:00.000Z</x:v>
      </x:c>
      <x:c r="I258"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58" s="6" t="str">
        <x:v>F001</x:v>
      </x:c>
      <x:c r="K258" s="6" t="str">
        <x:v>纳入字段</x:v>
      </x:c>
      <x:c r="L258" s="6" t="str"/>
    </x:row>
    <x:row r="259" ht="136" customHeight="1">
      <x:c r="A259" s="6" t="str">
        <x:v>R0203</x:v>
      </x:c>
      <x:c r="B259" s="6" t="str">
        <x:v>字段</x:v>
      </x:c>
      <x:c r="C259" s="17" t="n">
        <x:v>1</x:v>
      </x:c>
      <x:c r="D259" s="6" t="str">
        <x:v>G.A.S. Gesellschaft für analytische Sensorsysteme m.b.H</x:v>
      </x:c>
      <x:c r="E259" s="6" t="str">
        <x:v>净利润</x:v>
      </x:c>
      <x:c r="F259" s="6" t="str">
        <x:v>-5568953.46</x:v>
      </x:c>
      <x:c r="G259" s="6" t="str">
        <x:v>人民币元</x:v>
      </x:c>
      <x:c r="H259" s="20" t="d">
        <x:v>2026-08-17T00:00:00.000Z</x:v>
      </x:c>
      <x:c r="I259" s="6" t="str">
        <x:v>PDF物理第18页：18 
八、 主要控股参股公司分析 
（一） 主要子公司、参股公司经营情况 
√适用 □不适用  
单位：元 
公司名
称 
公司类
型 主要业务 注册资本 总资产 净资产 营业收入 净利润 
山东海能 子公司 实 验 分 析 仪 器 研
发、生产与销售 
100,000,000.00 245,213,238.86 97,587,159.69 68,453,805.66 430,856.65 
新仪科学 子公司 实 验 分 析 仪 器 研
发、生产与销售 
30,000,000.00 12,657,169.14 11,420,170.19 4,564,853.26 1,451,859.78 
上海新仪 子公司 实 验 分 析 仪 器 研
发、生产与销售 
10,000,000.00 28,376,741.08 21,868,946.47 25,901,908.37 1,704,666.80 
海能有为 子</x:v>
      </x:c>
      <x:c r="J259" s="6" t="str">
        <x:v>F001</x:v>
      </x:c>
      <x:c r="K259" s="6" t="str">
        <x:v>纳入字段</x:v>
      </x:c>
      <x:c r="L259" s="6" t="str">
        <x:v>已核实原值</x:v>
      </x:c>
    </x:row>
    <x:row r="260" ht="120" customHeight="1">
      <x:c r="A260" s="6" t="str">
        <x:v>R0203</x:v>
      </x:c>
      <x:c r="B260" s="6" t="str">
        <x:v>字段</x:v>
      </x:c>
      <x:c r="C260" s="17" t="n">
        <x:v>2</x:v>
      </x:c>
      <x:c r="D260" s="6" t="str">
        <x:v>G.A.S. Gesellschaft für analytische Sensorsysteme m.b.H</x:v>
      </x:c>
      <x:c r="E260" s="6" t="str">
        <x:v>净利润</x:v>
      </x:c>
      <x:c r="F260" s="6" t="str"/>
      <x:c r="G260" s="6" t="str">
        <x:v>人民币元</x:v>
      </x:c>
      <x:c r="H260" s="20" t="d">
        <x:v>2026-08-17T00:00:00.000Z</x:v>
      </x:c>
      <x:c r="I260" s="6" t="str">
        <x:v>公司 实 验 分 析 仪 器 研
发、生产与销售 
10,000,000.00 16,192,629.48 14,110,709.23 15,925,208.00 5,943,047.17 
悟空仪器 子公司 液 相 色 谱 仪 的 研
发、生产与销售 
20,000,000.00 24,155,097.76 -40,007,406.67 25,333,813.34 -1,624,868.14 
G.A.S. 子公司 气相离子迁移谱的
研发、生产与销售 
98,300.00 51,687,820.83 38,698,979.04 12,523,361.30 -5,568,953.46 
注：1、G.A.S.的注册资本单位为欧元，其他数据单位为人民币元。 
2、为了便于投资者理解，上表按子公司的单体报表对公司的影响程度进行披露。</x:v>
      </x:c>
      <x:c r="J260" s="6" t="str">
        <x:v>F001</x:v>
      </x:c>
      <x:c r="K260" s="6" t="str">
        <x:v>纳入字段</x:v>
      </x:c>
      <x:c r="L260" s="6" t="str"/>
    </x:row>
    <x:row r="261" ht="136" customHeight="1">
      <x:c r="A261" s="6" t="str">
        <x:v>R0204</x:v>
      </x:c>
      <x:c r="B261" s="6" t="str">
        <x:v>字段</x:v>
      </x:c>
      <x:c r="C261" s="17" t="n">
        <x:v>1</x:v>
      </x:c>
      <x:c r="D261" s="6" t="str">
        <x:v>山东海能科学仪器有限公司</x:v>
      </x:c>
      <x:c r="E261" s="6" t="str">
        <x:v>直接持股比例</x:v>
      </x:c>
      <x:c r="F261" s="15" t="str">
        <x:v>100</x:v>
      </x:c>
      <x:c r="G261" s="6" t="str">
        <x:v>%</x:v>
      </x:c>
      <x:c r="H261" s="20" t="d">
        <x:v>2026-08-17T00:00:00.000Z</x:v>
      </x:c>
      <x:c r="I261"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61" s="6" t="str">
        <x:v>F001</x:v>
      </x:c>
      <x:c r="K261" s="6" t="str">
        <x:v>纳入字段</x:v>
      </x:c>
      <x:c r="L261" s="6" t="str">
        <x:v>已核实原值</x:v>
      </x:c>
    </x:row>
    <x:row r="262" ht="136" customHeight="1">
      <x:c r="A262" s="6" t="str">
        <x:v>R0204</x:v>
      </x:c>
      <x:c r="B262" s="6" t="str">
        <x:v>字段</x:v>
      </x:c>
      <x:c r="C262" s="17" t="n">
        <x:v>2</x:v>
      </x:c>
      <x:c r="D262" s="6" t="str">
        <x:v>山东海能科学仪器有限公司</x:v>
      </x:c>
      <x:c r="E262" s="6" t="str">
        <x:v>直接持股比例</x:v>
      </x:c>
      <x:c r="F262" s="6" t="str"/>
      <x:c r="G262" s="6" t="str">
        <x:v>%</x:v>
      </x:c>
      <x:c r="H262" s="20" t="d">
        <x:v>2026-08-17T00:00:00.000Z</x:v>
      </x:c>
      <x:c r="I262"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62" s="6" t="str">
        <x:v>F001</x:v>
      </x:c>
      <x:c r="K262" s="6" t="str">
        <x:v>纳入字段</x:v>
      </x:c>
      <x:c r="L262" s="6" t="str"/>
    </x:row>
    <x:row r="263" ht="34" customHeight="1">
      <x:c r="A263" s="6" t="str">
        <x:v>R0204</x:v>
      </x:c>
      <x:c r="B263" s="6" t="str">
        <x:v>字段</x:v>
      </x:c>
      <x:c r="C263" s="17" t="n">
        <x:v>3</x:v>
      </x:c>
      <x:c r="D263" s="6" t="str">
        <x:v>山东海能科学仪器有限公司</x:v>
      </x:c>
      <x:c r="E263" s="6" t="str">
        <x:v>直接持股比例</x:v>
      </x:c>
      <x:c r="F263" s="6" t="str"/>
      <x:c r="G263" s="6" t="str">
        <x:v>%</x:v>
      </x:c>
      <x:c r="H263" s="20" t="d">
        <x:v>2026-08-17T00:00:00.000Z</x:v>
      </x:c>
      <x:c r="I263" s="6" t="str">
        <x:v>0 德州 德州 生产、销
售、研发  55.5556 
非同一
控制下
的企业
合并</x:v>
      </x:c>
      <x:c r="J263" s="6" t="str">
        <x:v>F001</x:v>
      </x:c>
      <x:c r="K263" s="6" t="str">
        <x:v>纳入字段</x:v>
      </x:c>
      <x:c r="L263" s="6" t="str"/>
    </x:row>
    <x:row r="264" ht="136" customHeight="1">
      <x:c r="A264" s="6" t="str">
        <x:v>R0205</x:v>
      </x:c>
      <x:c r="B264" s="6" t="str">
        <x:v>字段</x:v>
      </x:c>
      <x:c r="C264" s="17" t="n">
        <x:v>1</x:v>
      </x:c>
      <x:c r="D264" s="6" t="str">
        <x:v>南京海能仪器有限公司</x:v>
      </x:c>
      <x:c r="E264" s="6" t="str">
        <x:v>直接持股比例</x:v>
      </x:c>
      <x:c r="F264" s="15" t="str">
        <x:v>65</x:v>
      </x:c>
      <x:c r="G264" s="6" t="str">
        <x:v>%</x:v>
      </x:c>
      <x:c r="H264" s="20" t="d">
        <x:v>2026-08-17T00:00:00.000Z</x:v>
      </x:c>
      <x:c r="I264"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64" s="6" t="str">
        <x:v>F001</x:v>
      </x:c>
      <x:c r="K264" s="6" t="str">
        <x:v>纳入字段</x:v>
      </x:c>
      <x:c r="L264" s="6" t="str">
        <x:v>已核实原值</x:v>
      </x:c>
    </x:row>
    <x:row r="265" ht="136" customHeight="1">
      <x:c r="A265" s="6" t="str">
        <x:v>R0205</x:v>
      </x:c>
      <x:c r="B265" s="6" t="str">
        <x:v>字段</x:v>
      </x:c>
      <x:c r="C265" s="17" t="n">
        <x:v>2</x:v>
      </x:c>
      <x:c r="D265" s="6" t="str">
        <x:v>南京海能仪器有限公司</x:v>
      </x:c>
      <x:c r="E265" s="6" t="str">
        <x:v>直接持股比例</x:v>
      </x:c>
      <x:c r="F265" s="6" t="str"/>
      <x:c r="G265" s="6" t="str">
        <x:v>%</x:v>
      </x:c>
      <x:c r="H265" s="20" t="d">
        <x:v>2026-08-17T00:00:00.000Z</x:v>
      </x:c>
      <x:c r="I265"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65" s="6" t="str">
        <x:v>F001</x:v>
      </x:c>
      <x:c r="K265" s="6" t="str">
        <x:v>纳入字段</x:v>
      </x:c>
      <x:c r="L265" s="6" t="str"/>
    </x:row>
    <x:row r="266" ht="34" customHeight="1">
      <x:c r="A266" s="6" t="str">
        <x:v>R0205</x:v>
      </x:c>
      <x:c r="B266" s="6" t="str">
        <x:v>字段</x:v>
      </x:c>
      <x:c r="C266" s="17" t="n">
        <x:v>3</x:v>
      </x:c>
      <x:c r="D266" s="6" t="str">
        <x:v>南京海能仪器有限公司</x:v>
      </x:c>
      <x:c r="E266" s="6" t="str">
        <x:v>直接持股比例</x:v>
      </x:c>
      <x:c r="F266" s="6" t="str"/>
      <x:c r="G266" s="6" t="str">
        <x:v>%</x:v>
      </x:c>
      <x:c r="H266" s="20" t="d">
        <x:v>2026-08-17T00:00:00.000Z</x:v>
      </x:c>
      <x:c r="I266" s="6" t="str">
        <x:v>0 德州 德州 生产、销
售、研发  55.5556 
非同一
控制下
的企业
合并</x:v>
      </x:c>
      <x:c r="J266" s="6" t="str">
        <x:v>F001</x:v>
      </x:c>
      <x:c r="K266" s="6" t="str">
        <x:v>纳入字段</x:v>
      </x:c>
      <x:c r="L266" s="6" t="str"/>
    </x:row>
    <x:row r="267" ht="136" customHeight="1">
      <x:c r="A267" s="6" t="str">
        <x:v>R0206</x:v>
      </x:c>
      <x:c r="B267" s="6" t="str">
        <x:v>字段</x:v>
      </x:c>
      <x:c r="C267" s="17" t="n">
        <x:v>1</x:v>
      </x:c>
      <x:c r="D267" s="6" t="str">
        <x:v>武汉海能科学仪器有限公司</x:v>
      </x:c>
      <x:c r="E267" s="6" t="str">
        <x:v>直接持股比例</x:v>
      </x:c>
      <x:c r="F267" s="15" t="str">
        <x:v>65</x:v>
      </x:c>
      <x:c r="G267" s="6" t="str">
        <x:v>%</x:v>
      </x:c>
      <x:c r="H267" s="20" t="d">
        <x:v>2026-08-17T00:00:00.000Z</x:v>
      </x:c>
      <x:c r="I267"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67" s="6" t="str">
        <x:v>F001</x:v>
      </x:c>
      <x:c r="K267" s="6" t="str">
        <x:v>纳入字段</x:v>
      </x:c>
      <x:c r="L267" s="6" t="str">
        <x:v>已核实原值</x:v>
      </x:c>
    </x:row>
    <x:row r="268" ht="136" customHeight="1">
      <x:c r="A268" s="6" t="str">
        <x:v>R0206</x:v>
      </x:c>
      <x:c r="B268" s="6" t="str">
        <x:v>字段</x:v>
      </x:c>
      <x:c r="C268" s="17" t="n">
        <x:v>2</x:v>
      </x:c>
      <x:c r="D268" s="6" t="str">
        <x:v>武汉海能科学仪器有限公司</x:v>
      </x:c>
      <x:c r="E268" s="6" t="str">
        <x:v>直接持股比例</x:v>
      </x:c>
      <x:c r="F268" s="6" t="str"/>
      <x:c r="G268" s="6" t="str">
        <x:v>%</x:v>
      </x:c>
      <x:c r="H268" s="20" t="d">
        <x:v>2026-08-17T00:00:00.000Z</x:v>
      </x:c>
      <x:c r="I268"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68" s="6" t="str">
        <x:v>F001</x:v>
      </x:c>
      <x:c r="K268" s="6" t="str">
        <x:v>纳入字段</x:v>
      </x:c>
      <x:c r="L268" s="6" t="str"/>
    </x:row>
    <x:row r="269" ht="34" customHeight="1">
      <x:c r="A269" s="6" t="str">
        <x:v>R0206</x:v>
      </x:c>
      <x:c r="B269" s="6" t="str">
        <x:v>字段</x:v>
      </x:c>
      <x:c r="C269" s="17" t="n">
        <x:v>3</x:v>
      </x:c>
      <x:c r="D269" s="6" t="str">
        <x:v>武汉海能科学仪器有限公司</x:v>
      </x:c>
      <x:c r="E269" s="6" t="str">
        <x:v>直接持股比例</x:v>
      </x:c>
      <x:c r="F269" s="6" t="str"/>
      <x:c r="G269" s="6" t="str">
        <x:v>%</x:v>
      </x:c>
      <x:c r="H269" s="20" t="d">
        <x:v>2026-08-17T00:00:00.000Z</x:v>
      </x:c>
      <x:c r="I269" s="6" t="str">
        <x:v>0 德州 德州 生产、销
售、研发  55.5556 
非同一
控制下
的企业
合并</x:v>
      </x:c>
      <x:c r="J269" s="6" t="str">
        <x:v>F001</x:v>
      </x:c>
      <x:c r="K269" s="6" t="str">
        <x:v>纳入字段</x:v>
      </x:c>
      <x:c r="L269" s="6" t="str"/>
    </x:row>
    <x:row r="270" ht="136" customHeight="1">
      <x:c r="A270" s="6" t="str">
        <x:v>R0207</x:v>
      </x:c>
      <x:c r="B270" s="6" t="str">
        <x:v>字段</x:v>
      </x:c>
      <x:c r="C270" s="17" t="n">
        <x:v>1</x:v>
      </x:c>
      <x:c r="D270" s="6" t="str">
        <x:v>郑州海能仪器有限公司</x:v>
      </x:c>
      <x:c r="E270" s="6" t="str">
        <x:v>直接持股比例</x:v>
      </x:c>
      <x:c r="F270" s="15" t="str">
        <x:v>65</x:v>
      </x:c>
      <x:c r="G270" s="6" t="str">
        <x:v>%</x:v>
      </x:c>
      <x:c r="H270" s="20" t="d">
        <x:v>2026-08-17T00:00:00.000Z</x:v>
      </x:c>
      <x:c r="I270"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70" s="6" t="str">
        <x:v>F001</x:v>
      </x:c>
      <x:c r="K270" s="6" t="str">
        <x:v>纳入字段</x:v>
      </x:c>
      <x:c r="L270" s="6" t="str">
        <x:v>已核实原值</x:v>
      </x:c>
    </x:row>
    <x:row r="271" ht="136" customHeight="1">
      <x:c r="A271" s="6" t="str">
        <x:v>R0207</x:v>
      </x:c>
      <x:c r="B271" s="6" t="str">
        <x:v>字段</x:v>
      </x:c>
      <x:c r="C271" s="17" t="n">
        <x:v>2</x:v>
      </x:c>
      <x:c r="D271" s="6" t="str">
        <x:v>郑州海能仪器有限公司</x:v>
      </x:c>
      <x:c r="E271" s="6" t="str">
        <x:v>直接持股比例</x:v>
      </x:c>
      <x:c r="F271" s="6" t="str"/>
      <x:c r="G271" s="6" t="str">
        <x:v>%</x:v>
      </x:c>
      <x:c r="H271" s="20" t="d">
        <x:v>2026-08-17T00:00:00.000Z</x:v>
      </x:c>
      <x:c r="I271"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71" s="6" t="str">
        <x:v>F001</x:v>
      </x:c>
      <x:c r="K271" s="6" t="str">
        <x:v>纳入字段</x:v>
      </x:c>
      <x:c r="L271" s="6" t="str"/>
    </x:row>
    <x:row r="272" ht="34" customHeight="1">
      <x:c r="A272" s="6" t="str">
        <x:v>R0207</x:v>
      </x:c>
      <x:c r="B272" s="6" t="str">
        <x:v>字段</x:v>
      </x:c>
      <x:c r="C272" s="17" t="n">
        <x:v>3</x:v>
      </x:c>
      <x:c r="D272" s="6" t="str">
        <x:v>郑州海能仪器有限公司</x:v>
      </x:c>
      <x:c r="E272" s="6" t="str">
        <x:v>直接持股比例</x:v>
      </x:c>
      <x:c r="F272" s="6" t="str"/>
      <x:c r="G272" s="6" t="str">
        <x:v>%</x:v>
      </x:c>
      <x:c r="H272" s="20" t="d">
        <x:v>2026-08-17T00:00:00.000Z</x:v>
      </x:c>
      <x:c r="I272" s="6" t="str">
        <x:v>0 德州 德州 生产、销
售、研发  55.5556 
非同一
控制下
的企业
合并</x:v>
      </x:c>
      <x:c r="J272" s="6" t="str">
        <x:v>F001</x:v>
      </x:c>
      <x:c r="K272" s="6" t="str">
        <x:v>纳入字段</x:v>
      </x:c>
      <x:c r="L272" s="6" t="str"/>
    </x:row>
    <x:row r="273" ht="136" customHeight="1">
      <x:c r="A273" s="6" t="str">
        <x:v>R0208</x:v>
      </x:c>
      <x:c r="B273" s="6" t="str">
        <x:v>字段</x:v>
      </x:c>
      <x:c r="C273" s="17" t="n">
        <x:v>1</x:v>
      </x:c>
      <x:c r="D273" s="6" t="str">
        <x:v>上海新仪微波化学科技有限公司</x:v>
      </x:c>
      <x:c r="E273" s="6" t="str">
        <x:v>间接持股比例</x:v>
      </x:c>
      <x:c r="F273" s="15" t="str">
        <x:v>100</x:v>
      </x:c>
      <x:c r="G273" s="6" t="str">
        <x:v>%</x:v>
      </x:c>
      <x:c r="H273" s="20" t="d">
        <x:v>2026-08-17T00:00:00.000Z</x:v>
      </x:c>
      <x:c r="I273"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73" s="6" t="str">
        <x:v>F001</x:v>
      </x:c>
      <x:c r="K273" s="6" t="str">
        <x:v>纳入字段</x:v>
      </x:c>
      <x:c r="L273" s="6" t="str">
        <x:v>已核实原值</x:v>
      </x:c>
    </x:row>
    <x:row r="274" ht="136" customHeight="1">
      <x:c r="A274" s="6" t="str">
        <x:v>R0208</x:v>
      </x:c>
      <x:c r="B274" s="6" t="str">
        <x:v>字段</x:v>
      </x:c>
      <x:c r="C274" s="17" t="n">
        <x:v>2</x:v>
      </x:c>
      <x:c r="D274" s="6" t="str">
        <x:v>上海新仪微波化学科技有限公司</x:v>
      </x:c>
      <x:c r="E274" s="6" t="str">
        <x:v>间接持股比例</x:v>
      </x:c>
      <x:c r="F274" s="6" t="str"/>
      <x:c r="G274" s="6" t="str">
        <x:v>%</x:v>
      </x:c>
      <x:c r="H274" s="20" t="d">
        <x:v>2026-08-17T00:00:00.000Z</x:v>
      </x:c>
      <x:c r="I274"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74" s="6" t="str">
        <x:v>F001</x:v>
      </x:c>
      <x:c r="K274" s="6" t="str">
        <x:v>纳入字段</x:v>
      </x:c>
      <x:c r="L274" s="6" t="str"/>
    </x:row>
    <x:row r="275" ht="34" customHeight="1">
      <x:c r="A275" s="6" t="str">
        <x:v>R0208</x:v>
      </x:c>
      <x:c r="B275" s="6" t="str">
        <x:v>字段</x:v>
      </x:c>
      <x:c r="C275" s="17" t="n">
        <x:v>3</x:v>
      </x:c>
      <x:c r="D275" s="6" t="str">
        <x:v>上海新仪微波化学科技有限公司</x:v>
      </x:c>
      <x:c r="E275" s="6" t="str">
        <x:v>间接持股比例</x:v>
      </x:c>
      <x:c r="F275" s="6" t="str"/>
      <x:c r="G275" s="6" t="str">
        <x:v>%</x:v>
      </x:c>
      <x:c r="H275" s="20" t="d">
        <x:v>2026-08-17T00:00:00.000Z</x:v>
      </x:c>
      <x:c r="I275" s="6" t="str">
        <x:v>0 德州 德州 生产、销
售、研发  55.5556 
非同一
控制下
的企业
合并</x:v>
      </x:c>
      <x:c r="J275" s="6" t="str">
        <x:v>F001</x:v>
      </x:c>
      <x:c r="K275" s="6" t="str">
        <x:v>纳入字段</x:v>
      </x:c>
      <x:c r="L275" s="6" t="str"/>
    </x:row>
    <x:row r="276" ht="136" customHeight="1">
      <x:c r="A276" s="6" t="str">
        <x:v>R0209</x:v>
      </x:c>
      <x:c r="B276" s="6" t="str">
        <x:v>字段</x:v>
      </x:c>
      <x:c r="C276" s="17" t="n">
        <x:v>1</x:v>
      </x:c>
      <x:c r="D276" s="6" t="str">
        <x:v>悟空科学仪器（上海）有限公司</x:v>
      </x:c>
      <x:c r="E276" s="6" t="str">
        <x:v>间接持股比例</x:v>
      </x:c>
      <x:c r="F276" s="15" t="str">
        <x:v>79</x:v>
      </x:c>
      <x:c r="G276" s="6" t="str">
        <x:v>%</x:v>
      </x:c>
      <x:c r="H276" s="20" t="d">
        <x:v>2026-08-17T00:00:00.000Z</x:v>
      </x:c>
      <x:c r="I276"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76" s="6" t="str">
        <x:v>F001</x:v>
      </x:c>
      <x:c r="K276" s="6" t="str">
        <x:v>纳入字段</x:v>
      </x:c>
      <x:c r="L276" s="6" t="str">
        <x:v>已核实原值</x:v>
      </x:c>
    </x:row>
    <x:row r="277" ht="136" customHeight="1">
      <x:c r="A277" s="6" t="str">
        <x:v>R0209</x:v>
      </x:c>
      <x:c r="B277" s="6" t="str">
        <x:v>字段</x:v>
      </x:c>
      <x:c r="C277" s="17" t="n">
        <x:v>2</x:v>
      </x:c>
      <x:c r="D277" s="6" t="str">
        <x:v>悟空科学仪器（上海）有限公司</x:v>
      </x:c>
      <x:c r="E277" s="6" t="str">
        <x:v>间接持股比例</x:v>
      </x:c>
      <x:c r="F277" s="6" t="str"/>
      <x:c r="G277" s="6" t="str">
        <x:v>%</x:v>
      </x:c>
      <x:c r="H277" s="20" t="d">
        <x:v>2026-08-17T00:00:00.000Z</x:v>
      </x:c>
      <x:c r="I277"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77" s="6" t="str">
        <x:v>F001</x:v>
      </x:c>
      <x:c r="K277" s="6" t="str">
        <x:v>纳入字段</x:v>
      </x:c>
      <x:c r="L277" s="6" t="str"/>
    </x:row>
    <x:row r="278" ht="34" customHeight="1">
      <x:c r="A278" s="6" t="str">
        <x:v>R0209</x:v>
      </x:c>
      <x:c r="B278" s="6" t="str">
        <x:v>字段</x:v>
      </x:c>
      <x:c r="C278" s="17" t="n">
        <x:v>3</x:v>
      </x:c>
      <x:c r="D278" s="6" t="str">
        <x:v>悟空科学仪器（上海）有限公司</x:v>
      </x:c>
      <x:c r="E278" s="6" t="str">
        <x:v>间接持股比例</x:v>
      </x:c>
      <x:c r="F278" s="6" t="str"/>
      <x:c r="G278" s="6" t="str">
        <x:v>%</x:v>
      </x:c>
      <x:c r="H278" s="20" t="d">
        <x:v>2026-08-17T00:00:00.000Z</x:v>
      </x:c>
      <x:c r="I278" s="6" t="str">
        <x:v>0 德州 德州 生产、销
售、研发  55.5556 
非同一
控制下
的企业
合并</x:v>
      </x:c>
      <x:c r="J278" s="6" t="str">
        <x:v>F001</x:v>
      </x:c>
      <x:c r="K278" s="6" t="str">
        <x:v>纳入字段</x:v>
      </x:c>
      <x:c r="L278" s="6" t="str"/>
    </x:row>
    <x:row r="279" ht="136" customHeight="1">
      <x:c r="A279" s="6" t="str">
        <x:v>R0210</x:v>
      </x:c>
      <x:c r="B279" s="6" t="str">
        <x:v>字段</x:v>
      </x:c>
      <x:c r="C279" s="17" t="n">
        <x:v>1</x:v>
      </x:c>
      <x:c r="D279" s="6" t="str">
        <x:v>苏州新仪科学仪器有限公司</x:v>
      </x:c>
      <x:c r="E279" s="6" t="str">
        <x:v>直接持股比例</x:v>
      </x:c>
      <x:c r="F279" s="15" t="str">
        <x:v>100</x:v>
      </x:c>
      <x:c r="G279" s="6" t="str">
        <x:v>%</x:v>
      </x:c>
      <x:c r="H279" s="20" t="d">
        <x:v>2026-08-17T00:00:00.000Z</x:v>
      </x:c>
      <x:c r="I279"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79" s="6" t="str">
        <x:v>F001</x:v>
      </x:c>
      <x:c r="K279" s="6" t="str">
        <x:v>纳入字段</x:v>
      </x:c>
      <x:c r="L279" s="6" t="str">
        <x:v>已核实原值</x:v>
      </x:c>
    </x:row>
    <x:row r="280" ht="136" customHeight="1">
      <x:c r="A280" s="6" t="str">
        <x:v>R0210</x:v>
      </x:c>
      <x:c r="B280" s="6" t="str">
        <x:v>字段</x:v>
      </x:c>
      <x:c r="C280" s="17" t="n">
        <x:v>2</x:v>
      </x:c>
      <x:c r="D280" s="6" t="str">
        <x:v>苏州新仪科学仪器有限公司</x:v>
      </x:c>
      <x:c r="E280" s="6" t="str">
        <x:v>直接持股比例</x:v>
      </x:c>
      <x:c r="F280" s="6" t="str"/>
      <x:c r="G280" s="6" t="str">
        <x:v>%</x:v>
      </x:c>
      <x:c r="H280" s="20" t="d">
        <x:v>2026-08-17T00:00:00.000Z</x:v>
      </x:c>
      <x:c r="I280"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80" s="6" t="str">
        <x:v>F001</x:v>
      </x:c>
      <x:c r="K280" s="6" t="str">
        <x:v>纳入字段</x:v>
      </x:c>
      <x:c r="L280" s="6" t="str"/>
    </x:row>
    <x:row r="281" ht="34" customHeight="1">
      <x:c r="A281" s="6" t="str">
        <x:v>R0210</x:v>
      </x:c>
      <x:c r="B281" s="6" t="str">
        <x:v>字段</x:v>
      </x:c>
      <x:c r="C281" s="17" t="n">
        <x:v>3</x:v>
      </x:c>
      <x:c r="D281" s="6" t="str">
        <x:v>苏州新仪科学仪器有限公司</x:v>
      </x:c>
      <x:c r="E281" s="6" t="str">
        <x:v>直接持股比例</x:v>
      </x:c>
      <x:c r="F281" s="6" t="str"/>
      <x:c r="G281" s="6" t="str">
        <x:v>%</x:v>
      </x:c>
      <x:c r="H281" s="20" t="d">
        <x:v>2026-08-17T00:00:00.000Z</x:v>
      </x:c>
      <x:c r="I281" s="6" t="str">
        <x:v>0 德州 德州 生产、销
售、研发  55.5556 
非同一
控制下
的企业
合并</x:v>
      </x:c>
      <x:c r="J281" s="6" t="str">
        <x:v>F001</x:v>
      </x:c>
      <x:c r="K281" s="6" t="str">
        <x:v>纳入字段</x:v>
      </x:c>
      <x:c r="L281" s="6" t="str"/>
    </x:row>
    <x:row r="282" ht="136" customHeight="1">
      <x:c r="A282" s="6" t="str">
        <x:v>R0211</x:v>
      </x:c>
      <x:c r="B282" s="6" t="str">
        <x:v>字段</x:v>
      </x:c>
      <x:c r="C282" s="17" t="n">
        <x:v>1</x:v>
      </x:c>
      <x:c r="D282" s="6" t="str">
        <x:v>济南海能吉富投资合伙企业（有限合伙）</x:v>
      </x:c>
      <x:c r="E282" s="6" t="str">
        <x:v>直接持股比例</x:v>
      </x:c>
      <x:c r="F282" s="15" t="str">
        <x:v>99</x:v>
      </x:c>
      <x:c r="G282" s="6" t="str">
        <x:v>%</x:v>
      </x:c>
      <x:c r="H282" s="20" t="d">
        <x:v>2026-08-17T00:00:00.000Z</x:v>
      </x:c>
      <x:c r="I282"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82" s="6" t="str">
        <x:v>F001</x:v>
      </x:c>
      <x:c r="K282" s="6" t="str">
        <x:v>纳入字段</x:v>
      </x:c>
      <x:c r="L282" s="6" t="str">
        <x:v>已核实原值</x:v>
      </x:c>
    </x:row>
    <x:row r="283" ht="136" customHeight="1">
      <x:c r="A283" s="6" t="str">
        <x:v>R0211</x:v>
      </x:c>
      <x:c r="B283" s="6" t="str">
        <x:v>字段</x:v>
      </x:c>
      <x:c r="C283" s="17" t="n">
        <x:v>2</x:v>
      </x:c>
      <x:c r="D283" s="6" t="str">
        <x:v>济南海能吉富投资合伙企业（有限合伙）</x:v>
      </x:c>
      <x:c r="E283" s="6" t="str">
        <x:v>直接持股比例</x:v>
      </x:c>
      <x:c r="F283" s="6" t="str"/>
      <x:c r="G283" s="6" t="str">
        <x:v>%</x:v>
      </x:c>
      <x:c r="H283" s="20" t="d">
        <x:v>2026-08-17T00:00:00.000Z</x:v>
      </x:c>
      <x:c r="I283"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83" s="6" t="str">
        <x:v>F001</x:v>
      </x:c>
      <x:c r="K283" s="6" t="str">
        <x:v>纳入字段</x:v>
      </x:c>
      <x:c r="L283" s="6" t="str"/>
    </x:row>
    <x:row r="284" ht="34" customHeight="1">
      <x:c r="A284" s="6" t="str">
        <x:v>R0211</x:v>
      </x:c>
      <x:c r="B284" s="6" t="str">
        <x:v>字段</x:v>
      </x:c>
      <x:c r="C284" s="17" t="n">
        <x:v>3</x:v>
      </x:c>
      <x:c r="D284" s="6" t="str">
        <x:v>济南海能吉富投资合伙企业（有限合伙）</x:v>
      </x:c>
      <x:c r="E284" s="6" t="str">
        <x:v>直接持股比例</x:v>
      </x:c>
      <x:c r="F284" s="6" t="str"/>
      <x:c r="G284" s="6" t="str">
        <x:v>%</x:v>
      </x:c>
      <x:c r="H284" s="20" t="d">
        <x:v>2026-08-17T00:00:00.000Z</x:v>
      </x:c>
      <x:c r="I284" s="6" t="str">
        <x:v>0 德州 德州 生产、销
售、研发  55.5556 
非同一
控制下
的企业
合并</x:v>
      </x:c>
      <x:c r="J284" s="6" t="str">
        <x:v>F001</x:v>
      </x:c>
      <x:c r="K284" s="6" t="str">
        <x:v>纳入字段</x:v>
      </x:c>
      <x:c r="L284" s="6" t="str"/>
    </x:row>
    <x:row r="285" ht="136" customHeight="1">
      <x:c r="A285" s="6" t="str">
        <x:v>R0212</x:v>
      </x:c>
      <x:c r="B285" s="6" t="str">
        <x:v>字段</x:v>
      </x:c>
      <x:c r="C285" s="17" t="n">
        <x:v>1</x:v>
      </x:c>
      <x:c r="D285" s="6" t="str">
        <x:v>济南海能吉富投资合伙企业（有限合伙）</x:v>
      </x:c>
      <x:c r="E285" s="6" t="str">
        <x:v>间接持股比例</x:v>
      </x:c>
      <x:c r="F285" s="15" t="str">
        <x:v>1</x:v>
      </x:c>
      <x:c r="G285" s="6" t="str">
        <x:v>%</x:v>
      </x:c>
      <x:c r="H285" s="20" t="d">
        <x:v>2026-08-17T00:00:00.000Z</x:v>
      </x:c>
      <x:c r="I285"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85" s="6" t="str">
        <x:v>F001</x:v>
      </x:c>
      <x:c r="K285" s="6" t="str">
        <x:v>纳入字段</x:v>
      </x:c>
      <x:c r="L285" s="6" t="str">
        <x:v>已核实原值</x:v>
      </x:c>
    </x:row>
    <x:row r="286" ht="136" customHeight="1">
      <x:c r="A286" s="6" t="str">
        <x:v>R0212</x:v>
      </x:c>
      <x:c r="B286" s="6" t="str">
        <x:v>字段</x:v>
      </x:c>
      <x:c r="C286" s="17" t="n">
        <x:v>2</x:v>
      </x:c>
      <x:c r="D286" s="6" t="str">
        <x:v>济南海能吉富投资合伙企业（有限合伙）</x:v>
      </x:c>
      <x:c r="E286" s="6" t="str">
        <x:v>间接持股比例</x:v>
      </x:c>
      <x:c r="F286" s="6" t="str"/>
      <x:c r="G286" s="6" t="str">
        <x:v>%</x:v>
      </x:c>
      <x:c r="H286" s="20" t="d">
        <x:v>2026-08-17T00:00:00.000Z</x:v>
      </x:c>
      <x:c r="I286"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86" s="6" t="str">
        <x:v>F001</x:v>
      </x:c>
      <x:c r="K286" s="6" t="str">
        <x:v>纳入字段</x:v>
      </x:c>
      <x:c r="L286" s="6" t="str"/>
    </x:row>
    <x:row r="287" ht="34" customHeight="1">
      <x:c r="A287" s="6" t="str">
        <x:v>R0212</x:v>
      </x:c>
      <x:c r="B287" s="6" t="str">
        <x:v>字段</x:v>
      </x:c>
      <x:c r="C287" s="17" t="n">
        <x:v>3</x:v>
      </x:c>
      <x:c r="D287" s="6" t="str">
        <x:v>济南海能吉富投资合伙企业（有限合伙）</x:v>
      </x:c>
      <x:c r="E287" s="6" t="str">
        <x:v>间接持股比例</x:v>
      </x:c>
      <x:c r="F287" s="6" t="str"/>
      <x:c r="G287" s="6" t="str">
        <x:v>%</x:v>
      </x:c>
      <x:c r="H287" s="20" t="d">
        <x:v>2026-08-17T00:00:00.000Z</x:v>
      </x:c>
      <x:c r="I287" s="6" t="str">
        <x:v>0 德州 德州 生产、销
售、研发  55.5556 
非同一
控制下
的企业
合并</x:v>
      </x:c>
      <x:c r="J287" s="6" t="str">
        <x:v>F001</x:v>
      </x:c>
      <x:c r="K287" s="6" t="str">
        <x:v>纳入字段</x:v>
      </x:c>
      <x:c r="L287" s="6" t="str"/>
    </x:row>
    <x:row r="288" ht="136" customHeight="1">
      <x:c r="A288" s="6" t="str">
        <x:v>R0213</x:v>
      </x:c>
      <x:c r="B288" s="6" t="str">
        <x:v>字段</x:v>
      </x:c>
      <x:c r="C288" s="17" t="n">
        <x:v>1</x:v>
      </x:c>
      <x:c r="D288" s="6" t="str">
        <x:v>Hanon Group Inc. Limited</x:v>
      </x:c>
      <x:c r="E288" s="6" t="str">
        <x:v>间接持股比例</x:v>
      </x:c>
      <x:c r="F288" s="15" t="str">
        <x:v>100</x:v>
      </x:c>
      <x:c r="G288" s="6" t="str">
        <x:v>%</x:v>
      </x:c>
      <x:c r="H288" s="20" t="d">
        <x:v>2026-08-17T00:00:00.000Z</x:v>
      </x:c>
      <x:c r="I288"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88" s="6" t="str">
        <x:v>F001</x:v>
      </x:c>
      <x:c r="K288" s="6" t="str">
        <x:v>纳入字段</x:v>
      </x:c>
      <x:c r="L288" s="6" t="str">
        <x:v>已核实原值</x:v>
      </x:c>
    </x:row>
    <x:row r="289" ht="136" customHeight="1">
      <x:c r="A289" s="6" t="str">
        <x:v>R0213</x:v>
      </x:c>
      <x:c r="B289" s="6" t="str">
        <x:v>字段</x:v>
      </x:c>
      <x:c r="C289" s="17" t="n">
        <x:v>2</x:v>
      </x:c>
      <x:c r="D289" s="6" t="str">
        <x:v>Hanon Group Inc. Limited</x:v>
      </x:c>
      <x:c r="E289" s="6" t="str">
        <x:v>间接持股比例</x:v>
      </x:c>
      <x:c r="F289" s="6" t="str"/>
      <x:c r="G289" s="6" t="str">
        <x:v>%</x:v>
      </x:c>
      <x:c r="H289" s="20" t="d">
        <x:v>2026-08-17T00:00:00.000Z</x:v>
      </x:c>
      <x:c r="I289"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89" s="6" t="str">
        <x:v>F001</x:v>
      </x:c>
      <x:c r="K289" s="6" t="str">
        <x:v>纳入字段</x:v>
      </x:c>
      <x:c r="L289" s="6" t="str"/>
    </x:row>
    <x:row r="290" ht="40" customHeight="1">
      <x:c r="A290" s="6" t="str">
        <x:v>R0213</x:v>
      </x:c>
      <x:c r="B290" s="6" t="str">
        <x:v>字段</x:v>
      </x:c>
      <x:c r="C290" s="17" t="n">
        <x:v>3</x:v>
      </x:c>
      <x:c r="D290" s="6" t="str">
        <x:v>Hanon Group Inc. Limited</x:v>
      </x:c>
      <x:c r="E290" s="6" t="str">
        <x:v>间接持股比例</x:v>
      </x:c>
      <x:c r="F290" s="6" t="str"/>
      <x:c r="G290" s="6" t="str">
        <x:v>%</x:v>
      </x:c>
      <x:c r="H290" s="20" t="d">
        <x:v>2026-08-17T00:00:00.000Z</x:v>
      </x:c>
      <x:c r="I290" s="6" t="str">
        <x:v>0 德州 德州 生产、销
售、研发  55.5556 
非同一
控制下
的企业
合并</x:v>
      </x:c>
      <x:c r="J290" s="6" t="str">
        <x:v>F001</x:v>
      </x:c>
      <x:c r="K290" s="6" t="str">
        <x:v>纳入字段</x:v>
      </x:c>
      <x:c r="L290" s="6" t="str"/>
    </x:row>
    <x:row r="291" ht="136" customHeight="1">
      <x:c r="A291" s="6" t="str">
        <x:v>R0214</x:v>
      </x:c>
      <x:c r="B291" s="6" t="str">
        <x:v>字段</x:v>
      </x:c>
      <x:c r="C291" s="17" t="n">
        <x:v>1</x:v>
      </x:c>
      <x:c r="D291" s="6" t="str">
        <x:v>G.A.S. Gesellschaft für analytische Sensorsysteme m.b.H</x:v>
      </x:c>
      <x:c r="E291" s="6" t="str">
        <x:v>直接持股比例</x:v>
      </x:c>
      <x:c r="F291" s="6" t="str">
        <x:v>30.01</x:v>
      </x:c>
      <x:c r="G291" s="6" t="str">
        <x:v>%</x:v>
      </x:c>
      <x:c r="H291" s="20" t="d">
        <x:v>2026-08-17T00:00:00.000Z</x:v>
      </x:c>
      <x:c r="I291"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91" s="6" t="str">
        <x:v>F001</x:v>
      </x:c>
      <x:c r="K291" s="6" t="str">
        <x:v>纳入字段</x:v>
      </x:c>
      <x:c r="L291" s="6" t="str">
        <x:v>已核实原值</x:v>
      </x:c>
    </x:row>
    <x:row r="292" ht="136" customHeight="1">
      <x:c r="A292" s="6" t="str">
        <x:v>R0214</x:v>
      </x:c>
      <x:c r="B292" s="6" t="str">
        <x:v>字段</x:v>
      </x:c>
      <x:c r="C292" s="17" t="n">
        <x:v>2</x:v>
      </x:c>
      <x:c r="D292" s="6" t="str">
        <x:v>G.A.S. Gesellschaft für analytische Sensorsysteme m.b.H</x:v>
      </x:c>
      <x:c r="E292" s="6" t="str">
        <x:v>直接持股比例</x:v>
      </x:c>
      <x:c r="F292" s="6" t="str"/>
      <x:c r="G292" s="6" t="str">
        <x:v>%</x:v>
      </x:c>
      <x:c r="H292" s="20" t="d">
        <x:v>2026-08-17T00:00:00.000Z</x:v>
      </x:c>
      <x:c r="I292"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92" s="6" t="str">
        <x:v>F001</x:v>
      </x:c>
      <x:c r="K292" s="6" t="str">
        <x:v>纳入字段</x:v>
      </x:c>
      <x:c r="L292" s="6" t="str"/>
    </x:row>
    <x:row r="293" ht="56" customHeight="1">
      <x:c r="A293" s="6" t="str">
        <x:v>R0214</x:v>
      </x:c>
      <x:c r="B293" s="6" t="str">
        <x:v>字段</x:v>
      </x:c>
      <x:c r="C293" s="17" t="n">
        <x:v>3</x:v>
      </x:c>
      <x:c r="D293" s="6" t="str">
        <x:v>G.A.S. Gesellschaft für analytische Sensorsysteme m.b.H</x:v>
      </x:c>
      <x:c r="E293" s="6" t="str">
        <x:v>直接持股比例</x:v>
      </x:c>
      <x:c r="F293" s="6" t="str"/>
      <x:c r="G293" s="6" t="str">
        <x:v>%</x:v>
      </x:c>
      <x:c r="H293" s="20" t="d">
        <x:v>2026-08-17T00:00:00.000Z</x:v>
      </x:c>
      <x:c r="I293" s="6" t="str">
        <x:v>0 德州 德州 生产、销
售、研发  55.5556 
非同一
控制下
的企业
合并</x:v>
      </x:c>
      <x:c r="J293" s="6" t="str">
        <x:v>F001</x:v>
      </x:c>
      <x:c r="K293" s="6" t="str">
        <x:v>纳入字段</x:v>
      </x:c>
      <x:c r="L293" s="6" t="str"/>
    </x:row>
    <x:row r="294" ht="136" customHeight="1">
      <x:c r="A294" s="6" t="str">
        <x:v>R0215</x:v>
      </x:c>
      <x:c r="B294" s="6" t="str">
        <x:v>字段</x:v>
      </x:c>
      <x:c r="C294" s="17" t="n">
        <x:v>1</x:v>
      </x:c>
      <x:c r="D294" s="6" t="str">
        <x:v>G.A.S. Gesellschaft für analytische Sensorsysteme m.b.H</x:v>
      </x:c>
      <x:c r="E294" s="6" t="str">
        <x:v>间接持股比例</x:v>
      </x:c>
      <x:c r="F294" s="6" t="str">
        <x:v>62.99</x:v>
      </x:c>
      <x:c r="G294" s="6" t="str">
        <x:v>%</x:v>
      </x:c>
      <x:c r="H294" s="20" t="d">
        <x:v>2026-08-17T00:00:00.000Z</x:v>
      </x:c>
      <x:c r="I294"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94" s="6" t="str">
        <x:v>F001</x:v>
      </x:c>
      <x:c r="K294" s="6" t="str">
        <x:v>纳入字段</x:v>
      </x:c>
      <x:c r="L294" s="6" t="str">
        <x:v>已核实原值</x:v>
      </x:c>
    </x:row>
    <x:row r="295" ht="136" customHeight="1">
      <x:c r="A295" s="6" t="str">
        <x:v>R0215</x:v>
      </x:c>
      <x:c r="B295" s="6" t="str">
        <x:v>字段</x:v>
      </x:c>
      <x:c r="C295" s="17" t="n">
        <x:v>2</x:v>
      </x:c>
      <x:c r="D295" s="6" t="str">
        <x:v>G.A.S. Gesellschaft für analytische Sensorsysteme m.b.H</x:v>
      </x:c>
      <x:c r="E295" s="6" t="str">
        <x:v>间接持股比例</x:v>
      </x:c>
      <x:c r="F295" s="6" t="str"/>
      <x:c r="G295" s="6" t="str">
        <x:v>%</x:v>
      </x:c>
      <x:c r="H295" s="20" t="d">
        <x:v>2026-08-17T00:00:00.000Z</x:v>
      </x:c>
      <x:c r="I295"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95" s="6" t="str">
        <x:v>F001</x:v>
      </x:c>
      <x:c r="K295" s="6" t="str">
        <x:v>纳入字段</x:v>
      </x:c>
      <x:c r="L295" s="6" t="str"/>
    </x:row>
    <x:row r="296" ht="56" customHeight="1">
      <x:c r="A296" s="6" t="str">
        <x:v>R0215</x:v>
      </x:c>
      <x:c r="B296" s="6" t="str">
        <x:v>字段</x:v>
      </x:c>
      <x:c r="C296" s="17" t="n">
        <x:v>3</x:v>
      </x:c>
      <x:c r="D296" s="6" t="str">
        <x:v>G.A.S. Gesellschaft für analytische Sensorsysteme m.b.H</x:v>
      </x:c>
      <x:c r="E296" s="6" t="str">
        <x:v>间接持股比例</x:v>
      </x:c>
      <x:c r="F296" s="6" t="str"/>
      <x:c r="G296" s="6" t="str">
        <x:v>%</x:v>
      </x:c>
      <x:c r="H296" s="20" t="d">
        <x:v>2026-08-17T00:00:00.000Z</x:v>
      </x:c>
      <x:c r="I296" s="6" t="str">
        <x:v>0 德州 德州 生产、销
售、研发  55.5556 
非同一
控制下
的企业
合并</x:v>
      </x:c>
      <x:c r="J296" s="6" t="str">
        <x:v>F001</x:v>
      </x:c>
      <x:c r="K296" s="6" t="str">
        <x:v>纳入字段</x:v>
      </x:c>
      <x:c r="L296" s="6" t="str"/>
    </x:row>
    <x:row r="297" ht="136" customHeight="1">
      <x:c r="A297" s="6" t="str">
        <x:v>R0216</x:v>
      </x:c>
      <x:c r="B297" s="6" t="str">
        <x:v>字段</x:v>
      </x:c>
      <x:c r="C297" s="17" t="n">
        <x:v>1</x:v>
      </x:c>
      <x:c r="D297" s="6" t="str">
        <x:v>济南海森分析仪器有限公司</x:v>
      </x:c>
      <x:c r="E297" s="6" t="str">
        <x:v>直接持股比例</x:v>
      </x:c>
      <x:c r="F297" s="6" t="str">
        <x:v>66.47</x:v>
      </x:c>
      <x:c r="G297" s="6" t="str">
        <x:v>%</x:v>
      </x:c>
      <x:c r="H297" s="20" t="d">
        <x:v>2026-08-17T00:00:00.000Z</x:v>
      </x:c>
      <x:c r="I297"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297" s="6" t="str">
        <x:v>F001</x:v>
      </x:c>
      <x:c r="K297" s="6" t="str">
        <x:v>纳入字段</x:v>
      </x:c>
      <x:c r="L297" s="6" t="str">
        <x:v>已核实原值</x:v>
      </x:c>
    </x:row>
    <x:row r="298" ht="136" customHeight="1">
      <x:c r="A298" s="6" t="str">
        <x:v>R0216</x:v>
      </x:c>
      <x:c r="B298" s="6" t="str">
        <x:v>字段</x:v>
      </x:c>
      <x:c r="C298" s="17" t="n">
        <x:v>2</x:v>
      </x:c>
      <x:c r="D298" s="6" t="str">
        <x:v>济南海森分析仪器有限公司</x:v>
      </x:c>
      <x:c r="E298" s="6" t="str">
        <x:v>直接持股比例</x:v>
      </x:c>
      <x:c r="F298" s="6" t="str"/>
      <x:c r="G298" s="6" t="str">
        <x:v>%</x:v>
      </x:c>
      <x:c r="H298" s="20" t="d">
        <x:v>2026-08-17T00:00:00.000Z</x:v>
      </x:c>
      <x:c r="I298"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298" s="6" t="str">
        <x:v>F001</x:v>
      </x:c>
      <x:c r="K298" s="6" t="str">
        <x:v>纳入字段</x:v>
      </x:c>
      <x:c r="L298" s="6" t="str"/>
    </x:row>
    <x:row r="299" ht="34" customHeight="1">
      <x:c r="A299" s="6" t="str">
        <x:v>R0216</x:v>
      </x:c>
      <x:c r="B299" s="6" t="str">
        <x:v>字段</x:v>
      </x:c>
      <x:c r="C299" s="17" t="n">
        <x:v>3</x:v>
      </x:c>
      <x:c r="D299" s="6" t="str">
        <x:v>济南海森分析仪器有限公司</x:v>
      </x:c>
      <x:c r="E299" s="6" t="str">
        <x:v>直接持股比例</x:v>
      </x:c>
      <x:c r="F299" s="6" t="str"/>
      <x:c r="G299" s="6" t="str">
        <x:v>%</x:v>
      </x:c>
      <x:c r="H299" s="20" t="d">
        <x:v>2026-08-17T00:00:00.000Z</x:v>
      </x:c>
      <x:c r="I299" s="6" t="str">
        <x:v>0 德州 德州 生产、销
售、研发  55.5556 
非同一
控制下
的企业
合并</x:v>
      </x:c>
      <x:c r="J299" s="6" t="str">
        <x:v>F001</x:v>
      </x:c>
      <x:c r="K299" s="6" t="str">
        <x:v>纳入字段</x:v>
      </x:c>
      <x:c r="L299" s="6" t="str"/>
    </x:row>
    <x:row r="300" ht="136" customHeight="1">
      <x:c r="A300" s="6" t="str">
        <x:v>R0217</x:v>
      </x:c>
      <x:c r="B300" s="6" t="str">
        <x:v>字段</x:v>
      </x:c>
      <x:c r="C300" s="17" t="n">
        <x:v>1</x:v>
      </x:c>
      <x:c r="D300" s="6" t="str">
        <x:v>天津光芯科技有限责任公司</x:v>
      </x:c>
      <x:c r="E300" s="6" t="str">
        <x:v>间接持股比例</x:v>
      </x:c>
      <x:c r="F300" s="6" t="str">
        <x:v>55.0562</x:v>
      </x:c>
      <x:c r="G300" s="6" t="str">
        <x:v>%</x:v>
      </x:c>
      <x:c r="H300" s="20" t="d">
        <x:v>2026-08-17T00:00:00.000Z</x:v>
      </x:c>
      <x:c r="I300"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300" s="6" t="str">
        <x:v>F001</x:v>
      </x:c>
      <x:c r="K300" s="6" t="str">
        <x:v>纳入字段</x:v>
      </x:c>
      <x:c r="L300" s="6" t="str">
        <x:v>已核实原值</x:v>
      </x:c>
    </x:row>
    <x:row r="301" ht="136" customHeight="1">
      <x:c r="A301" s="6" t="str">
        <x:v>R0217</x:v>
      </x:c>
      <x:c r="B301" s="6" t="str">
        <x:v>字段</x:v>
      </x:c>
      <x:c r="C301" s="17" t="n">
        <x:v>2</x:v>
      </x:c>
      <x:c r="D301" s="6" t="str">
        <x:v>天津光芯科技有限责任公司</x:v>
      </x:c>
      <x:c r="E301" s="6" t="str">
        <x:v>间接持股比例</x:v>
      </x:c>
      <x:c r="F301" s="6" t="str"/>
      <x:c r="G301" s="6" t="str">
        <x:v>%</x:v>
      </x:c>
      <x:c r="H301" s="20" t="d">
        <x:v>2026-08-17T00:00:00.000Z</x:v>
      </x:c>
      <x:c r="I301"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301" s="6" t="str">
        <x:v>F001</x:v>
      </x:c>
      <x:c r="K301" s="6" t="str">
        <x:v>纳入字段</x:v>
      </x:c>
      <x:c r="L301" s="6" t="str"/>
    </x:row>
    <x:row r="302" ht="34" customHeight="1">
      <x:c r="A302" s="6" t="str">
        <x:v>R0217</x:v>
      </x:c>
      <x:c r="B302" s="6" t="str">
        <x:v>字段</x:v>
      </x:c>
      <x:c r="C302" s="17" t="n">
        <x:v>3</x:v>
      </x:c>
      <x:c r="D302" s="6" t="str">
        <x:v>天津光芯科技有限责任公司</x:v>
      </x:c>
      <x:c r="E302" s="6" t="str">
        <x:v>间接持股比例</x:v>
      </x:c>
      <x:c r="F302" s="6" t="str"/>
      <x:c r="G302" s="6" t="str">
        <x:v>%</x:v>
      </x:c>
      <x:c r="H302" s="20" t="d">
        <x:v>2026-08-17T00:00:00.000Z</x:v>
      </x:c>
      <x:c r="I302" s="6" t="str">
        <x:v>0 德州 德州 生产、销
售、研发  55.5556 
非同一
控制下
的企业
合并</x:v>
      </x:c>
      <x:c r="J302" s="6" t="str">
        <x:v>F001</x:v>
      </x:c>
      <x:c r="K302" s="6" t="str">
        <x:v>纳入字段</x:v>
      </x:c>
      <x:c r="L302" s="6" t="str"/>
    </x:row>
    <x:row r="303" ht="136" customHeight="1">
      <x:c r="A303" s="6" t="str">
        <x:v>R0218</x:v>
      </x:c>
      <x:c r="B303" s="6" t="str">
        <x:v>字段</x:v>
      </x:c>
      <x:c r="C303" s="17" t="n">
        <x:v>1</x:v>
      </x:c>
      <x:c r="D303" s="6" t="str">
        <x:v>海能基石技术有限公司</x:v>
      </x:c>
      <x:c r="E303" s="6" t="str">
        <x:v>直接持股比例</x:v>
      </x:c>
      <x:c r="F303" s="15" t="str">
        <x:v>100</x:v>
      </x:c>
      <x:c r="G303" s="6" t="str">
        <x:v>%</x:v>
      </x:c>
      <x:c r="H303" s="20" t="d">
        <x:v>2026-08-17T00:00:00.000Z</x:v>
      </x:c>
      <x:c r="I303"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303" s="6" t="str">
        <x:v>F001</x:v>
      </x:c>
      <x:c r="K303" s="6" t="str">
        <x:v>纳入字段</x:v>
      </x:c>
      <x:c r="L303" s="6" t="str">
        <x:v>已核实原值</x:v>
      </x:c>
    </x:row>
    <x:row r="304" ht="136" customHeight="1">
      <x:c r="A304" s="6" t="str">
        <x:v>R0218</x:v>
      </x:c>
      <x:c r="B304" s="6" t="str">
        <x:v>字段</x:v>
      </x:c>
      <x:c r="C304" s="17" t="n">
        <x:v>2</x:v>
      </x:c>
      <x:c r="D304" s="6" t="str">
        <x:v>海能基石技术有限公司</x:v>
      </x:c>
      <x:c r="E304" s="6" t="str">
        <x:v>直接持股比例</x:v>
      </x:c>
      <x:c r="F304" s="6" t="str"/>
      <x:c r="G304" s="6" t="str">
        <x:v>%</x:v>
      </x:c>
      <x:c r="H304" s="20" t="d">
        <x:v>2026-08-17T00:00:00.000Z</x:v>
      </x:c>
      <x:c r="I304"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304" s="6" t="str">
        <x:v>F001</x:v>
      </x:c>
      <x:c r="K304" s="6" t="str">
        <x:v>纳入字段</x:v>
      </x:c>
      <x:c r="L304" s="6" t="str"/>
    </x:row>
    <x:row r="305" ht="34" customHeight="1">
      <x:c r="A305" s="6" t="str">
        <x:v>R0218</x:v>
      </x:c>
      <x:c r="B305" s="6" t="str">
        <x:v>字段</x:v>
      </x:c>
      <x:c r="C305" s="17" t="n">
        <x:v>3</x:v>
      </x:c>
      <x:c r="D305" s="6" t="str">
        <x:v>海能基石技术有限公司</x:v>
      </x:c>
      <x:c r="E305" s="6" t="str">
        <x:v>直接持股比例</x:v>
      </x:c>
      <x:c r="F305" s="6" t="str"/>
      <x:c r="G305" s="6" t="str">
        <x:v>%</x:v>
      </x:c>
      <x:c r="H305" s="20" t="d">
        <x:v>2026-08-17T00:00:00.000Z</x:v>
      </x:c>
      <x:c r="I305" s="6" t="str">
        <x:v>0 德州 德州 生产、销
售、研发  55.5556 
非同一
控制下
的企业
合并</x:v>
      </x:c>
      <x:c r="J305" s="6" t="str">
        <x:v>F001</x:v>
      </x:c>
      <x:c r="K305" s="6" t="str">
        <x:v>纳入字段</x:v>
      </x:c>
      <x:c r="L305" s="6" t="str"/>
    </x:row>
    <x:row r="306" ht="136" customHeight="1">
      <x:c r="A306" s="6" t="str">
        <x:v>R0219</x:v>
      </x:c>
      <x:c r="B306" s="6" t="str">
        <x:v>字段</x:v>
      </x:c>
      <x:c r="C306" s="17" t="n">
        <x:v>1</x:v>
      </x:c>
      <x:c r="D306" s="6" t="str">
        <x:v>海能有为科学仪器（上海）有限公司</x:v>
      </x:c>
      <x:c r="E306" s="6" t="str">
        <x:v>间接持股比例</x:v>
      </x:c>
      <x:c r="F306" s="15" t="str">
        <x:v>100</x:v>
      </x:c>
      <x:c r="G306" s="6" t="str">
        <x:v>%</x:v>
      </x:c>
      <x:c r="H306" s="20" t="d">
        <x:v>2026-08-17T00:00:00.000Z</x:v>
      </x:c>
      <x:c r="I306"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306" s="6" t="str">
        <x:v>F001</x:v>
      </x:c>
      <x:c r="K306" s="6" t="str">
        <x:v>纳入字段</x:v>
      </x:c>
      <x:c r="L306" s="6" t="str">
        <x:v>已核实原值</x:v>
      </x:c>
    </x:row>
    <x:row r="307" ht="136" customHeight="1">
      <x:c r="A307" s="6" t="str">
        <x:v>R0219</x:v>
      </x:c>
      <x:c r="B307" s="6" t="str">
        <x:v>字段</x:v>
      </x:c>
      <x:c r="C307" s="17" t="n">
        <x:v>2</x:v>
      </x:c>
      <x:c r="D307" s="6" t="str">
        <x:v>海能有为科学仪器（上海）有限公司</x:v>
      </x:c>
      <x:c r="E307" s="6" t="str">
        <x:v>间接持股比例</x:v>
      </x:c>
      <x:c r="F307" s="6" t="str"/>
      <x:c r="G307" s="6" t="str">
        <x:v>%</x:v>
      </x:c>
      <x:c r="H307" s="20" t="d">
        <x:v>2026-08-17T00:00:00.000Z</x:v>
      </x:c>
      <x:c r="I307"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307" s="6" t="str">
        <x:v>F001</x:v>
      </x:c>
      <x:c r="K307" s="6" t="str">
        <x:v>纳入字段</x:v>
      </x:c>
      <x:c r="L307" s="6" t="str"/>
    </x:row>
    <x:row r="308" ht="34" customHeight="1">
      <x:c r="A308" s="6" t="str">
        <x:v>R0219</x:v>
      </x:c>
      <x:c r="B308" s="6" t="str">
        <x:v>字段</x:v>
      </x:c>
      <x:c r="C308" s="17" t="n">
        <x:v>3</x:v>
      </x:c>
      <x:c r="D308" s="6" t="str">
        <x:v>海能有为科学仪器（上海）有限公司</x:v>
      </x:c>
      <x:c r="E308" s="6" t="str">
        <x:v>间接持股比例</x:v>
      </x:c>
      <x:c r="F308" s="6" t="str"/>
      <x:c r="G308" s="6" t="str">
        <x:v>%</x:v>
      </x:c>
      <x:c r="H308" s="20" t="d">
        <x:v>2026-08-17T00:00:00.000Z</x:v>
      </x:c>
      <x:c r="I308" s="6" t="str">
        <x:v>0 德州 德州 生产、销
售、研发  55.5556 
非同一
控制下
的企业
合并</x:v>
      </x:c>
      <x:c r="J308" s="6" t="str">
        <x:v>F001</x:v>
      </x:c>
      <x:c r="K308" s="6" t="str">
        <x:v>纳入字段</x:v>
      </x:c>
      <x:c r="L308" s="6" t="str"/>
    </x:row>
    <x:row r="309" ht="136" customHeight="1">
      <x:c r="A309" s="6" t="str">
        <x:v>R0220</x:v>
      </x:c>
      <x:c r="B309" s="6" t="str">
        <x:v>字段</x:v>
      </x:c>
      <x:c r="C309" s="17" t="n">
        <x:v>1</x:v>
      </x:c>
      <x:c r="D309" s="6" t="str">
        <x:v>白小白科技（山东）有限公司</x:v>
      </x:c>
      <x:c r="E309" s="6" t="str">
        <x:v>间接持股比例</x:v>
      </x:c>
      <x:c r="F309" s="6" t="str">
        <x:v>55.5556</x:v>
      </x:c>
      <x:c r="G309" s="6" t="str">
        <x:v>%</x:v>
      </x:c>
      <x:c r="H309" s="20" t="d">
        <x:v>2026-08-17T00:00:00.000Z</x:v>
      </x:c>
      <x:c r="I309" s="6" t="str">
        <x:v>PDF物理第111页：111 
七、 合 并 范 围 的 变 更 
无。 
八、 在 其 他 主 体 中 的 权 益 
1、在子公司中的权益 
（1）企业集团的构成 
子公司名称 注册资本（万
元） 
主要经
营地 
注册
地 业务性质 
持股比例（％） 取得方
式 直接 间接 
山东海能科学仪
器有限公司 10,000.00 德州 德州 生产、销
售、研发 100.00  新设 
南京海能仪器有
限公司 50.00 南京 南京 销售 65.00  新设 
武汉海能科学仪
器有限公司 50.00 武汉 武汉 销售 65.00  新设 
郑州海能仪器有
限公司 50.00 郑州 郑州 销售 65.00  新设 
上海新仪微波化
学科技有限公司 1,000.00 上海 上海 生产、销
售、研发  100.00 
非同一
控制下
的企业
合并 
悟空科学仪器
（上海）有限公
司 
2,000.00 上海 上海 生产、销
售、研发  7</x:v>
      </x:c>
      <x:c r="J309" s="6" t="str">
        <x:v>F001</x:v>
      </x:c>
      <x:c r="K309" s="6" t="str">
        <x:v>纳入字段</x:v>
      </x:c>
      <x:c r="L309" s="6" t="str">
        <x:v>已核实原值</x:v>
      </x:c>
    </x:row>
    <x:row r="310" ht="136" customHeight="1">
      <x:c r="A310" s="6" t="str">
        <x:v>R0220</x:v>
      </x:c>
      <x:c r="B310" s="6" t="str">
        <x:v>字段</x:v>
      </x:c>
      <x:c r="C310" s="17" t="n">
        <x:v>2</x:v>
      </x:c>
      <x:c r="D310" s="6" t="str">
        <x:v>白小白科技（山东）有限公司</x:v>
      </x:c>
      <x:c r="E310" s="6" t="str">
        <x:v>间接持股比例</x:v>
      </x:c>
      <x:c r="F310" s="6" t="str"/>
      <x:c r="G310" s="6" t="str">
        <x:v>%</x:v>
      </x:c>
      <x:c r="H310" s="20" t="d">
        <x:v>2026-08-17T00:00:00.000Z</x:v>
      </x:c>
      <x:c r="I310" s="6" t="str">
        <x:v>9.00 新设 
苏州新仪科学仪
器有限公司 3,000.00 苏州 苏州 生产、销
售、研发 100.00  新设 
海能吉富 3,500.00 济南 济南 对外投资 99.00 1.00 
非同一
控制下
的企业
合并 
香港海能 5,200.00 香港 香港 对外投资  100.00 
G.A.S. 98,300.00 欧
元 德国 德国 生产、销
售、研发 30.01 62.99 
济南海森分析仪
器有限公司 1,000.00 济南 济南 生产、销
售、研发 66.47  
天津光芯科技有
限责任公司 445.00 天津 天津 生产、销
售、研发  55.0562 
海能基石技术有
限公司 10,000.00 上海 上海 生产、销
售、研发 100.00  新设 
海能有为科学仪
器 （上海） 有限公
司 
1,000.00 上海 上海 生产、销
售、研发  100.00 新设 
白小白科技（山
东）有限公司 900.0</x:v>
      </x:c>
      <x:c r="J310" s="6" t="str">
        <x:v>F001</x:v>
      </x:c>
      <x:c r="K310" s="6" t="str">
        <x:v>纳入字段</x:v>
      </x:c>
      <x:c r="L310" s="6" t="str"/>
    </x:row>
    <x:row r="311" ht="34" customHeight="1">
      <x:c r="A311" s="6" t="str">
        <x:v>R0220</x:v>
      </x:c>
      <x:c r="B311" s="6" t="str">
        <x:v>字段</x:v>
      </x:c>
      <x:c r="C311" s="17" t="n">
        <x:v>3</x:v>
      </x:c>
      <x:c r="D311" s="6" t="str">
        <x:v>白小白科技（山东）有限公司</x:v>
      </x:c>
      <x:c r="E311" s="6" t="str">
        <x:v>间接持股比例</x:v>
      </x:c>
      <x:c r="F311" s="6" t="str"/>
      <x:c r="G311" s="6" t="str">
        <x:v>%</x:v>
      </x:c>
      <x:c r="H311" s="20" t="d">
        <x:v>2026-08-17T00:00:00.000Z</x:v>
      </x:c>
      <x:c r="I311" s="6" t="str">
        <x:v>0 德州 德州 生产、销
售、研发  55.5556 
非同一
控制下
的企业
合并</x:v>
      </x:c>
      <x:c r="J311" s="6" t="str">
        <x:v>F001</x:v>
      </x:c>
      <x:c r="K311" s="6" t="str">
        <x:v>纳入字段</x:v>
      </x:c>
      <x:c r="L311" s="6" t="str"/>
    </x:row>
    <x:row r="312" ht="40" customHeight="1">
      <x:c r="A312" s="6" t="str">
        <x:v>R0221</x:v>
      </x:c>
      <x:c r="B312" s="6" t="str">
        <x:v>字段</x:v>
      </x:c>
      <x:c r="C312" s="17" t="n">
        <x:v>1</x:v>
      </x:c>
      <x:c r="D312" s="6" t="str">
        <x:v>天津光芯科技有限责任公司</x:v>
      </x:c>
      <x:c r="E312" s="6" t="str">
        <x:v>曾用名</x:v>
      </x:c>
      <x:c r="F312" s="6" t="str">
        <x:v>天津海胜能光科技有限责任公司</x:v>
      </x:c>
      <x:c r="G312" s="6" t="str"/>
      <x:c r="H312" s="20" t="d">
        <x:v>2026-08-17T00:00:00.000Z</x:v>
      </x:c>
      <x:c r="I312" s="6" t="str">
        <x:v>PDF物理第112页：天津海胜能光科技有限责任公司已于2026年7月24日完成工商信息变更，更名为：天津光芯科技有限责任公司。</x:v>
      </x:c>
      <x:c r="J312" s="6" t="str">
        <x:v>F001</x:v>
      </x:c>
      <x:c r="K312" s="6" t="str">
        <x:v>纳入字段</x:v>
      </x:c>
      <x:c r="L312" s="6" t="str">
        <x:v>已核实原值</x:v>
      </x:c>
    </x:row>
    <x:row r="313" ht="56" customHeight="1">
      <x:c r="A313" s="6" t="str">
        <x:v>R0222</x:v>
      </x:c>
      <x:c r="B313" s="6" t="str">
        <x:v>字段</x:v>
      </x:c>
      <x:c r="C313" s="17" t="n">
        <x:v>1</x:v>
      </x:c>
      <x:c r="D313" s="6" t="str">
        <x:v>海能未来技术集团股份有限公司</x:v>
      </x:c>
      <x:c r="E313" s="6" t="str">
        <x:v>投资安益谱金额</x:v>
      </x:c>
      <x:c r="F313" s="15" t="str">
        <x:v>21000000</x:v>
      </x:c>
      <x:c r="G313" s="6" t="str">
        <x:v>人民币元</x:v>
      </x:c>
      <x:c r="H313" s="20" t="d">
        <x:v>2026-08-17T00:00:00.000Z</x:v>
      </x:c>
      <x:c r="I313" s="6" t="str">
        <x:v>PDF物理第83页：公司于 2025 年 11 月 13 日经总经理办公会审议通过，以现金方式认缴新增注册资本及收购原股东部分股权的方式，投资安益谱（苏州）
医疗科技有限公司，总金额为2,100.00 万元，交易完成后持有其3.85%的股权。该投资已于2026 年 2 月5 日完成股权变更登记。</x:v>
      </x:c>
      <x:c r="J313" s="6" t="str">
        <x:v>F001</x:v>
      </x:c>
      <x:c r="K313" s="6" t="str">
        <x:v>纳入字段</x:v>
      </x:c>
      <x:c r="L313" s="6" t="str">
        <x:v>已核实原值</x:v>
      </x:c>
    </x:row>
    <x:row r="314" ht="56" customHeight="1">
      <x:c r="A314" s="6" t="str">
        <x:v>R0223</x:v>
      </x:c>
      <x:c r="B314" s="6" t="str">
        <x:v>字段</x:v>
      </x:c>
      <x:c r="C314" s="17" t="n">
        <x:v>1</x:v>
      </x:c>
      <x:c r="D314" s="6" t="str">
        <x:v>海能未来技术集团股份有限公司</x:v>
      </x:c>
      <x:c r="E314" s="6" t="str">
        <x:v>持有安益谱股权比例</x:v>
      </x:c>
      <x:c r="F314" s="6" t="str">
        <x:v>3.85</x:v>
      </x:c>
      <x:c r="G314" s="6" t="str">
        <x:v>%</x:v>
      </x:c>
      <x:c r="H314" s="20" t="d">
        <x:v>2026-08-17T00:00:00.000Z</x:v>
      </x:c>
      <x:c r="I314" s="6" t="str">
        <x:v>PDF物理第83页：公司于 2025 年 11 月 13 日经总经理办公会审议通过，以现金方式认缴新增注册资本及收购原股东部分股权的方式，投资安益谱（苏州）
医疗科技有限公司，总金额为2,100.00 万元，交易完成后持有其3.85%的股权。该投资已于2026 年 2 月5 日完成股权变更登记。</x:v>
      </x:c>
      <x:c r="J314" s="6" t="str">
        <x:v>F001</x:v>
      </x:c>
      <x:c r="K314" s="6" t="str">
        <x:v>纳入字段</x:v>
      </x:c>
      <x:c r="L314" s="6" t="str">
        <x:v>已核实原值</x:v>
      </x:c>
    </x:row>
    <x:row r="315" ht="40" customHeight="1">
      <x:c r="A315" s="6" t="str">
        <x:v>R0224</x:v>
      </x:c>
      <x:c r="B315" s="6" t="str">
        <x:v>字段</x:v>
      </x:c>
      <x:c r="C315" s="17" t="n">
        <x:v>1</x:v>
      </x:c>
      <x:c r="D315" s="6" t="str">
        <x:v>海能未来技术集团股份有限公司</x:v>
      </x:c>
      <x:c r="E315" s="6" t="str">
        <x:v>王志刚期末持股数</x:v>
      </x:c>
      <x:c r="F315" s="15" t="str">
        <x:v>16250000</x:v>
      </x:c>
      <x:c r="G315" s="6" t="str">
        <x:v>股</x:v>
      </x:c>
      <x:c r="H315" s="20" t="d">
        <x:v>2026-08-17T00:00:00.000Z</x:v>
      </x:c>
      <x:c r="I315" s="6" t="str">
        <x:v>PDF物理第25页：王志刚 境内自然人 16,250,000 0 16,250,000 19.08% 0 16,250,000</x:v>
      </x:c>
      <x:c r="J315" s="6" t="str">
        <x:v>F001</x:v>
      </x:c>
      <x:c r="K315" s="6" t="str">
        <x:v>纳入字段</x:v>
      </x:c>
      <x:c r="L315" s="6" t="str">
        <x:v>已核实原值</x:v>
      </x:c>
    </x:row>
    <x:row r="316" ht="40" customHeight="1">
      <x:c r="A316" s="6" t="str">
        <x:v>R0225</x:v>
      </x:c>
      <x:c r="B316" s="6" t="str">
        <x:v>字段</x:v>
      </x:c>
      <x:c r="C316" s="17" t="n">
        <x:v>1</x:v>
      </x:c>
      <x:c r="D316" s="6" t="str">
        <x:v>海能未来技术集团股份有限公司</x:v>
      </x:c>
      <x:c r="E316" s="6" t="str">
        <x:v>王志刚期末持股比例</x:v>
      </x:c>
      <x:c r="F316" s="6" t="str">
        <x:v>19.08</x:v>
      </x:c>
      <x:c r="G316" s="6" t="str">
        <x:v>%</x:v>
      </x:c>
      <x:c r="H316" s="20" t="d">
        <x:v>2026-08-17T00:00:00.000Z</x:v>
      </x:c>
      <x:c r="I316" s="6" t="str">
        <x:v>PDF物理第25页：王志刚 境内自然人 16,250,000 0 16,250,000 19.08% 0 16,250,000</x:v>
      </x:c>
      <x:c r="J316" s="6" t="str">
        <x:v>F001</x:v>
      </x:c>
      <x:c r="K316" s="6" t="str">
        <x:v>纳入字段</x:v>
      </x:c>
      <x:c r="L316" s="6" t="str">
        <x:v>已核实原值</x:v>
      </x:c>
    </x:row>
    <x:row r="317" ht="40" customHeight="1">
      <x:c r="A317" s="6" t="str">
        <x:v>R0226</x:v>
      </x:c>
      <x:c r="B317" s="6" t="str">
        <x:v>字段</x:v>
      </x:c>
      <x:c r="C317" s="17" t="n">
        <x:v>1</x:v>
      </x:c>
      <x:c r="D317" s="6" t="str">
        <x:v>海能未来技术集团股份有限公司</x:v>
      </x:c>
      <x:c r="E317" s="6" t="str">
        <x:v>增发后总股本</x:v>
      </x:c>
      <x:c r="F317" s="15" t="str">
        <x:v>89585740</x:v>
      </x:c>
      <x:c r="G317" s="6" t="str">
        <x:v>股</x:v>
      </x:c>
      <x:c r="H317" s="20" t="d">
        <x:v>2026-08-17T00:00:00.000Z</x:v>
      </x:c>
      <x:c r="I317" s="6" t="str">
        <x:v>PDF物理第7页：公司2026年度以简易程序向特定对象发行的4,405,940股股票已于2026年8月17日在北交所上市，公司普通股总股本由85,179,800股增加至89,585,740股。</x:v>
      </x:c>
      <x:c r="J317" s="6" t="str">
        <x:v>F001</x:v>
      </x:c>
      <x:c r="K317" s="6" t="str">
        <x:v>纳入字段</x:v>
      </x:c>
      <x:c r="L317" s="6" t="str">
        <x:v>已核实原值</x:v>
      </x:c>
    </x:row>
    <x:row r="318" ht="40" customHeight="1">
      <x:c r="A318" s="6" t="str">
        <x:v>R0227</x:v>
      </x:c>
      <x:c r="B318" s="6" t="str">
        <x:v>字段</x:v>
      </x:c>
      <x:c r="C318" s="17" t="n">
        <x:v>1</x:v>
      </x:c>
      <x:c r="D318" s="6" t="str">
        <x:v>海能未来技术集团股份有限公司</x:v>
      </x:c>
      <x:c r="E318" s="6" t="str">
        <x:v>简易程序定增募集资金总额</x:v>
      </x:c>
      <x:c r="F318" s="15" t="str">
        <x:v>88999988</x:v>
      </x:c>
      <x:c r="G318" s="6" t="str">
        <x:v>人民币元</x:v>
      </x:c>
      <x:c r="H318" s="20" t="d">
        <x:v>2026-08-17T00:00:00.000Z</x:v>
      </x:c>
      <x:c r="I318" s="6" t="str">
        <x:v>PDF物理第2页：公司本次共计发行股票4,405,940股，每股发行价格20.20元，募集资金总额88,999,988.00元，将全部用于“海能基石科学仪器智能制造基地项目”。</x:v>
      </x:c>
      <x:c r="J318" s="6" t="str">
        <x:v>F001</x:v>
      </x:c>
      <x:c r="K318" s="6" t="str">
        <x:v>纳入字段</x:v>
      </x:c>
      <x:c r="L318" s="6" t="str">
        <x:v>已核实原值</x:v>
      </x:c>
    </x:row>
    <x:row r="319" ht="40" customHeight="1">
      <x:c r="A319" s="6" t="str">
        <x:v>R0228</x:v>
      </x:c>
      <x:c r="B319" s="6" t="str">
        <x:v>字段</x:v>
      </x:c>
      <x:c r="C319" s="17" t="n">
        <x:v>1</x:v>
      </x:c>
      <x:c r="D319" s="6" t="str">
        <x:v>海能未来技术集团股份有限公司</x:v>
      </x:c>
      <x:c r="E319" s="6" t="str">
        <x:v>治理变化</x:v>
      </x:c>
      <x:c r="F319" s="6" t="str">
        <x:v>取消监事会，由董事会审计委员会行使监事会职权</x:v>
      </x:c>
      <x:c r="G319" s="6" t="str"/>
      <x:c r="H319" s="20" t="d">
        <x:v>2026-03-16T00:00:00.000Z</x:v>
      </x:c>
      <x:c r="I319" s="6" t="str">
        <x:v>PDF物理第68页：报告期内，公司严格按照《公司法》、《证券法》……取消监事会，废止了《监事会议事规则》，由董事会审计委员会行使监事会职权。</x:v>
      </x:c>
      <x:c r="J319" s="6" t="str">
        <x:v>F002</x:v>
      </x:c>
      <x:c r="K319" s="6" t="str">
        <x:v>纳入字段</x:v>
      </x:c>
      <x:c r="L319" s="6" t="str">
        <x:v>已核实原值</x:v>
      </x:c>
    </x:row>
    <x:row r="320" ht="88" customHeight="1">
      <x:c r="A320" s="6" t="str">
        <x:v>R0229</x:v>
      </x:c>
      <x:c r="B320" s="6" t="str">
        <x:v>字段</x:v>
      </x:c>
      <x:c r="C320" s="17" t="n">
        <x:v>1</x:v>
      </x:c>
      <x:c r="D320" s="6" t="str">
        <x:v>海能基石技术有限公司</x:v>
      </x:c>
      <x:c r="E320" s="6" t="str">
        <x:v>项目名称</x:v>
      </x:c>
      <x:c r="F320" s="6" t="str">
        <x:v>海能基石科学仪器智能制造基地项目</x:v>
      </x:c>
      <x:c r="G320" s="6" t="str"/>
      <x:c r="H320" s="20" t="d">
        <x:v>2026-03-16T00:00:00.000Z</x:v>
      </x:c>
      <x:c r="I320" s="6" t="str">
        <x:v>PDF物理第2页：，公司第五届董事会第七次临时会议审议通过了《关于全资子公司拟进行项目投资
建设的议案》 ， 由子公司海能基石在上海市松江区投资建设 “海能基石科学仪器智能制造基地项目”,
总投资额不超过 2.3 亿元。截至报告期末，项目已取得建设用地使用权、建设用地规划许可、桩基
施工许可，完成了大部分设计单位招标，正在进行工程试桩施工与检测。公司拟通过本项目，一方
面吸引和集聚国际化尖端人才，建设综合性研发中心和区域总部，另一方面引入数字化、智能化设
备及工艺，布署智能工业大模型，建设智慧仓储系统，尝试打造国产科学仪器的智能制造灯塔工厂，
促进产业链迈向全面数智化。</x:v>
      </x:c>
      <x:c r="J320" s="6" t="str">
        <x:v>F002</x:v>
      </x:c>
      <x:c r="K320" s="6" t="str">
        <x:v>纳入字段</x:v>
      </x:c>
      <x:c r="L320" s="6" t="str">
        <x:v>已核实原值</x:v>
      </x:c>
    </x:row>
    <x:row r="321" ht="88" customHeight="1">
      <x:c r="A321" s="6" t="str">
        <x:v>R0230</x:v>
      </x:c>
      <x:c r="B321" s="6" t="str">
        <x:v>字段</x:v>
      </x:c>
      <x:c r="C321" s="17" t="n">
        <x:v>1</x:v>
      </x:c>
      <x:c r="D321" s="6" t="str">
        <x:v>海能基石技术有限公司</x:v>
      </x:c>
      <x:c r="E321" s="6" t="str">
        <x:v>建设地区</x:v>
      </x:c>
      <x:c r="F321" s="6" t="str">
        <x:v>上海市松江区</x:v>
      </x:c>
      <x:c r="G321" s="6" t="str"/>
      <x:c r="H321" s="20" t="d">
        <x:v>2026-03-16T00:00:00.000Z</x:v>
      </x:c>
      <x:c r="I321" s="6" t="str">
        <x:v>PDF物理第2页：，公司第五届董事会第七次临时会议审议通过了《关于全资子公司拟进行项目投资
建设的议案》 ， 由子公司海能基石在上海市松江区投资建设 “海能基石科学仪器智能制造基地项目”,
总投资额不超过 2.3 亿元。截至报告期末，项目已取得建设用地使用权、建设用地规划许可、桩基
施工许可，完成了大部分设计单位招标，正在进行工程试桩施工与检测。公司拟通过本项目，一方
面吸引和集聚国际化尖端人才，建设综合性研发中心和区域总部，另一方面引入数字化、智能化设
备及工艺，布署智能工业大模型，建设智慧仓储系统，尝试打造国产科学仪器的智能制造灯塔工厂，
促进产业链迈向全面数智化。</x:v>
      </x:c>
      <x:c r="J321" s="6" t="str">
        <x:v>F002</x:v>
      </x:c>
      <x:c r="K321" s="6" t="str">
        <x:v>纳入字段</x:v>
      </x:c>
      <x:c r="L321" s="6" t="str">
        <x:v>已核实原值</x:v>
      </x:c>
    </x:row>
    <x:row r="322" ht="88" customHeight="1">
      <x:c r="A322" s="6" t="str">
        <x:v>R0231</x:v>
      </x:c>
      <x:c r="B322" s="6" t="str">
        <x:v>字段</x:v>
      </x:c>
      <x:c r="C322" s="17" t="n">
        <x:v>1</x:v>
      </x:c>
      <x:c r="D322" s="6" t="str">
        <x:v>海能基石技术有限公司</x:v>
      </x:c>
      <x:c r="E322" s="6" t="str">
        <x:v>项目总投资上限</x:v>
      </x:c>
      <x:c r="F322" s="15" t="str">
        <x:v>230000000</x:v>
      </x:c>
      <x:c r="G322" s="6" t="str">
        <x:v>人民币元</x:v>
      </x:c>
      <x:c r="H322" s="20" t="d">
        <x:v>2026-03-16T00:00:00.000Z</x:v>
      </x:c>
      <x:c r="I322" s="6" t="str">
        <x:v>PDF物理第2页：，公司第五届董事会第七次临时会议审议通过了《关于全资子公司拟进行项目投资
建设的议案》 ， 由子公司海能基石在上海市松江区投资建设 “海能基石科学仪器智能制造基地项目”,
总投资额不超过 2.3 亿元。截至报告期末，项目已取得建设用地使用权、建设用地规划许可、桩基
施工许可，完成了大部分设计单位招标，正在进行工程试桩施工与检测。公司拟通过本项目，一方
面吸引和集聚国际化尖端人才，建设综合性研发中心和区域总部，另一方面引入数字化、智能化设
备及工艺，布署智能工业大模型，建设智慧仓储系统，尝试打造国产科学仪器的智能制造灯塔工厂，
促进产业链迈向全面数智化。</x:v>
      </x:c>
      <x:c r="J322" s="6" t="str">
        <x:v>F002</x:v>
      </x:c>
      <x:c r="K322" s="6" t="str">
        <x:v>纳入字段</x:v>
      </x:c>
      <x:c r="L322" s="6" t="str">
        <x:v>已核实原值</x:v>
      </x:c>
    </x:row>
    <x:row r="323" ht="88" customHeight="1">
      <x:c r="A323" s="6" t="str">
        <x:v>R0232</x:v>
      </x:c>
      <x:c r="B323" s="6" t="str">
        <x:v>字段</x:v>
      </x:c>
      <x:c r="C323" s="17" t="n">
        <x:v>1</x:v>
      </x:c>
      <x:c r="D323" s="6" t="str">
        <x:v>海能基石技术有限公司</x:v>
      </x:c>
      <x:c r="E323" s="6" t="str">
        <x:v>截至2025年末建设进展</x:v>
      </x:c>
      <x:c r="F323" s="6" t="str">
        <x:v>已取得建设用地使用权、建设用地规划许可、桩基施工许可；完成大部分设计单位招标，进行工程试桩施工与检测</x:v>
      </x:c>
      <x:c r="G323" s="6" t="str"/>
      <x:c r="H323" s="20" t="d">
        <x:v>2026-03-16T00:00:00.000Z</x:v>
      </x:c>
      <x:c r="I323" s="6" t="str">
        <x:v>PDF物理第2页：，公司第五届董事会第七次临时会议审议通过了《关于全资子公司拟进行项目投资
建设的议案》 ， 由子公司海能基石在上海市松江区投资建设 “海能基石科学仪器智能制造基地项目”,
总投资额不超过 2.3 亿元。截至报告期末，项目已取得建设用地使用权、建设用地规划许可、桩基
施工许可，完成了大部分设计单位招标，正在进行工程试桩施工与检测。公司拟通过本项目，一方
面吸引和集聚国际化尖端人才，建设综合性研发中心和区域总部，另一方面引入数字化、智能化设
备及工艺，布署智能工业大模型，建设智慧仓储系统，尝试打造国产科学仪器的智能制造灯塔工厂，
促进产业链迈向全面数智化。</x:v>
      </x:c>
      <x:c r="J323" s="6" t="str">
        <x:v>F002</x:v>
      </x:c>
      <x:c r="K323" s="6" t="str">
        <x:v>纳入字段</x:v>
      </x:c>
      <x:c r="L323" s="6" t="str">
        <x:v>已核实原值</x:v>
      </x:c>
    </x:row>
    <x:row r="324" ht="88" customHeight="1">
      <x:c r="A324" s="6" t="str">
        <x:v>R0233</x:v>
      </x:c>
      <x:c r="B324" s="6" t="str">
        <x:v>字段</x:v>
      </x:c>
      <x:c r="C324" s="17" t="n">
        <x:v>1</x:v>
      </x:c>
      <x:c r="D324" s="6" t="str">
        <x:v>海能基石技术有限公司</x:v>
      </x:c>
      <x:c r="E324" s="6" t="str">
        <x:v>建设需求</x:v>
      </x:c>
      <x:c r="F324" s="6" t="str">
        <x:v>综合性研发中心和区域总部；数字化智能化设备及工艺；智能工业大模型；智慧仓储系统</x:v>
      </x:c>
      <x:c r="G324" s="6" t="str"/>
      <x:c r="H324" s="20" t="d">
        <x:v>2026-03-16T00:00:00.000Z</x:v>
      </x:c>
      <x:c r="I324" s="6" t="str">
        <x:v>PDF物理第2页：，公司第五届董事会第七次临时会议审议通过了《关于全资子公司拟进行项目投资
建设的议案》 ， 由子公司海能基石在上海市松江区投资建设 “海能基石科学仪器智能制造基地项目”,
总投资额不超过 2.3 亿元。截至报告期末，项目已取得建设用地使用权、建设用地规划许可、桩基
施工许可，完成了大部分设计单位招标，正在进行工程试桩施工与检测。公司拟通过本项目，一方
面吸引和集聚国际化尖端人才，建设综合性研发中心和区域总部，另一方面引入数字化、智能化设
备及工艺，布署智能工业大模型，建设智慧仓储系统，尝试打造国产科学仪器的智能制造灯塔工厂，
促进产业链迈向全面数智化。</x:v>
      </x:c>
      <x:c r="J324" s="6" t="str">
        <x:v>F002</x:v>
      </x:c>
      <x:c r="K324" s="6" t="str">
        <x:v>纳入字段</x:v>
      </x:c>
      <x:c r="L324" s="6" t="str">
        <x:v>已核实原值</x:v>
      </x:c>
    </x:row>
    <x:row r="325" ht="40" customHeight="1">
      <x:c r="A325" s="6" t="str">
        <x:v>R0234</x:v>
      </x:c>
      <x:c r="B325" s="6" t="str">
        <x:v>字段</x:v>
      </x:c>
      <x:c r="C325" s="17" t="n">
        <x:v>1</x:v>
      </x:c>
      <x:c r="D325" s="6" t="str">
        <x:v>海能基石技术有限公司</x:v>
      </x:c>
      <x:c r="E325" s="6" t="str">
        <x:v>2026年上半年项目建设状态</x:v>
      </x:c>
      <x:c r="F325" s="6" t="str">
        <x:v>正式开建，相关支出资本化</x:v>
      </x:c>
      <x:c r="G325" s="6" t="str"/>
      <x:c r="H325" s="20" t="d">
        <x:v>2026-08-17T00:00:00.000Z</x:v>
      </x:c>
      <x:c r="I325" s="6" t="str">
        <x:v>PDF物理第14页：在建工程期末数比期初数增加，主要原因系本期“海能基石科学仪器智能制造基地项目”正式开建，相关支出资本化所致。</x:v>
      </x:c>
      <x:c r="J325" s="6" t="str">
        <x:v>F001</x:v>
      </x:c>
      <x:c r="K325" s="6" t="str">
        <x:v>纳入字段</x:v>
      </x:c>
      <x:c r="L325" s="6" t="str">
        <x:v>已核实原值</x:v>
      </x:c>
    </x:row>
    <x:row r="326" ht="40" customHeight="1">
      <x:c r="A326" s="6" t="str">
        <x:v>R0235</x:v>
      </x:c>
      <x:c r="B326" s="6" t="str">
        <x:v>字段</x:v>
      </x:c>
      <x:c r="C326" s="17" t="n">
        <x:v>1</x:v>
      </x:c>
      <x:c r="D326" s="6" t="str">
        <x:v>海能未来技术集团股份有限公司</x:v>
      </x:c>
      <x:c r="E326" s="6" t="str">
        <x:v>生产基地升级改造本期投入</x:v>
      </x:c>
      <x:c r="F326" s="6" t="str">
        <x:v>11356573.78</x:v>
      </x:c>
      <x:c r="G326" s="6" t="str">
        <x:v>人民币元</x:v>
      </x:c>
      <x:c r="H326" s="20" t="d">
        <x:v>2026-03-16T00:00:00.000Z</x:v>
      </x:c>
      <x:c r="I326" s="6" t="str">
        <x:v>PDF物理第24页：海能技术生产基地智能化升级改造项目 11,356,573.78 51,239,260.76 公开发行募集资金 65.21%</x:v>
      </x:c>
      <x:c r="J326" s="6" t="str">
        <x:v>F002</x:v>
      </x:c>
      <x:c r="K326" s="6" t="str">
        <x:v>纳入字段</x:v>
      </x:c>
      <x:c r="L326" s="6" t="str">
        <x:v>已核实原值</x:v>
      </x:c>
    </x:row>
    <x:row r="327" ht="40" customHeight="1">
      <x:c r="A327" s="6" t="str">
        <x:v>R0236</x:v>
      </x:c>
      <x:c r="B327" s="6" t="str">
        <x:v>字段</x:v>
      </x:c>
      <x:c r="C327" s="17" t="n">
        <x:v>1</x:v>
      </x:c>
      <x:c r="D327" s="6" t="str">
        <x:v>海能未来技术集团股份有限公司</x:v>
      </x:c>
      <x:c r="E327" s="6" t="str">
        <x:v>生产基地升级改造累计实际投入</x:v>
      </x:c>
      <x:c r="F327" s="6" t="str">
        <x:v>51239260.76</x:v>
      </x:c>
      <x:c r="G327" s="6" t="str">
        <x:v>人民币元</x:v>
      </x:c>
      <x:c r="H327" s="20" t="d">
        <x:v>2026-03-16T00:00:00.000Z</x:v>
      </x:c>
      <x:c r="I327" s="6" t="str">
        <x:v>PDF物理第24页：海能技术生产基地智能化升级改造项目 11,356,573.78 51,239,260.76 公开发行募集资金 65.21%</x:v>
      </x:c>
      <x:c r="J327" s="6" t="str">
        <x:v>F002</x:v>
      </x:c>
      <x:c r="K327" s="6" t="str">
        <x:v>纳入字段</x:v>
      </x:c>
      <x:c r="L327" s="6" t="str">
        <x:v>已核实原值</x:v>
      </x:c>
    </x:row>
    <x:row r="328" ht="40" customHeight="1">
      <x:c r="A328" s="6" t="str">
        <x:v>R0237</x:v>
      </x:c>
      <x:c r="B328" s="6" t="str">
        <x:v>字段</x:v>
      </x:c>
      <x:c r="C328" s="17" t="n">
        <x:v>1</x:v>
      </x:c>
      <x:c r="D328" s="6" t="str">
        <x:v>海能未来技术集团股份有限公司</x:v>
      </x:c>
      <x:c r="E328" s="6" t="str">
        <x:v>生产基地升级改造报告期项目进度</x:v>
      </x:c>
      <x:c r="F328" s="6" t="str">
        <x:v>65.21</x:v>
      </x:c>
      <x:c r="G328" s="6" t="str">
        <x:v>%</x:v>
      </x:c>
      <x:c r="H328" s="20" t="d">
        <x:v>2026-03-16T00:00:00.000Z</x:v>
      </x:c>
      <x:c r="I328" s="6" t="str">
        <x:v>PDF物理第24页：海能技术生产基地智能化升级改造项目 11,356,573.78 51,239,260.76 公开发行募集资金 65.21%</x:v>
      </x:c>
      <x:c r="J328" s="6" t="str">
        <x:v>F002</x:v>
      </x:c>
      <x:c r="K328" s="6" t="str">
        <x:v>纳入字段</x:v>
      </x:c>
      <x:c r="L328" s="6" t="str">
        <x:v>已核实原值</x:v>
      </x:c>
    </x:row>
    <x:row r="329" ht="34" customHeight="1">
      <x:c r="A329" s="6" t="str">
        <x:v>R0238</x:v>
      </x:c>
      <x:c r="B329" s="6" t="str">
        <x:v>字段</x:v>
      </x:c>
      <x:c r="C329" s="17" t="n">
        <x:v>1</x:v>
      </x:c>
      <x:c r="D329" s="6" t="str">
        <x:v>海能未来技术集团股份有限公司</x:v>
      </x:c>
      <x:c r="E329" s="6" t="str">
        <x:v>资产总计</x:v>
      </x:c>
      <x:c r="F329" s="6" t="str">
        <x:v>563586080.76</x:v>
      </x:c>
      <x:c r="G329" s="6" t="str">
        <x:v>人民币元</x:v>
      </x:c>
      <x:c r="H329" s="20" t="d">
        <x:v>2026-04-27T00:00:00.000Z</x:v>
      </x:c>
      <x:c r="I329" s="6" t="str">
        <x:v>PDF物理第3页：单位：元
资产总计 563,586,080.76 577,396,084.86 -2.39%</x:v>
      </x:c>
      <x:c r="J329" s="6" t="str">
        <x:v>F004</x:v>
      </x:c>
      <x:c r="K329" s="6" t="str">
        <x:v>纳入字段</x:v>
      </x:c>
      <x:c r="L329" s="6" t="str">
        <x:v>已核实原值</x:v>
      </x:c>
    </x:row>
    <x:row r="330" ht="40" customHeight="1">
      <x:c r="A330" s="6" t="str">
        <x:v>R0239</x:v>
      </x:c>
      <x:c r="B330" s="6" t="str">
        <x:v>字段</x:v>
      </x:c>
      <x:c r="C330" s="17" t="n">
        <x:v>1</x:v>
      </x:c>
      <x:c r="D330" s="6" t="str">
        <x:v>海能未来技术集团股份有限公司</x:v>
      </x:c>
      <x:c r="E330" s="6" t="str">
        <x:v>归属于上市公司股东的净资产</x:v>
      </x:c>
      <x:c r="F330" s="6" t="str">
        <x:v>447760719.88</x:v>
      </x:c>
      <x:c r="G330" s="6" t="str">
        <x:v>人民币元</x:v>
      </x:c>
      <x:c r="H330" s="20" t="d">
        <x:v>2026-04-27T00:00:00.000Z</x:v>
      </x:c>
      <x:c r="I330" s="6" t="str">
        <x:v>PDF物理第3页：单位：元
归属于上市公司股东的净资产 447,760,719.88 449,041,889.60 -0.29%</x:v>
      </x:c>
      <x:c r="J330" s="6" t="str">
        <x:v>F004</x:v>
      </x:c>
      <x:c r="K330" s="6" t="str">
        <x:v>纳入字段</x:v>
      </x:c>
      <x:c r="L330" s="6" t="str">
        <x:v>已核实原值</x:v>
      </x:c>
    </x:row>
    <x:row r="331" ht="34" customHeight="1">
      <x:c r="A331" s="6" t="str">
        <x:v>R0240</x:v>
      </x:c>
      <x:c r="B331" s="6" t="str">
        <x:v>字段</x:v>
      </x:c>
      <x:c r="C331" s="17" t="n">
        <x:v>1</x:v>
      </x:c>
      <x:c r="D331" s="6" t="str">
        <x:v>海能未来技术集团股份有限公司</x:v>
      </x:c>
      <x:c r="E331" s="6" t="str">
        <x:v>资产负债率%（母公司）</x:v>
      </x:c>
      <x:c r="F331" s="6" t="str">
        <x:v>13.1</x:v>
      </x:c>
      <x:c r="G331" s="6" t="str">
        <x:v>%</x:v>
      </x:c>
      <x:c r="H331" s="20" t="d">
        <x:v>2026-04-27T00:00:00.000Z</x:v>
      </x:c>
      <x:c r="I331" s="6" t="str">
        <x:v>PDF物理第3页：单位：元
资产负债率%（母公司） 13.10% 11.38% -</x:v>
      </x:c>
      <x:c r="J331" s="6" t="str">
        <x:v>F004</x:v>
      </x:c>
      <x:c r="K331" s="6" t="str">
        <x:v>纳入字段</x:v>
      </x:c>
      <x:c r="L331" s="6" t="str">
        <x:v>已核实原值</x:v>
      </x:c>
    </x:row>
    <x:row r="332" ht="34" customHeight="1">
      <x:c r="A332" s="6" t="str">
        <x:v>R0241</x:v>
      </x:c>
      <x:c r="B332" s="6" t="str">
        <x:v>字段</x:v>
      </x:c>
      <x:c r="C332" s="17" t="n">
        <x:v>1</x:v>
      </x:c>
      <x:c r="D332" s="6" t="str">
        <x:v>海能未来技术集团股份有限公司</x:v>
      </x:c>
      <x:c r="E332" s="6" t="str">
        <x:v>资产负债率%（合并）</x:v>
      </x:c>
      <x:c r="F332" s="6" t="str">
        <x:v>21.5</x:v>
      </x:c>
      <x:c r="G332" s="6" t="str">
        <x:v>%</x:v>
      </x:c>
      <x:c r="H332" s="20" t="d">
        <x:v>2026-04-27T00:00:00.000Z</x:v>
      </x:c>
      <x:c r="I332" s="6" t="str">
        <x:v>PDF物理第3页：单位：元
资产负债率%（合并） 21.50% 22.90% -</x:v>
      </x:c>
      <x:c r="J332" s="6" t="str">
        <x:v>F004</x:v>
      </x:c>
      <x:c r="K332" s="6" t="str">
        <x:v>纳入字段</x:v>
      </x:c>
      <x:c r="L332" s="6" t="str">
        <x:v>已核实原值</x:v>
      </x:c>
    </x:row>
    <x:row r="333" ht="34" customHeight="1">
      <x:c r="A333" s="6" t="str">
        <x:v>R0242</x:v>
      </x:c>
      <x:c r="B333" s="6" t="str">
        <x:v>字段</x:v>
      </x:c>
      <x:c r="C333" s="17" t="n">
        <x:v>1</x:v>
      </x:c>
      <x:c r="D333" s="6" t="str">
        <x:v>海能未来技术集团股份有限公司</x:v>
      </x:c>
      <x:c r="E333" s="6" t="str">
        <x:v>营业收入</x:v>
      </x:c>
      <x:c r="F333" s="6" t="str">
        <x:v>66424451.2</x:v>
      </x:c>
      <x:c r="G333" s="6" t="str">
        <x:v>人民币元</x:v>
      </x:c>
      <x:c r="H333" s="20" t="d">
        <x:v>2026-04-27T00:00:00.000Z</x:v>
      </x:c>
      <x:c r="I333" s="6" t="str">
        <x:v>PDF物理第3页：单位：元
营业收入 66,424,451.20 55,499,234.81 19.69%</x:v>
      </x:c>
      <x:c r="J333" s="6" t="str">
        <x:v>F004</x:v>
      </x:c>
      <x:c r="K333" s="6" t="str">
        <x:v>纳入字段</x:v>
      </x:c>
      <x:c r="L333" s="6" t="str">
        <x:v>已核实原值</x:v>
      </x:c>
    </x:row>
    <x:row r="334" ht="34" customHeight="1">
      <x:c r="A334" s="6" t="str">
        <x:v>R0243</x:v>
      </x:c>
      <x:c r="B334" s="6" t="str">
        <x:v>字段</x:v>
      </x:c>
      <x:c r="C334" s="17" t="n">
        <x:v>1</x:v>
      </x:c>
      <x:c r="D334" s="6" t="str">
        <x:v>海能未来技术集团股份有限公司</x:v>
      </x:c>
      <x:c r="E334" s="6" t="str">
        <x:v>归属于上市公司股东的净利润</x:v>
      </x:c>
      <x:c r="F334" s="6" t="str">
        <x:v>-285088.83</x:v>
      </x:c>
      <x:c r="G334" s="6" t="str">
        <x:v>人民币元</x:v>
      </x:c>
      <x:c r="H334" s="20" t="d">
        <x:v>2026-04-27T00:00:00.000Z</x:v>
      </x:c>
      <x:c r="I334" s="6" t="str">
        <x:v>PDF物理第3页：单位：元
归属于上市公司股东的净利润 -285,088.83 -519,426.01 45.11%</x:v>
      </x:c>
      <x:c r="J334" s="6" t="str">
        <x:v>F004</x:v>
      </x:c>
      <x:c r="K334" s="6" t="str">
        <x:v>纳入字段</x:v>
      </x:c>
      <x:c r="L334" s="6" t="str">
        <x:v>已核实原值</x:v>
      </x:c>
    </x:row>
    <x:row r="335" ht="40" customHeight="1">
      <x:c r="A335" s="6" t="str">
        <x:v>R0244</x:v>
      </x:c>
      <x:c r="B335" s="6" t="str">
        <x:v>字段</x:v>
      </x:c>
      <x:c r="C335" s="17" t="n">
        <x:v>1</x:v>
      </x:c>
      <x:c r="D335" s="6" t="str">
        <x:v>海能未来技术集团股份有限公司</x:v>
      </x:c>
      <x:c r="E335" s="6" t="str">
        <x:v>经营活动产生的现金流量净额</x:v>
      </x:c>
      <x:c r="F335" s="6" t="str">
        <x:v>-18906849.39</x:v>
      </x:c>
      <x:c r="G335" s="6" t="str">
        <x:v>人民币元</x:v>
      </x:c>
      <x:c r="H335" s="20" t="d">
        <x:v>2026-04-27T00:00:00.000Z</x:v>
      </x:c>
      <x:c r="I335" s="6" t="str">
        <x:v>PDF物理第3页：单位：元
经营活动产生的现金流量净额 -18,906,849.39 -25,785,450.80 26.68%</x:v>
      </x:c>
      <x:c r="J335" s="6" t="str">
        <x:v>F004</x:v>
      </x:c>
      <x:c r="K335" s="6" t="str">
        <x:v>纳入字段</x:v>
      </x:c>
      <x:c r="L335" s="6" t="str">
        <x:v>已核实原值</x:v>
      </x:c>
    </x:row>
    <x:row r="336" ht="34" customHeight="1">
      <x:c r="A336" s="6" t="str">
        <x:v>R0245</x:v>
      </x:c>
      <x:c r="B336" s="6" t="str">
        <x:v>字段</x:v>
      </x:c>
      <x:c r="C336" s="17" t="n">
        <x:v>1</x:v>
      </x:c>
      <x:c r="D336" s="6" t="str">
        <x:v>海能未来技术集团股份有限公司</x:v>
      </x:c>
      <x:c r="E336" s="6" t="str">
        <x:v>资产总计</x:v>
      </x:c>
      <x:c r="F336" s="6" t="str">
        <x:v>531559348.99</x:v>
      </x:c>
      <x:c r="G336" s="6" t="str">
        <x:v>人民币元</x:v>
      </x:c>
      <x:c r="H336" s="20" t="d">
        <x:v>2025-10-27T00:00:00.000Z</x:v>
      </x:c>
      <x:c r="I336" s="6" t="str">
        <x:v>PDF物理第3页：单位：元
资产总计 531,559,348.99 560,179,218.83 -5.11%</x:v>
      </x:c>
      <x:c r="J336" s="6" t="str">
        <x:v>F005</x:v>
      </x:c>
      <x:c r="K336" s="6" t="str">
        <x:v>纳入字段</x:v>
      </x:c>
      <x:c r="L336" s="6" t="str">
        <x:v>已核实原值</x:v>
      </x:c>
    </x:row>
    <x:row r="337" ht="40" customHeight="1">
      <x:c r="A337" s="6" t="str">
        <x:v>R0246</x:v>
      </x:c>
      <x:c r="B337" s="6" t="str">
        <x:v>字段</x:v>
      </x:c>
      <x:c r="C337" s="17" t="n">
        <x:v>1</x:v>
      </x:c>
      <x:c r="D337" s="6" t="str">
        <x:v>海能未来技术集团股份有限公司</x:v>
      </x:c>
      <x:c r="E337" s="6" t="str">
        <x:v>归属于上市公司股东的净资产</x:v>
      </x:c>
      <x:c r="F337" s="6" t="str">
        <x:v>430373881.96</x:v>
      </x:c>
      <x:c r="G337" s="6" t="str">
        <x:v>人民币元</x:v>
      </x:c>
      <x:c r="H337" s="20" t="d">
        <x:v>2025-10-27T00:00:00.000Z</x:v>
      </x:c>
      <x:c r="I337" s="6" t="str">
        <x:v>PDF物理第3页：单位：元
归属于上市公司股东的净资产 430,373,881.96 471,783,732.87 -8.78%</x:v>
      </x:c>
      <x:c r="J337" s="6" t="str">
        <x:v>F005</x:v>
      </x:c>
      <x:c r="K337" s="6" t="str">
        <x:v>纳入字段</x:v>
      </x:c>
      <x:c r="L337" s="6" t="str">
        <x:v>已核实原值</x:v>
      </x:c>
    </x:row>
    <x:row r="338" ht="34" customHeight="1">
      <x:c r="A338" s="6" t="str">
        <x:v>R0247</x:v>
      </x:c>
      <x:c r="B338" s="6" t="str">
        <x:v>字段</x:v>
      </x:c>
      <x:c r="C338" s="17" t="n">
        <x:v>1</x:v>
      </x:c>
      <x:c r="D338" s="6" t="str">
        <x:v>海能未来技术集团股份有限公司</x:v>
      </x:c>
      <x:c r="E338" s="6" t="str">
        <x:v>资产负债率%（母公司）</x:v>
      </x:c>
      <x:c r="F338" s="6" t="str">
        <x:v>11.15</x:v>
      </x:c>
      <x:c r="G338" s="6" t="str">
        <x:v>%</x:v>
      </x:c>
      <x:c r="H338" s="20" t="d">
        <x:v>2025-10-27T00:00:00.000Z</x:v>
      </x:c>
      <x:c r="I338" s="6" t="str">
        <x:v>PDF物理第3页：单位：元
资产负债率%（母公司） 11.15% 3.63% -</x:v>
      </x:c>
      <x:c r="J338" s="6" t="str">
        <x:v>F005</x:v>
      </x:c>
      <x:c r="K338" s="6" t="str">
        <x:v>纳入字段</x:v>
      </x:c>
      <x:c r="L338" s="6" t="str">
        <x:v>已核实原值</x:v>
      </x:c>
    </x:row>
    <x:row r="339" ht="34" customHeight="1">
      <x:c r="A339" s="6" t="str">
        <x:v>R0248</x:v>
      </x:c>
      <x:c r="B339" s="6" t="str">
        <x:v>字段</x:v>
      </x:c>
      <x:c r="C339" s="17" t="n">
        <x:v>1</x:v>
      </x:c>
      <x:c r="D339" s="6" t="str">
        <x:v>海能未来技术集团股份有限公司</x:v>
      </x:c>
      <x:c r="E339" s="6" t="str">
        <x:v>资产负债率%（合并）</x:v>
      </x:c>
      <x:c r="F339" s="6" t="str">
        <x:v>19.91</x:v>
      </x:c>
      <x:c r="G339" s="6" t="str">
        <x:v>%</x:v>
      </x:c>
      <x:c r="H339" s="20" t="d">
        <x:v>2025-10-27T00:00:00.000Z</x:v>
      </x:c>
      <x:c r="I339" s="6" t="str">
        <x:v>PDF物理第3页：单位：元
资产负债率%（合并） 19.91% 15.83% -</x:v>
      </x:c>
      <x:c r="J339" s="6" t="str">
        <x:v>F005</x:v>
      </x:c>
      <x:c r="K339" s="6" t="str">
        <x:v>纳入字段</x:v>
      </x:c>
      <x:c r="L339" s="6" t="str">
        <x:v>已核实原值</x:v>
      </x:c>
    </x:row>
    <x:row r="340" ht="34" customHeight="1">
      <x:c r="A340" s="6" t="str">
        <x:v>R0249</x:v>
      </x:c>
      <x:c r="B340" s="6" t="str">
        <x:v>字段</x:v>
      </x:c>
      <x:c r="C340" s="17" t="n">
        <x:v>1</x:v>
      </x:c>
      <x:c r="D340" s="6" t="str">
        <x:v>海能未来技术集团股份有限公司</x:v>
      </x:c>
      <x:c r="E340" s="6" t="str">
        <x:v>营业收入</x:v>
      </x:c>
      <x:c r="F340" s="6" t="str">
        <x:v>227242885.75</x:v>
      </x:c>
      <x:c r="G340" s="6" t="str">
        <x:v>人民币元</x:v>
      </x:c>
      <x:c r="H340" s="20" t="d">
        <x:v>2025-10-27T00:00:00.000Z</x:v>
      </x:c>
      <x:c r="I340" s="6" t="str">
        <x:v>PDF物理第3页：单位：元
营业收入 227,242,885.75 183,944,622.60 23.54%</x:v>
      </x:c>
      <x:c r="J340" s="6" t="str">
        <x:v>F005</x:v>
      </x:c>
      <x:c r="K340" s="6" t="str">
        <x:v>纳入字段</x:v>
      </x:c>
      <x:c r="L340" s="6" t="str">
        <x:v>已核实原值</x:v>
      </x:c>
    </x:row>
    <x:row r="341" ht="40" customHeight="1">
      <x:c r="A341" s="6" t="str">
        <x:v>R0250</x:v>
      </x:c>
      <x:c r="B341" s="6" t="str">
        <x:v>字段</x:v>
      </x:c>
      <x:c r="C341" s="17" t="n">
        <x:v>1</x:v>
      </x:c>
      <x:c r="D341" s="6" t="str">
        <x:v>海能未来技术集团股份有限公司</x:v>
      </x:c>
      <x:c r="E341" s="6" t="str">
        <x:v>归属于上市公司股东的净利润</x:v>
      </x:c>
      <x:c r="F341" s="6" t="str">
        <x:v>18106284.55</x:v>
      </x:c>
      <x:c r="G341" s="6" t="str">
        <x:v>人民币元</x:v>
      </x:c>
      <x:c r="H341" s="20" t="d">
        <x:v>2025-10-27T00:00:00.000Z</x:v>
      </x:c>
      <x:c r="I341" s="6" t="str">
        <x:v>PDF物理第3页：单位：元
归属于上市公司股东的净利润 18,106,284.55 -4,677,751.65 487.07%</x:v>
      </x:c>
      <x:c r="J341" s="6" t="str">
        <x:v>F005</x:v>
      </x:c>
      <x:c r="K341" s="6" t="str">
        <x:v>纳入字段</x:v>
      </x:c>
      <x:c r="L341" s="6" t="str">
        <x:v>已核实原值</x:v>
      </x:c>
    </x:row>
    <x:row r="342" ht="40" customHeight="1">
      <x:c r="A342" s="6" t="str">
        <x:v>R0251</x:v>
      </x:c>
      <x:c r="B342" s="6" t="str">
        <x:v>字段</x:v>
      </x:c>
      <x:c r="C342" s="17" t="n">
        <x:v>1</x:v>
      </x:c>
      <x:c r="D342" s="6" t="str">
        <x:v>海能未来技术集团股份有限公司</x:v>
      </x:c>
      <x:c r="E342" s="6" t="str">
        <x:v>经营活动产生的现金流量净额</x:v>
      </x:c>
      <x:c r="F342" s="6" t="str">
        <x:v>-154548.74</x:v>
      </x:c>
      <x:c r="G342" s="6" t="str">
        <x:v>人民币元</x:v>
      </x:c>
      <x:c r="H342" s="20" t="d">
        <x:v>2025-10-27T00:00:00.000Z</x:v>
      </x:c>
      <x:c r="I342" s="6" t="str">
        <x:v>PDF物理第3页：单位：元
经营活动产生的现金流量净额 -154,548.74 -15,786,171.18 99.02%</x:v>
      </x:c>
      <x:c r="J342" s="6" t="str">
        <x:v>F005</x:v>
      </x:c>
      <x:c r="K342" s="6" t="str">
        <x:v>纳入字段</x:v>
      </x:c>
      <x:c r="L342" s="6" t="str">
        <x:v>已核实原值</x:v>
      </x:c>
    </x:row>
    <x:row r="343" ht="88" customHeight="1">
      <x:c r="A343" s="6" t="str">
        <x:v>R0252</x:v>
      </x:c>
      <x:c r="B343" s="6" t="str">
        <x:v>项目或设备</x:v>
      </x:c>
      <x:c r="C343" s="17" t="n">
        <x:v>1</x:v>
      </x:c>
      <x:c r="D343" s="6" t="str">
        <x:v>海能未来技术集团股份有限公司</x:v>
      </x:c>
      <x:c r="E343" s="6" t="str">
        <x:v>海能基石科学仪器智能制造基地项目</x:v>
      </x:c>
      <x:c r="F343" s="6" t="str">
        <x:v>总投资额不超过2.3亿元</x:v>
      </x:c>
      <x:c r="G343" s="6" t="str">
        <x:v>元</x:v>
      </x:c>
      <x:c r="H343" s="20" t="d">
        <x:v>2026-03-16T00:00:00.000Z</x:v>
      </x:c>
      <x:c r="I343" s="6" t="str">
        <x:v>PDF物理2页：，公司第五届董事会第七次临时会议审议通过了《关于全资子公司拟进行项目投资
建设的议案》 ， 由子公司海能基石在上海市松江区投资建设 “海能基石科学仪器智能制造基地项目”,
总投资额不超过 2.3 亿元。截至报告期末，项目已取得建设用地使用权、建设用地规划许可、桩基
施工许可，完成了大部分设计单位招标，正在进行工程试桩施工与检测。公司拟通过本项目，一方
面吸引和集聚国际化尖端人才，建设综合性研发中心和区域总部，另一方面引入数字化、智能化设
备及工艺，布署智能工业大模型，建设智慧仓储系统，尝试打造国产科学仪器的智能制造灯塔工厂，
促进产业链迈向全面数智化。 
</x:v>
      </x:c>
      <x:c r="J343" s="6" t="str">
        <x:v>F002</x:v>
      </x:c>
      <x:c r="K343" s="6" t="str">
        <x:v>品牌/建设关联资料</x:v>
      </x:c>
      <x:c r="L343" s="6" t="str">
        <x:v>不计集团直接中标、采购支出或收入</x:v>
      </x:c>
    </x:row>
    <x:row r="344" ht="34" customHeight="1">
      <x:c r="A344" s="6" t="str">
        <x:v>R0253</x:v>
      </x:c>
      <x:c r="B344" s="6" t="str">
        <x:v>字段</x:v>
      </x:c>
      <x:c r="C344" s="17" t="n">
        <x:v>1</x:v>
      </x:c>
      <x:c r="D344" s="6" t="str">
        <x:v>海能未来技术集团股份有限公司</x:v>
      </x:c>
      <x:c r="E344" s="6" t="str">
        <x:v>官网明示总部全称</x:v>
      </x:c>
      <x:c r="F344" s="6" t="str">
        <x:v>海能未来技术集团股份有限公司</x:v>
      </x:c>
      <x:c r="G344" s="6" t="str"/>
      <x:c r="H344" s="20"/>
      <x:c r="I344" s="6" t="str">
        <x:v>海能未来技术集团股份有限公司(总部)</x:v>
      </x:c>
      <x:c r="J344" s="6" t="str">
        <x:v>W004</x:v>
      </x:c>
      <x:c r="K344" s="6" t="str">
        <x:v>纳入字段</x:v>
      </x:c>
      <x:c r="L344" s="6" t="str">
        <x:v>已核实(官网披露)</x:v>
      </x:c>
    </x:row>
    <x:row r="345" ht="34" customHeight="1">
      <x:c r="A345" s="6" t="str">
        <x:v>R0254</x:v>
      </x:c>
      <x:c r="B345" s="6" t="str">
        <x:v>字段</x:v>
      </x:c>
      <x:c r="C345" s="17" t="n">
        <x:v>1</x:v>
      </x:c>
      <x:c r="D345" s="6" t="str">
        <x:v>海能未来技术集团股份有限公司</x:v>
      </x:c>
      <x:c r="E345" s="6" t="str">
        <x:v>证券简称</x:v>
      </x:c>
      <x:c r="F345" s="6" t="str">
        <x:v>海能技术</x:v>
      </x:c>
      <x:c r="G345" s="6" t="str"/>
      <x:c r="H345" s="20"/>
      <x:c r="I345" s="6" t="str">
        <x:v>海能技术</x:v>
      </x:c>
      <x:c r="J345" s="6" t="str">
        <x:v>W001</x:v>
      </x:c>
      <x:c r="K345" s="6" t="str">
        <x:v>纳入字段</x:v>
      </x:c>
      <x:c r="L345" s="6" t="str">
        <x:v>已核实(官网披露)</x:v>
      </x:c>
    </x:row>
    <x:row r="346" ht="34" customHeight="1">
      <x:c r="A346" s="6" t="str">
        <x:v>R0255</x:v>
      </x:c>
      <x:c r="B346" s="6" t="str">
        <x:v>字段</x:v>
      </x:c>
      <x:c r="C346" s="17" t="n">
        <x:v>1</x:v>
      </x:c>
      <x:c r="D346" s="6" t="str">
        <x:v>海能未来技术集团股份有限公司</x:v>
      </x:c>
      <x:c r="E346" s="6" t="str">
        <x:v>证券代码</x:v>
      </x:c>
      <x:c r="F346" s="15" t="str">
        <x:v>920476</x:v>
      </x:c>
      <x:c r="G346" s="6" t="str"/>
      <x:c r="H346" s="20"/>
      <x:c r="I346" s="15" t="str">
        <x:v>920476</x:v>
      </x:c>
      <x:c r="J346" s="6" t="str">
        <x:v>W001</x:v>
      </x:c>
      <x:c r="K346" s="6" t="str">
        <x:v>纳入字段</x:v>
      </x:c>
      <x:c r="L346" s="6" t="str">
        <x:v>已核实(官网披露)</x:v>
      </x:c>
    </x:row>
    <x:row r="347" ht="34" customHeight="1">
      <x:c r="A347" s="6" t="str">
        <x:v>R0256</x:v>
      </x:c>
      <x:c r="B347" s="6" t="str">
        <x:v>字段</x:v>
      </x:c>
      <x:c r="C347" s="17" t="n">
        <x:v>1</x:v>
      </x:c>
      <x:c r="D347" s="6" t="str">
        <x:v>海能基石技术有限公司</x:v>
      </x:c>
      <x:c r="E347" s="6" t="str">
        <x:v>页脚版权主体</x:v>
      </x:c>
      <x:c r="F347" s="6" t="str">
        <x:v>海能基石技术有限公司</x:v>
      </x:c>
      <x:c r="G347" s="6" t="str"/>
      <x:c r="H347" s="20"/>
      <x:c r="I347" s="6" t="str">
        <x:v>版权所有(C) 海能基石技术有限公司</x:v>
      </x:c>
      <x:c r="J347" s="6" t="str">
        <x:v>W001</x:v>
      </x:c>
      <x:c r="K347" s="6" t="str">
        <x:v>纳入字段</x:v>
      </x:c>
      <x:c r="L347" s="6" t="str">
        <x:v>已核实(官网披露)</x:v>
      </x:c>
    </x:row>
    <x:row r="348" ht="34" customHeight="1">
      <x:c r="A348" s="6" t="str">
        <x:v>R0257</x:v>
      </x:c>
      <x:c r="B348" s="6" t="str">
        <x:v>字段</x:v>
      </x:c>
      <x:c r="C348" s="17" t="n">
        <x:v>1</x:v>
      </x:c>
      <x:c r="D348" s="6" t="str">
        <x:v>海能基石技术有限公司</x:v>
      </x:c>
      <x:c r="E348" s="6" t="str">
        <x:v>ICP备案号</x:v>
      </x:c>
      <x:c r="F348" s="6" t="str">
        <x:v>沪ICP备2025136820号-4</x:v>
      </x:c>
      <x:c r="G348" s="6" t="str"/>
      <x:c r="H348" s="20"/>
      <x:c r="I348" s="6" t="str">
        <x:v>沪ICP备2025136820号-4</x:v>
      </x:c>
      <x:c r="J348" s="6" t="str">
        <x:v>W001</x:v>
      </x:c>
      <x:c r="K348" s="6" t="str">
        <x:v>纳入字段</x:v>
      </x:c>
      <x:c r="L348" s="6" t="str">
        <x:v>已核实(官网披露)</x:v>
      </x:c>
    </x:row>
    <x:row r="349" ht="34" customHeight="1">
      <x:c r="A349" s="6" t="str">
        <x:v>R0258</x:v>
      </x:c>
      <x:c r="B349" s="6" t="str">
        <x:v>字段</x:v>
      </x:c>
      <x:c r="C349" s="17" t="n">
        <x:v>1</x:v>
      </x:c>
      <x:c r="D349" s="6" t="str">
        <x:v>海能未来技术集团股份有限公司</x:v>
      </x:c>
      <x:c r="E349" s="6" t="str">
        <x:v>官网总部地址</x:v>
      </x:c>
      <x:c r="F349" s="6" t="str">
        <x:v>山东省济南市高新区经十路7000号汉峪金谷A3地块1号楼第四层</x:v>
      </x:c>
      <x:c r="G349" s="6" t="str"/>
      <x:c r="H349" s="20"/>
      <x:c r="I349" s="6" t="str">
        <x:v>山东省济南市高新区经十路7000号汉峪金谷A3地块1号楼第四层</x:v>
      </x:c>
      <x:c r="J349" s="6" t="str">
        <x:v>W004</x:v>
      </x:c>
      <x:c r="K349" s="6" t="str">
        <x:v>纳入字段</x:v>
      </x:c>
      <x:c r="L349" s="6" t="str">
        <x:v>已核实(官网披露)</x:v>
      </x:c>
    </x:row>
    <x:row r="350" ht="34" customHeight="1">
      <x:c r="A350" s="6" t="str">
        <x:v>R0259</x:v>
      </x:c>
      <x:c r="B350" s="6" t="str">
        <x:v>字段</x:v>
      </x:c>
      <x:c r="C350" s="17" t="n">
        <x:v>1</x:v>
      </x:c>
      <x:c r="D350" s="6" t="str">
        <x:v>海能未来技术集团股份有限公司</x:v>
      </x:c>
      <x:c r="E350" s="6" t="str">
        <x:v>官网综合服务热线</x:v>
      </x:c>
      <x:c r="F350" s="6" t="str">
        <x:v>400 618 6188</x:v>
      </x:c>
      <x:c r="G350" s="6" t="str"/>
      <x:c r="H350" s="20"/>
      <x:c r="I350" s="6" t="str">
        <x:v>400 618 6188</x:v>
      </x:c>
      <x:c r="J350" s="6" t="str">
        <x:v>W004</x:v>
      </x:c>
      <x:c r="K350" s="6" t="str">
        <x:v>纳入字段</x:v>
      </x:c>
      <x:c r="L350" s="6" t="str">
        <x:v>已核实(官网披露)</x:v>
      </x:c>
    </x:row>
    <x:row r="351" ht="34" customHeight="1">
      <x:c r="A351" s="6" t="str">
        <x:v>R0260</x:v>
      </x:c>
      <x:c r="B351" s="6" t="str">
        <x:v>字段</x:v>
      </x:c>
      <x:c r="C351" s="17" t="n">
        <x:v>1</x:v>
      </x:c>
      <x:c r="D351" s="6" t="str">
        <x:v>海能未来技术集团股份有限公司</x:v>
      </x:c>
      <x:c r="E351" s="6" t="str">
        <x:v>监督电话</x:v>
      </x:c>
      <x:c r="F351" s="6" t="str">
        <x:v>400 006 5188</x:v>
      </x:c>
      <x:c r="G351" s="6" t="str"/>
      <x:c r="H351" s="20"/>
      <x:c r="I351" s="6" t="str">
        <x:v>400 006 5188 (监督电话)</x:v>
      </x:c>
      <x:c r="J351" s="6" t="str">
        <x:v>W004</x:v>
      </x:c>
      <x:c r="K351" s="6" t="str">
        <x:v>纳入字段</x:v>
      </x:c>
      <x:c r="L351" s="6" t="str">
        <x:v>已核实(官网披露)</x:v>
      </x:c>
    </x:row>
    <x:row r="352" ht="34" customHeight="1">
      <x:c r="A352" s="6" t="str">
        <x:v>R0261</x:v>
      </x:c>
      <x:c r="B352" s="6" t="str">
        <x:v>字段</x:v>
      </x:c>
      <x:c r="C352" s="17" t="n">
        <x:v>1</x:v>
      </x:c>
      <x:c r="D352" s="6" t="str">
        <x:v>海能未来技术集团股份有限公司</x:v>
      </x:c>
      <x:c r="E352" s="6" t="str">
        <x:v>总部电话</x:v>
      </x:c>
      <x:c r="F352" s="6" t="str">
        <x:v>0531-88874444</x:v>
      </x:c>
      <x:c r="G352" s="6" t="str"/>
      <x:c r="H352" s="20"/>
      <x:c r="I352" s="6" t="str">
        <x:v>0531-88874444</x:v>
      </x:c>
      <x:c r="J352" s="6" t="str">
        <x:v>W004</x:v>
      </x:c>
      <x:c r="K352" s="6" t="str">
        <x:v>纳入字段</x:v>
      </x:c>
      <x:c r="L352" s="6" t="str">
        <x:v>已核实(官网披露)</x:v>
      </x:c>
    </x:row>
    <x:row r="353" ht="34" customHeight="1">
      <x:c r="A353" s="6" t="str">
        <x:v>R0262</x:v>
      </x:c>
      <x:c r="B353" s="6" t="str">
        <x:v>字段</x:v>
      </x:c>
      <x:c r="C353" s="17" t="n">
        <x:v>1</x:v>
      </x:c>
      <x:c r="D353" s="6" t="str">
        <x:v>海能未来技术集团股份有限公司</x:v>
      </x:c>
      <x:c r="E353" s="6" t="str">
        <x:v>总部邮箱</x:v>
      </x:c>
      <x:c r="F353" s="6" t="str">
        <x:v>China@hanon.cc</x:v>
      </x:c>
      <x:c r="G353" s="6" t="str"/>
      <x:c r="H353" s="20"/>
      <x:c r="I353" s="6" t="str">
        <x:v>China@hanon.cc</x:v>
      </x:c>
      <x:c r="J353" s="6" t="str">
        <x:v>W004</x:v>
      </x:c>
      <x:c r="K353" s="6" t="str">
        <x:v>纳入字段</x:v>
      </x:c>
      <x:c r="L353" s="6" t="str">
        <x:v>已核实(官网披露)</x:v>
      </x:c>
    </x:row>
    <x:row r="354" ht="34" customHeight="1">
      <x:c r="A354" s="6" t="str">
        <x:v>R0263</x:v>
      </x:c>
      <x:c r="B354" s="6" t="str">
        <x:v>字段</x:v>
      </x:c>
      <x:c r="C354" s="17" t="n">
        <x:v>1</x:v>
      </x:c>
      <x:c r="D354" s="6" t="str">
        <x:v>海能未来技术集团股份有限公司</x:v>
      </x:c>
      <x:c r="E354" s="6" t="str">
        <x:v>投资者服务联系人</x:v>
      </x:c>
      <x:c r="F354" s="6" t="str">
        <x:v>宋晓东</x:v>
      </x:c>
      <x:c r="G354" s="6" t="str"/>
      <x:c r="H354" s="20"/>
      <x:c r="I354" s="6" t="str">
        <x:v>投资者服务联系人 | 宋晓东</x:v>
      </x:c>
      <x:c r="J354" s="6" t="str">
        <x:v>W005</x:v>
      </x:c>
      <x:c r="K354" s="6" t="str">
        <x:v>纳入字段</x:v>
      </x:c>
      <x:c r="L354" s="6" t="str">
        <x:v>已核实(官网披露)</x:v>
      </x:c>
    </x:row>
    <x:row r="355" ht="34" customHeight="1">
      <x:c r="A355" s="6" t="str">
        <x:v>R0264</x:v>
      </x:c>
      <x:c r="B355" s="6" t="str">
        <x:v>字段</x:v>
      </x:c>
      <x:c r="C355" s="17" t="n">
        <x:v>1</x:v>
      </x:c>
      <x:c r="D355" s="6" t="str">
        <x:v>海能未来技术集团股份有限公司</x:v>
      </x:c>
      <x:c r="E355" s="6" t="str">
        <x:v>投资者关系电话</x:v>
      </x:c>
      <x:c r="F355" s="6" t="str">
        <x:v>0531-88874418</x:v>
      </x:c>
      <x:c r="G355" s="6" t="str"/>
      <x:c r="H355" s="20"/>
      <x:c r="I355" s="6" t="str">
        <x:v>电话 | 0531-88874418</x:v>
      </x:c>
      <x:c r="J355" s="6" t="str">
        <x:v>W005</x:v>
      </x:c>
      <x:c r="K355" s="6" t="str">
        <x:v>纳入字段</x:v>
      </x:c>
      <x:c r="L355" s="6" t="str">
        <x:v>已核实(官网披露)</x:v>
      </x:c>
    </x:row>
    <x:row r="356" ht="34" customHeight="1">
      <x:c r="A356" s="6" t="str">
        <x:v>R0265</x:v>
      </x:c>
      <x:c r="B356" s="6" t="str">
        <x:v>字段</x:v>
      </x:c>
      <x:c r="C356" s="17" t="n">
        <x:v>1</x:v>
      </x:c>
      <x:c r="D356" s="6" t="str">
        <x:v>海能未来技术集团股份有限公司</x:v>
      </x:c>
      <x:c r="E356" s="6" t="str">
        <x:v>投资者关系传真</x:v>
      </x:c>
      <x:c r="F356" s="6" t="str">
        <x:v>0531-88874445</x:v>
      </x:c>
      <x:c r="G356" s="6" t="str"/>
      <x:c r="H356" s="20"/>
      <x:c r="I356" s="6" t="str">
        <x:v>传真 | 0531-88874445</x:v>
      </x:c>
      <x:c r="J356" s="6" t="str">
        <x:v>W005</x:v>
      </x:c>
      <x:c r="K356" s="6" t="str">
        <x:v>纳入字段</x:v>
      </x:c>
      <x:c r="L356" s="6" t="str">
        <x:v>已核实(官网披露)</x:v>
      </x:c>
    </x:row>
    <x:row r="357" ht="34" customHeight="1">
      <x:c r="A357" s="6" t="str">
        <x:v>R0266</x:v>
      </x:c>
      <x:c r="B357" s="6" t="str">
        <x:v>字段</x:v>
      </x:c>
      <x:c r="C357" s="17" t="n">
        <x:v>1</x:v>
      </x:c>
      <x:c r="D357" s="6" t="str">
        <x:v>海能未来技术集团股份有限公司</x:v>
      </x:c>
      <x:c r="E357" s="6" t="str">
        <x:v>投资者关系邮箱</x:v>
      </x:c>
      <x:c r="F357" s="6" t="str">
        <x:v>songxiaodong@hanon.cc</x:v>
      </x:c>
      <x:c r="G357" s="6" t="str"/>
      <x:c r="H357" s="20"/>
      <x:c r="I357" s="6" t="str">
        <x:v>电子邮箱 | songxiaodong@hanon.cc</x:v>
      </x:c>
      <x:c r="J357" s="6" t="str">
        <x:v>W005</x:v>
      </x:c>
      <x:c r="K357" s="6" t="str">
        <x:v>纳入字段</x:v>
      </x:c>
      <x:c r="L357" s="6" t="str">
        <x:v>已核实(官网披露)</x:v>
      </x:c>
    </x:row>
    <x:row r="358" ht="34" customHeight="1">
      <x:c r="A358" s="6" t="str">
        <x:v>R0267</x:v>
      </x:c>
      <x:c r="B358" s="6" t="str">
        <x:v>字段</x:v>
      </x:c>
      <x:c r="C358" s="17" t="n">
        <x:v>1</x:v>
      </x:c>
      <x:c r="D358" s="6" t="str">
        <x:v>海能未来技术集团股份有限公司</x:v>
      </x:c>
      <x:c r="E358" s="6" t="str">
        <x:v>投资者关系联系地址</x:v>
      </x:c>
      <x:c r="F358" s="6" t="str">
        <x:v>山东省济南市经十路7000号汉峪金谷A3地块1号楼第四层</x:v>
      </x:c>
      <x:c r="G358" s="6" t="str"/>
      <x:c r="H358" s="20"/>
      <x:c r="I358" s="6" t="str">
        <x:v>联系地址 | 山东省济南市经十路7000号汉峪金谷A3地块1号楼第四层</x:v>
      </x:c>
      <x:c r="J358" s="6" t="str">
        <x:v>W005</x:v>
      </x:c>
      <x:c r="K358" s="6" t="str">
        <x:v>纳入字段</x:v>
      </x:c>
      <x:c r="L358" s="6" t="str">
        <x:v>已核实(官网披露)</x:v>
      </x:c>
    </x:row>
    <x:row r="359" ht="34" customHeight="1">
      <x:c r="A359" s="6" t="str">
        <x:v>R0268</x:v>
      </x:c>
      <x:c r="B359" s="6" t="str">
        <x:v>字段</x:v>
      </x:c>
      <x:c r="C359" s="17" t="n">
        <x:v>1</x:v>
      </x:c>
      <x:c r="D359" s="6" t="str">
        <x:v>海能未来技术集团股份有限公司</x:v>
      </x:c>
      <x:c r="E359" s="6" t="str">
        <x:v>投资者关系邮编</x:v>
      </x:c>
      <x:c r="F359" s="15" t="str">
        <x:v>250101</x:v>
      </x:c>
      <x:c r="G359" s="6" t="str"/>
      <x:c r="H359" s="20"/>
      <x:c r="I359" s="6" t="str">
        <x:v>邮政编码 | 250101</x:v>
      </x:c>
      <x:c r="J359" s="6" t="str">
        <x:v>W005</x:v>
      </x:c>
      <x:c r="K359" s="6" t="str">
        <x:v>纳入字段</x:v>
      </x:c>
      <x:c r="L359" s="6" t="str">
        <x:v>已核实(官网披露)</x:v>
      </x:c>
    </x:row>
    <x:row r="360" ht="34" customHeight="1">
      <x:c r="A360" s="6" t="str">
        <x:v>R0269</x:v>
      </x:c>
      <x:c r="B360" s="6" t="str">
        <x:v>字段</x:v>
      </x:c>
      <x:c r="C360" s="17" t="n">
        <x:v>1</x:v>
      </x:c>
      <x:c r="D360" s="6" t="str">
        <x:v>海能未来技术集团股份有限公司</x:v>
      </x:c>
      <x:c r="E360" s="6" t="str">
        <x:v>成立年份</x:v>
      </x:c>
      <x:c r="F360" s="15" t="str">
        <x:v>2006</x:v>
      </x:c>
      <x:c r="G360" s="6" t="str"/>
      <x:c r="H360" s="20"/>
      <x:c r="I360" s="6" t="str">
        <x:v>2006年成立以来</x:v>
      </x:c>
      <x:c r="J360" s="6" t="str">
        <x:v>W003</x:v>
      </x:c>
      <x:c r="K360" s="6" t="str">
        <x:v>纳入字段</x:v>
      </x:c>
      <x:c r="L360" s="6" t="str">
        <x:v>已核实(官网披露)</x:v>
      </x:c>
    </x:row>
    <x:row r="361" ht="34" customHeight="1">
      <x:c r="A361" s="6" t="str">
        <x:v>R0270</x:v>
      </x:c>
      <x:c r="B361" s="6" t="str">
        <x:v>字段</x:v>
      </x:c>
      <x:c r="C361" s="17" t="n">
        <x:v>1</x:v>
      </x:c>
      <x:c r="D361" s="6" t="str">
        <x:v>海能未来技术集团股份有限公司</x:v>
      </x:c>
      <x:c r="E361" s="6" t="str">
        <x:v>品牌数量</x:v>
      </x:c>
      <x:c r="F361" s="15" t="str">
        <x:v>6</x:v>
      </x:c>
      <x:c r="G361" s="6" t="str">
        <x:v>个</x:v>
      </x:c>
      <x:c r="H361" s="20"/>
      <x:c r="I361" s="6" t="str">
        <x:v>已拥有海能、新仪、G.A.S.、悟空仪器、海森仪器、白小白6个品牌</x:v>
      </x:c>
      <x:c r="J361" s="6" t="str">
        <x:v>W003</x:v>
      </x:c>
      <x:c r="K361" s="6" t="str">
        <x:v>纳入字段</x:v>
      </x:c>
      <x:c r="L361" s="6" t="str">
        <x:v>已核实(官网披露)</x:v>
      </x:c>
    </x:row>
    <x:row r="362" ht="34" customHeight="1">
      <x:c r="A362" s="6" t="str">
        <x:v>R0271</x:v>
      </x:c>
      <x:c r="B362" s="6" t="str">
        <x:v>字段</x:v>
      </x:c>
      <x:c r="C362" s="17" t="n">
        <x:v>1</x:v>
      </x:c>
      <x:c r="D362" s="6" t="str">
        <x:v>海能未来技术集团股份有限公司</x:v>
      </x:c>
      <x:c r="E362" s="6" t="str">
        <x:v>品牌组合</x:v>
      </x:c>
      <x:c r="F362" s="6" t="str">
        <x:v>海能、新仪、G.A.S.、悟空仪器、海森仪器、白小白</x:v>
      </x:c>
      <x:c r="G362" s="6" t="str"/>
      <x:c r="H362" s="20"/>
      <x:c r="I362" s="6" t="str">
        <x:v>已拥有海能、新仪、G.A.S.、悟空仪器、海森仪器、白小白6个品牌</x:v>
      </x:c>
      <x:c r="J362" s="6" t="str">
        <x:v>W003</x:v>
      </x:c>
      <x:c r="K362" s="6" t="str">
        <x:v>纳入字段</x:v>
      </x:c>
      <x:c r="L362" s="6" t="str">
        <x:v>已核实(官网披露)</x:v>
      </x:c>
    </x:row>
    <x:row r="363" ht="34" customHeight="1">
      <x:c r="A363" s="6" t="str">
        <x:v>R0272</x:v>
      </x:c>
      <x:c r="B363" s="6" t="str">
        <x:v>字段</x:v>
      </x:c>
      <x:c r="C363" s="17" t="n">
        <x:v>1</x:v>
      </x:c>
      <x:c r="D363" s="6" t="str">
        <x:v>海能未来技术集团股份有限公司</x:v>
      </x:c>
      <x:c r="E363" s="6" t="str">
        <x:v>产品规模</x:v>
      </x:c>
      <x:c r="F363" s="6" t="str">
        <x:v>近百款仪器</x:v>
      </x:c>
      <x:c r="G363" s="6" t="str"/>
      <x:c r="H363" s="20"/>
      <x:c r="I363" s="6" t="str">
        <x:v>等近百款仪器</x:v>
      </x:c>
      <x:c r="J363" s="6" t="str">
        <x:v>W003</x:v>
      </x:c>
      <x:c r="K363" s="6" t="str">
        <x:v>纳入字段</x:v>
      </x:c>
      <x:c r="L363" s="6" t="str">
        <x:v>已核实(官网披露)</x:v>
      </x:c>
    </x:row>
    <x:row r="364" ht="34" customHeight="1">
      <x:c r="A364" s="6" t="str">
        <x:v>R0273</x:v>
      </x:c>
      <x:c r="B364" s="6" t="str">
        <x:v>字段</x:v>
      </x:c>
      <x:c r="C364" s="17" t="n">
        <x:v>1</x:v>
      </x:c>
      <x:c r="D364" s="6" t="str">
        <x:v>海能未来技术集团股份有限公司</x:v>
      </x:c>
      <x:c r="E364" s="6" t="str">
        <x:v>服务领域-食品</x:v>
      </x:c>
      <x:c r="F364" s="6" t="str">
        <x:v>食品</x:v>
      </x:c>
      <x:c r="G364" s="6" t="str"/>
      <x:c r="H364" s="20"/>
      <x:c r="I364" s="6" t="str">
        <x:v>海能技术致力为食品、药品、医疗、农业、环保、地质、化工等领域提供仪器与方法的解决方案</x:v>
      </x:c>
      <x:c r="J364" s="6" t="str">
        <x:v>W003</x:v>
      </x:c>
      <x:c r="K364" s="6" t="str">
        <x:v>纳入字段</x:v>
      </x:c>
      <x:c r="L364" s="6" t="str">
        <x:v>已核实(官网披露)</x:v>
      </x:c>
    </x:row>
    <x:row r="365" ht="34" customHeight="1">
      <x:c r="A365" s="6" t="str">
        <x:v>R0274</x:v>
      </x:c>
      <x:c r="B365" s="6" t="str">
        <x:v>字段</x:v>
      </x:c>
      <x:c r="C365" s="17" t="n">
        <x:v>1</x:v>
      </x:c>
      <x:c r="D365" s="6" t="str">
        <x:v>海能未来技术集团股份有限公司</x:v>
      </x:c>
      <x:c r="E365" s="6" t="str">
        <x:v>服务领域-药品</x:v>
      </x:c>
      <x:c r="F365" s="6" t="str">
        <x:v>药品</x:v>
      </x:c>
      <x:c r="G365" s="6" t="str"/>
      <x:c r="H365" s="20"/>
      <x:c r="I365" s="6" t="str">
        <x:v>海能技术致力为食品、药品、医疗、农业、环保、地质、化工等领域提供仪器与方法的解决方案</x:v>
      </x:c>
      <x:c r="J365" s="6" t="str">
        <x:v>W003</x:v>
      </x:c>
      <x:c r="K365" s="6" t="str">
        <x:v>纳入字段</x:v>
      </x:c>
      <x:c r="L365" s="6" t="str">
        <x:v>已核实(官网披露)</x:v>
      </x:c>
    </x:row>
    <x:row r="366" ht="34" customHeight="1">
      <x:c r="A366" s="6" t="str">
        <x:v>R0275</x:v>
      </x:c>
      <x:c r="B366" s="6" t="str">
        <x:v>字段</x:v>
      </x:c>
      <x:c r="C366" s="17" t="n">
        <x:v>1</x:v>
      </x:c>
      <x:c r="D366" s="6" t="str">
        <x:v>海能未来技术集团股份有限公司</x:v>
      </x:c>
      <x:c r="E366" s="6" t="str">
        <x:v>服务领域-医疗</x:v>
      </x:c>
      <x:c r="F366" s="6" t="str">
        <x:v>医疗</x:v>
      </x:c>
      <x:c r="G366" s="6" t="str"/>
      <x:c r="H366" s="20"/>
      <x:c r="I366" s="6" t="str">
        <x:v>海能技术致力为食品、药品、医疗、农业、环保、地质、化工等领域提供仪器与方法的解决方案</x:v>
      </x:c>
      <x:c r="J366" s="6" t="str">
        <x:v>W003</x:v>
      </x:c>
      <x:c r="K366" s="6" t="str">
        <x:v>纳入字段</x:v>
      </x:c>
      <x:c r="L366" s="6" t="str">
        <x:v>已核实(官网披露)</x:v>
      </x:c>
    </x:row>
    <x:row r="367" ht="34" customHeight="1">
      <x:c r="A367" s="6" t="str">
        <x:v>R0276</x:v>
      </x:c>
      <x:c r="B367" s="6" t="str">
        <x:v>字段</x:v>
      </x:c>
      <x:c r="C367" s="17" t="n">
        <x:v>1</x:v>
      </x:c>
      <x:c r="D367" s="6" t="str">
        <x:v>海能未来技术集团股份有限公司</x:v>
      </x:c>
      <x:c r="E367" s="6" t="str">
        <x:v>服务领域-农业</x:v>
      </x:c>
      <x:c r="F367" s="6" t="str">
        <x:v>农业</x:v>
      </x:c>
      <x:c r="G367" s="6" t="str"/>
      <x:c r="H367" s="20"/>
      <x:c r="I367" s="6" t="str">
        <x:v>海能技术致力为食品、药品、医疗、农业、环保、地质、化工等领域提供仪器与方法的解决方案</x:v>
      </x:c>
      <x:c r="J367" s="6" t="str">
        <x:v>W003</x:v>
      </x:c>
      <x:c r="K367" s="6" t="str">
        <x:v>纳入字段</x:v>
      </x:c>
      <x:c r="L367" s="6" t="str">
        <x:v>已核实(官网披露)</x:v>
      </x:c>
    </x:row>
    <x:row r="368" ht="34" customHeight="1">
      <x:c r="A368" s="6" t="str">
        <x:v>R0277</x:v>
      </x:c>
      <x:c r="B368" s="6" t="str">
        <x:v>字段</x:v>
      </x:c>
      <x:c r="C368" s="17" t="n">
        <x:v>1</x:v>
      </x:c>
      <x:c r="D368" s="6" t="str">
        <x:v>海能未来技术集团股份有限公司</x:v>
      </x:c>
      <x:c r="E368" s="6" t="str">
        <x:v>服务领域-环保</x:v>
      </x:c>
      <x:c r="F368" s="6" t="str">
        <x:v>环保</x:v>
      </x:c>
      <x:c r="G368" s="6" t="str"/>
      <x:c r="H368" s="20"/>
      <x:c r="I368" s="6" t="str">
        <x:v>海能技术致力为食品、药品、医疗、农业、环保、地质、化工等领域提供仪器与方法的解决方案</x:v>
      </x:c>
      <x:c r="J368" s="6" t="str">
        <x:v>W003</x:v>
      </x:c>
      <x:c r="K368" s="6" t="str">
        <x:v>纳入字段</x:v>
      </x:c>
      <x:c r="L368" s="6" t="str">
        <x:v>已核实(官网披露)</x:v>
      </x:c>
    </x:row>
    <x:row r="369" ht="34" customHeight="1">
      <x:c r="A369" s="6" t="str">
        <x:v>R0278</x:v>
      </x:c>
      <x:c r="B369" s="6" t="str">
        <x:v>字段</x:v>
      </x:c>
      <x:c r="C369" s="17" t="n">
        <x:v>1</x:v>
      </x:c>
      <x:c r="D369" s="6" t="str">
        <x:v>海能未来技术集团股份有限公司</x:v>
      </x:c>
      <x:c r="E369" s="6" t="str">
        <x:v>服务领域-地质</x:v>
      </x:c>
      <x:c r="F369" s="6" t="str">
        <x:v>地质</x:v>
      </x:c>
      <x:c r="G369" s="6" t="str"/>
      <x:c r="H369" s="20"/>
      <x:c r="I369" s="6" t="str">
        <x:v>海能技术致力为食品、药品、医疗、农业、环保、地质、化工等领域提供仪器与方法的解决方案</x:v>
      </x:c>
      <x:c r="J369" s="6" t="str">
        <x:v>W003</x:v>
      </x:c>
      <x:c r="K369" s="6" t="str">
        <x:v>纳入字段</x:v>
      </x:c>
      <x:c r="L369" s="6" t="str">
        <x:v>已核实(官网披露)</x:v>
      </x:c>
    </x:row>
    <x:row r="370" ht="34" customHeight="1">
      <x:c r="A370" s="6" t="str">
        <x:v>R0279</x:v>
      </x:c>
      <x:c r="B370" s="6" t="str">
        <x:v>字段</x:v>
      </x:c>
      <x:c r="C370" s="17" t="n">
        <x:v>1</x:v>
      </x:c>
      <x:c r="D370" s="6" t="str">
        <x:v>海能未来技术集团股份有限公司</x:v>
      </x:c>
      <x:c r="E370" s="6" t="str">
        <x:v>服务领域-化工</x:v>
      </x:c>
      <x:c r="F370" s="6" t="str">
        <x:v>化工</x:v>
      </x:c>
      <x:c r="G370" s="6" t="str"/>
      <x:c r="H370" s="20"/>
      <x:c r="I370" s="6" t="str">
        <x:v>海能技术致力为食品、药品、医疗、农业、环保、地质、化工等领域提供仪器与方法的解决方案</x:v>
      </x:c>
      <x:c r="J370" s="6" t="str">
        <x:v>W003</x:v>
      </x:c>
      <x:c r="K370" s="6" t="str">
        <x:v>纳入字段</x:v>
      </x:c>
      <x:c r="L370" s="6" t="str">
        <x:v>已核实(官网披露)</x:v>
      </x:c>
    </x:row>
    <x:row r="371" ht="34" customHeight="1">
      <x:c r="A371" s="6" t="str">
        <x:v>R0280</x:v>
      </x:c>
      <x:c r="B371" s="6" t="str">
        <x:v>字段</x:v>
      </x:c>
      <x:c r="C371" s="17" t="n">
        <x:v>1</x:v>
      </x:c>
      <x:c r="D371" s="6" t="str">
        <x:v>海能未来技术集团股份有限公司</x:v>
      </x:c>
      <x:c r="E371" s="6" t="str">
        <x:v>产品系列-有机元素分析系列</x:v>
      </x:c>
      <x:c r="F371" s="6" t="str">
        <x:v>有机元素分析系列</x:v>
      </x:c>
      <x:c r="G371" s="6" t="str"/>
      <x:c r="H371" s="20"/>
      <x:c r="I371" s="6" t="str">
        <x:v>有机元素分析系列</x:v>
      </x:c>
      <x:c r="J371" s="6" t="str">
        <x:v>W003</x:v>
      </x:c>
      <x:c r="K371" s="6" t="str">
        <x:v>纳入字段</x:v>
      </x:c>
      <x:c r="L371" s="6" t="str">
        <x:v>已核实(官网披露)</x:v>
      </x:c>
    </x:row>
    <x:row r="372" ht="34" customHeight="1">
      <x:c r="A372" s="6" t="str">
        <x:v>R0281</x:v>
      </x:c>
      <x:c r="B372" s="6" t="str">
        <x:v>字段</x:v>
      </x:c>
      <x:c r="C372" s="17" t="n">
        <x:v>1</x:v>
      </x:c>
      <x:c r="D372" s="6" t="str">
        <x:v>海能未来技术集团股份有限公司</x:v>
      </x:c>
      <x:c r="E372" s="6" t="str">
        <x:v>产品系列-样品前处理系列</x:v>
      </x:c>
      <x:c r="F372" s="6" t="str">
        <x:v>样品前处理系列</x:v>
      </x:c>
      <x:c r="G372" s="6" t="str"/>
      <x:c r="H372" s="20"/>
      <x:c r="I372" s="6" t="str">
        <x:v>样品前处理系列</x:v>
      </x:c>
      <x:c r="J372" s="6" t="str">
        <x:v>W003</x:v>
      </x:c>
      <x:c r="K372" s="6" t="str">
        <x:v>纳入字段</x:v>
      </x:c>
      <x:c r="L372" s="6" t="str">
        <x:v>已核实(官网披露)</x:v>
      </x:c>
    </x:row>
    <x:row r="373" ht="34" customHeight="1">
      <x:c r="A373" s="6" t="str">
        <x:v>R0282</x:v>
      </x:c>
      <x:c r="B373" s="6" t="str">
        <x:v>字段</x:v>
      </x:c>
      <x:c r="C373" s="17" t="n">
        <x:v>1</x:v>
      </x:c>
      <x:c r="D373" s="6" t="str">
        <x:v>海能未来技术集团股份有限公司</x:v>
      </x:c>
      <x:c r="E373" s="6" t="str">
        <x:v>产品系列-电化学系列</x:v>
      </x:c>
      <x:c r="F373" s="6" t="str">
        <x:v>电化学系列</x:v>
      </x:c>
      <x:c r="G373" s="6" t="str"/>
      <x:c r="H373" s="20"/>
      <x:c r="I373" s="6" t="str">
        <x:v>电化学系列</x:v>
      </x:c>
      <x:c r="J373" s="6" t="str">
        <x:v>W003</x:v>
      </x:c>
      <x:c r="K373" s="6" t="str">
        <x:v>纳入字段</x:v>
      </x:c>
      <x:c r="L373" s="6" t="str">
        <x:v>已核实(官网披露)</x:v>
      </x:c>
    </x:row>
    <x:row r="374" ht="34" customHeight="1">
      <x:c r="A374" s="6" t="str">
        <x:v>R0283</x:v>
      </x:c>
      <x:c r="B374" s="6" t="str">
        <x:v>字段</x:v>
      </x:c>
      <x:c r="C374" s="17" t="n">
        <x:v>1</x:v>
      </x:c>
      <x:c r="D374" s="6" t="str">
        <x:v>海能未来技术集团股份有限公司</x:v>
      </x:c>
      <x:c r="E374" s="6" t="str">
        <x:v>产品系列-物理光学系列</x:v>
      </x:c>
      <x:c r="F374" s="6" t="str">
        <x:v>物理光学系列</x:v>
      </x:c>
      <x:c r="G374" s="6" t="str"/>
      <x:c r="H374" s="20"/>
      <x:c r="I374" s="6" t="str">
        <x:v>物理光学系列</x:v>
      </x:c>
      <x:c r="J374" s="6" t="str">
        <x:v>W003</x:v>
      </x:c>
      <x:c r="K374" s="6" t="str">
        <x:v>纳入字段</x:v>
      </x:c>
      <x:c r="L374" s="6" t="str">
        <x:v>已核实(官网披露)</x:v>
      </x:c>
    </x:row>
    <x:row r="375" ht="34" customHeight="1">
      <x:c r="A375" s="6" t="str">
        <x:v>R0284</x:v>
      </x:c>
      <x:c r="B375" s="6" t="str">
        <x:v>字段</x:v>
      </x:c>
      <x:c r="C375" s="17" t="n">
        <x:v>1</x:v>
      </x:c>
      <x:c r="D375" s="6" t="str">
        <x:v>海能未来技术集团股份有限公司</x:v>
      </x:c>
      <x:c r="E375" s="6" t="str">
        <x:v>产品系列-气相离子迁移谱系列</x:v>
      </x:c>
      <x:c r="F375" s="6" t="str">
        <x:v>气相离子迁移谱系列</x:v>
      </x:c>
      <x:c r="G375" s="6" t="str"/>
      <x:c r="H375" s="20"/>
      <x:c r="I375" s="6" t="str">
        <x:v>气相离子迁移谱系列</x:v>
      </x:c>
      <x:c r="J375" s="6" t="str">
        <x:v>W003</x:v>
      </x:c>
      <x:c r="K375" s="6" t="str">
        <x:v>纳入字段</x:v>
      </x:c>
      <x:c r="L375" s="6" t="str">
        <x:v>已核实(官网披露)</x:v>
      </x:c>
    </x:row>
    <x:row r="376" ht="34" customHeight="1">
      <x:c r="A376" s="6" t="str">
        <x:v>R0285</x:v>
      </x:c>
      <x:c r="B376" s="6" t="str">
        <x:v>字段</x:v>
      </x:c>
      <x:c r="C376" s="17" t="n">
        <x:v>1</x:v>
      </x:c>
      <x:c r="D376" s="6" t="str">
        <x:v>海能未来技术集团股份有限公司</x:v>
      </x:c>
      <x:c r="E376" s="6" t="str">
        <x:v>产品系列-光谱系列</x:v>
      </x:c>
      <x:c r="F376" s="6" t="str">
        <x:v>光谱系列</x:v>
      </x:c>
      <x:c r="G376" s="6" t="str"/>
      <x:c r="H376" s="20"/>
      <x:c r="I376" s="6" t="str">
        <x:v>光谱系列</x:v>
      </x:c>
      <x:c r="J376" s="6" t="str">
        <x:v>W003</x:v>
      </x:c>
      <x:c r="K376" s="6" t="str">
        <x:v>纳入字段</x:v>
      </x:c>
      <x:c r="L376" s="6" t="str">
        <x:v>已核实(官网披露)</x:v>
      </x:c>
    </x:row>
    <x:row r="377" ht="34" customHeight="1">
      <x:c r="A377" s="6" t="str">
        <x:v>R0286</x:v>
      </x:c>
      <x:c r="B377" s="6" t="str">
        <x:v>字段</x:v>
      </x:c>
      <x:c r="C377" s="17" t="n">
        <x:v>1</x:v>
      </x:c>
      <x:c r="D377" s="6" t="str">
        <x:v>海能未来技术集团股份有限公司</x:v>
      </x:c>
      <x:c r="E377" s="6" t="str">
        <x:v>产品系列-色谱系列</x:v>
      </x:c>
      <x:c r="F377" s="6" t="str">
        <x:v>色谱系列</x:v>
      </x:c>
      <x:c r="G377" s="6" t="str"/>
      <x:c r="H377" s="20"/>
      <x:c r="I377" s="6" t="str">
        <x:v>色谱系列</x:v>
      </x:c>
      <x:c r="J377" s="6" t="str">
        <x:v>W003</x:v>
      </x:c>
      <x:c r="K377" s="6" t="str">
        <x:v>纳入字段</x:v>
      </x:c>
      <x:c r="L377" s="6" t="str">
        <x:v>已核实(官网披露)</x:v>
      </x:c>
    </x:row>
    <x:row r="378" ht="34" customHeight="1">
      <x:c r="A378" s="6" t="str">
        <x:v>R0287</x:v>
      </x:c>
      <x:c r="B378" s="6" t="str">
        <x:v>字段</x:v>
      </x:c>
      <x:c r="C378" s="17" t="n">
        <x:v>1</x:v>
      </x:c>
      <x:c r="D378" s="6" t="str">
        <x:v>海能未来技术集团股份有限公司</x:v>
      </x:c>
      <x:c r="E378" s="6" t="str">
        <x:v>产品系列-药品检验系列</x:v>
      </x:c>
      <x:c r="F378" s="6" t="str">
        <x:v>药品检验系列</x:v>
      </x:c>
      <x:c r="G378" s="6" t="str"/>
      <x:c r="H378" s="20"/>
      <x:c r="I378" s="6" t="str">
        <x:v>药品检验系列</x:v>
      </x:c>
      <x:c r="J378" s="6" t="str">
        <x:v>W003</x:v>
      </x:c>
      <x:c r="K378" s="6" t="str">
        <x:v>纳入字段</x:v>
      </x:c>
      <x:c r="L378" s="6" t="str">
        <x:v>已核实(官网披露)</x:v>
      </x:c>
    </x:row>
    <x:row r="379" ht="34" customHeight="1">
      <x:c r="A379" s="6" t="str">
        <x:v>R0288</x:v>
      </x:c>
      <x:c r="B379" s="6" t="str">
        <x:v>字段</x:v>
      </x:c>
      <x:c r="C379" s="17" t="n">
        <x:v>1</x:v>
      </x:c>
      <x:c r="D379" s="6" t="str">
        <x:v>海能未来技术集团股份有限公司</x:v>
      </x:c>
      <x:c r="E379" s="6" t="str">
        <x:v>产品系列-洗瓶机系列</x:v>
      </x:c>
      <x:c r="F379" s="6" t="str">
        <x:v>洗瓶机系列</x:v>
      </x:c>
      <x:c r="G379" s="6" t="str"/>
      <x:c r="H379" s="20"/>
      <x:c r="I379" s="6" t="str">
        <x:v>洗瓶机系列</x:v>
      </x:c>
      <x:c r="J379" s="6" t="str">
        <x:v>W003</x:v>
      </x:c>
      <x:c r="K379" s="6" t="str">
        <x:v>纳入字段</x:v>
      </x:c>
      <x:c r="L379" s="6" t="str">
        <x:v>已核实(官网披露)</x:v>
      </x:c>
    </x:row>
    <x:row r="380" ht="34" customHeight="1">
      <x:c r="A380" s="6" t="str">
        <x:v>R0289</x:v>
      </x:c>
      <x:c r="B380" s="6" t="str">
        <x:v>字段</x:v>
      </x:c>
      <x:c r="C380" s="17" t="n">
        <x:v>1</x:v>
      </x:c>
      <x:c r="D380" s="6" t="str">
        <x:v>海能未来技术集团股份有限公司</x:v>
      </x:c>
      <x:c r="E380" s="6" t="str">
        <x:v>国家专精特新资质</x:v>
      </x:c>
      <x:c r="F380" s="6" t="str">
        <x:v>国家专精特新“小巨人”企业</x:v>
      </x:c>
      <x:c r="G380" s="6" t="str"/>
      <x:c r="H380" s="20"/>
      <x:c r="I380" s="6" t="str">
        <x:v>国家专精特新“小巨人”企业</x:v>
      </x:c>
      <x:c r="J380" s="6" t="str">
        <x:v>W003</x:v>
      </x:c>
      <x:c r="K380" s="6" t="str">
        <x:v>纳入字段</x:v>
      </x:c>
      <x:c r="L380" s="6" t="str">
        <x:v>已核实(官网披露)</x:v>
      </x:c>
    </x:row>
    <x:row r="381" ht="34" customHeight="1">
      <x:c r="A381" s="6" t="str">
        <x:v>R0290</x:v>
      </x:c>
      <x:c r="B381" s="6" t="str">
        <x:v>字段</x:v>
      </x:c>
      <x:c r="C381" s="17" t="n">
        <x:v>1</x:v>
      </x:c>
      <x:c r="D381" s="6" t="str">
        <x:v>海能未来技术集团股份有限公司</x:v>
      </x:c>
      <x:c r="E381" s="6" t="str">
        <x:v>瞪羚企业资质</x:v>
      </x:c>
      <x:c r="F381" s="6" t="str">
        <x:v>国家高新区瞪羚企业</x:v>
      </x:c>
      <x:c r="G381" s="6" t="str"/>
      <x:c r="H381" s="20"/>
      <x:c r="I381" s="6" t="str">
        <x:v>国家高新区瞪羚企业</x:v>
      </x:c>
      <x:c r="J381" s="6" t="str">
        <x:v>W003</x:v>
      </x:c>
      <x:c r="K381" s="6" t="str">
        <x:v>纳入字段</x:v>
      </x:c>
      <x:c r="L381" s="6" t="str">
        <x:v>已核实(官网披露)</x:v>
      </x:c>
    </x:row>
    <x:row r="382" ht="34" customHeight="1">
      <x:c r="A382" s="6" t="str">
        <x:v>R0291</x:v>
      </x:c>
      <x:c r="B382" s="6" t="str">
        <x:v>字段</x:v>
      </x:c>
      <x:c r="C382" s="17" t="n">
        <x:v>1</x:v>
      </x:c>
      <x:c r="D382" s="6" t="str">
        <x:v>海能未来技术集团股份有限公司</x:v>
      </x:c>
      <x:c r="E382" s="6" t="str">
        <x:v>欧盟认证</x:v>
      </x:c>
      <x:c r="F382" s="6" t="str">
        <x:v>欧盟CE认证</x:v>
      </x:c>
      <x:c r="G382" s="6" t="str"/>
      <x:c r="H382" s="20"/>
      <x:c r="I382" s="6" t="str">
        <x:v>欧盟CE认证</x:v>
      </x:c>
      <x:c r="J382" s="6" t="str">
        <x:v>W003</x:v>
      </x:c>
      <x:c r="K382" s="6" t="str">
        <x:v>纳入字段</x:v>
      </x:c>
      <x:c r="L382" s="6" t="str">
        <x:v>已核实(官网披露)</x:v>
      </x:c>
    </x:row>
    <x:row r="383" ht="34" customHeight="1">
      <x:c r="A383" s="6" t="str">
        <x:v>R0292</x:v>
      </x:c>
      <x:c r="B383" s="6" t="str">
        <x:v>字段</x:v>
      </x:c>
      <x:c r="C383" s="17" t="n">
        <x:v>1</x:v>
      </x:c>
      <x:c r="D383" s="6" t="str">
        <x:v>海能未来技术集团股份有限公司</x:v>
      </x:c>
      <x:c r="E383" s="6" t="str">
        <x:v>质量体系认证</x:v>
      </x:c>
      <x:c r="F383" s="6" t="str">
        <x:v>英国UKAS机构ISO质量管理体系认证</x:v>
      </x:c>
      <x:c r="G383" s="6" t="str"/>
      <x:c r="H383" s="20"/>
      <x:c r="I383" s="6" t="str">
        <x:v>英国UKAS机构ISO质量管理体系认证</x:v>
      </x:c>
      <x:c r="J383" s="6" t="str">
        <x:v>W003</x:v>
      </x:c>
      <x:c r="K383" s="6" t="str">
        <x:v>纳入字段</x:v>
      </x:c>
      <x:c r="L383" s="6" t="str">
        <x:v>已核实(官网披露)</x:v>
      </x:c>
    </x:row>
    <x:row r="384" ht="34" customHeight="1">
      <x:c r="A384" s="6" t="str">
        <x:v>R0293</x:v>
      </x:c>
      <x:c r="B384" s="6" t="str">
        <x:v>字段</x:v>
      </x:c>
      <x:c r="C384" s="17" t="n">
        <x:v>1</x:v>
      </x:c>
      <x:c r="D384" s="6" t="str">
        <x:v>海能未来技术集团股份有限公司</x:v>
      </x:c>
      <x:c r="E384" s="6" t="str">
        <x:v>发明专利</x:v>
      </x:c>
      <x:c r="F384" s="15" t="str">
        <x:v>56</x:v>
      </x:c>
      <x:c r="G384" s="6" t="str">
        <x:v>项</x:v>
      </x:c>
      <x:c r="H384" s="20"/>
      <x:c r="I384" s="6" t="str">
        <x:v>发明专利56项</x:v>
      </x:c>
      <x:c r="J384" s="6" t="str">
        <x:v>W003</x:v>
      </x:c>
      <x:c r="K384" s="6" t="str">
        <x:v>纳入字段</x:v>
      </x:c>
      <x:c r="L384" s="6" t="str">
        <x:v>已核实(官网披露)</x:v>
      </x:c>
    </x:row>
    <x:row r="385" ht="34" customHeight="1">
      <x:c r="A385" s="6" t="str">
        <x:v>R0294</x:v>
      </x:c>
      <x:c r="B385" s="6" t="str">
        <x:v>字段</x:v>
      </x:c>
      <x:c r="C385" s="17" t="n">
        <x:v>1</x:v>
      </x:c>
      <x:c r="D385" s="6" t="str">
        <x:v>海能未来技术集团股份有限公司</x:v>
      </x:c>
      <x:c r="E385" s="6" t="str">
        <x:v>实用新型专利</x:v>
      </x:c>
      <x:c r="F385" s="15" t="str">
        <x:v>128</x:v>
      </x:c>
      <x:c r="G385" s="6" t="str">
        <x:v>项</x:v>
      </x:c>
      <x:c r="H385" s="20"/>
      <x:c r="I385" s="6" t="str">
        <x:v>实用新型专利128项</x:v>
      </x:c>
      <x:c r="J385" s="6" t="str">
        <x:v>W003</x:v>
      </x:c>
      <x:c r="K385" s="6" t="str">
        <x:v>纳入字段</x:v>
      </x:c>
      <x:c r="L385" s="6" t="str">
        <x:v>已核实(官网披露)</x:v>
      </x:c>
    </x:row>
    <x:row r="386" ht="34" customHeight="1">
      <x:c r="A386" s="6" t="str">
        <x:v>R0295</x:v>
      </x:c>
      <x:c r="B386" s="6" t="str">
        <x:v>字段</x:v>
      </x:c>
      <x:c r="C386" s="17" t="n">
        <x:v>1</x:v>
      </x:c>
      <x:c r="D386" s="6" t="str">
        <x:v>海能未来技术集团股份有限公司</x:v>
      </x:c>
      <x:c r="E386" s="6" t="str">
        <x:v>外观设计专利</x:v>
      </x:c>
      <x:c r="F386" s="15" t="str">
        <x:v>6</x:v>
      </x:c>
      <x:c r="G386" s="6" t="str">
        <x:v>项</x:v>
      </x:c>
      <x:c r="H386" s="20"/>
      <x:c r="I386" s="6" t="str">
        <x:v>外观设计专利6项</x:v>
      </x:c>
      <x:c r="J386" s="6" t="str">
        <x:v>W003</x:v>
      </x:c>
      <x:c r="K386" s="6" t="str">
        <x:v>纳入字段</x:v>
      </x:c>
      <x:c r="L386" s="6" t="str">
        <x:v>已核实(官网披露)</x:v>
      </x:c>
    </x:row>
    <x:row r="387" ht="34" customHeight="1">
      <x:c r="A387" s="6" t="str">
        <x:v>R0296</x:v>
      </x:c>
      <x:c r="B387" s="6" t="str">
        <x:v>字段</x:v>
      </x:c>
      <x:c r="C387" s="17" t="n">
        <x:v>1</x:v>
      </x:c>
      <x:c r="D387" s="6" t="str">
        <x:v>海能未来技术集团股份有限公司</x:v>
      </x:c>
      <x:c r="E387" s="6" t="str">
        <x:v>软件著作权</x:v>
      </x:c>
      <x:c r="F387" s="15" t="str">
        <x:v>94</x:v>
      </x:c>
      <x:c r="G387" s="6" t="str">
        <x:v>项</x:v>
      </x:c>
      <x:c r="H387" s="20"/>
      <x:c r="I387" s="6" t="str">
        <x:v>软件著作权94项</x:v>
      </x:c>
      <x:c r="J387" s="6" t="str">
        <x:v>W003</x:v>
      </x:c>
      <x:c r="K387" s="6" t="str">
        <x:v>纳入字段</x:v>
      </x:c>
      <x:c r="L387" s="6" t="str">
        <x:v>已核实(官网披露)</x:v>
      </x:c>
    </x:row>
    <x:row r="388" ht="34" customHeight="1">
      <x:c r="A388" s="6" t="str">
        <x:v>R0297</x:v>
      </x:c>
      <x:c r="B388" s="6" t="str">
        <x:v>字段</x:v>
      </x:c>
      <x:c r="C388" s="17" t="n">
        <x:v>1</x:v>
      </x:c>
      <x:c r="D388" s="6" t="str">
        <x:v>海能未来技术集团股份有限公司</x:v>
      </x:c>
      <x:c r="E388" s="6" t="str">
        <x:v>国家标准</x:v>
      </x:c>
      <x:c r="F388" s="15" t="str">
        <x:v>6</x:v>
      </x:c>
      <x:c r="G388" s="6" t="str">
        <x:v>项</x:v>
      </x:c>
      <x:c r="H388" s="20"/>
      <x:c r="I388" s="6" t="str">
        <x:v>国家标准6项</x:v>
      </x:c>
      <x:c r="J388" s="6" t="str">
        <x:v>W003</x:v>
      </x:c>
      <x:c r="K388" s="6" t="str">
        <x:v>纳入字段</x:v>
      </x:c>
      <x:c r="L388" s="6" t="str">
        <x:v>已核实(官网披露)</x:v>
      </x:c>
    </x:row>
    <x:row r="389" ht="34" customHeight="1">
      <x:c r="A389" s="6" t="str">
        <x:v>R0298</x:v>
      </x:c>
      <x:c r="B389" s="6" t="str">
        <x:v>字段</x:v>
      </x:c>
      <x:c r="C389" s="17" t="n">
        <x:v>1</x:v>
      </x:c>
      <x:c r="D389" s="6" t="str">
        <x:v>海能未来技术集团股份有限公司</x:v>
      </x:c>
      <x:c r="E389" s="6" t="str">
        <x:v>行业标准</x:v>
      </x:c>
      <x:c r="F389" s="15" t="str">
        <x:v>5</x:v>
      </x:c>
      <x:c r="G389" s="6" t="str">
        <x:v>项</x:v>
      </x:c>
      <x:c r="H389" s="20"/>
      <x:c r="I389" s="6" t="str">
        <x:v>行业标准5项</x:v>
      </x:c>
      <x:c r="J389" s="6" t="str">
        <x:v>W003</x:v>
      </x:c>
      <x:c r="K389" s="6" t="str">
        <x:v>纳入字段</x:v>
      </x:c>
      <x:c r="L389" s="6" t="str">
        <x:v>已核实(官网披露)</x:v>
      </x:c>
    </x:row>
    <x:row r="390" ht="34" customHeight="1">
      <x:c r="A390" s="6" t="str">
        <x:v>R0299</x:v>
      </x:c>
      <x:c r="B390" s="6" t="str">
        <x:v>字段</x:v>
      </x:c>
      <x:c r="C390" s="17" t="n">
        <x:v>1</x:v>
      </x:c>
      <x:c r="D390" s="6" t="str">
        <x:v>海能未来技术集团股份有限公司</x:v>
      </x:c>
      <x:c r="E390" s="6" t="str">
        <x:v>研发中心数量</x:v>
      </x:c>
      <x:c r="F390" s="15" t="str">
        <x:v>6</x:v>
      </x:c>
      <x:c r="G390" s="6" t="str">
        <x:v>个</x:v>
      </x:c>
      <x:c r="H390" s="20"/>
      <x:c r="I390" s="6" t="str">
        <x:v>北京、上海、山东、苏州、天津、多特蒙德6个研发中心</x:v>
      </x:c>
      <x:c r="J390" s="6" t="str">
        <x:v>W003</x:v>
      </x:c>
      <x:c r="K390" s="6" t="str">
        <x:v>纳入字段</x:v>
      </x:c>
      <x:c r="L390" s="6" t="str">
        <x:v>已核实(官网披露)</x:v>
      </x:c>
    </x:row>
    <x:row r="391" ht="34" customHeight="1">
      <x:c r="A391" s="6" t="str">
        <x:v>R0300</x:v>
      </x:c>
      <x:c r="B391" s="6" t="str">
        <x:v>字段</x:v>
      </x:c>
      <x:c r="C391" s="17" t="n">
        <x:v>1</x:v>
      </x:c>
      <x:c r="D391" s="6" t="str">
        <x:v>海能未来技术集团股份有限公司</x:v>
      </x:c>
      <x:c r="E391" s="6" t="str">
        <x:v>研发中心分布</x:v>
      </x:c>
      <x:c r="F391" s="6" t="str">
        <x:v>北京、上海、山东、苏州、天津、多特蒙德</x:v>
      </x:c>
      <x:c r="G391" s="6" t="str"/>
      <x:c r="H391" s="20"/>
      <x:c r="I391" s="6" t="str">
        <x:v>北京、上海、山东、苏州、天津、多特蒙德6个研发中心</x:v>
      </x:c>
      <x:c r="J391" s="6" t="str">
        <x:v>W003</x:v>
      </x:c>
      <x:c r="K391" s="6" t="str">
        <x:v>纳入字段</x:v>
      </x:c>
      <x:c r="L391" s="6" t="str">
        <x:v>已核实(官网披露)</x:v>
      </x:c>
    </x:row>
    <x:row r="392" ht="34" customHeight="1">
      <x:c r="A392" s="6" t="str">
        <x:v>R0301</x:v>
      </x:c>
      <x:c r="B392" s="6" t="str">
        <x:v>字段</x:v>
      </x:c>
      <x:c r="C392" s="17" t="n">
        <x:v>1</x:v>
      </x:c>
      <x:c r="D392" s="6" t="str">
        <x:v>海能未来技术集团股份有限公司</x:v>
      </x:c>
      <x:c r="E392" s="6" t="str">
        <x:v>售后网点规模</x:v>
      </x:c>
      <x:c r="F392" s="6" t="str">
        <x:v>20余个</x:v>
      </x:c>
      <x:c r="G392" s="6" t="str">
        <x:v>个</x:v>
      </x:c>
      <x:c r="H392" s="20"/>
      <x:c r="I392" s="6" t="str">
        <x:v>20余个售后服务网点</x:v>
      </x:c>
      <x:c r="J392" s="6" t="str">
        <x:v>W003</x:v>
      </x:c>
      <x:c r="K392" s="6" t="str">
        <x:v>纳入字段</x:v>
      </x:c>
      <x:c r="L392" s="6" t="str">
        <x:v>已核实(官网披露)</x:v>
      </x:c>
    </x:row>
    <x:row r="393" ht="34" customHeight="1">
      <x:c r="A393" s="6" t="str">
        <x:v>R0302</x:v>
      </x:c>
      <x:c r="B393" s="6" t="str">
        <x:v>字段</x:v>
      </x:c>
      <x:c r="C393" s="17" t="n">
        <x:v>1</x:v>
      </x:c>
      <x:c r="D393" s="6" t="str">
        <x:v>海能未来技术集团股份有限公司</x:v>
      </x:c>
      <x:c r="E393" s="6" t="str">
        <x:v>自建产业园规模</x:v>
      </x:c>
      <x:c r="F393" s="6" t="str">
        <x:v>40000余</x:v>
      </x:c>
      <x:c r="G393" s="6" t="str">
        <x:v>平方米</x:v>
      </x:c>
      <x:c r="H393" s="20"/>
      <x:c r="I393" s="6" t="str">
        <x:v>40000余平方米全产业链模式自建产业园</x:v>
      </x:c>
      <x:c r="J393" s="6" t="str">
        <x:v>W003</x:v>
      </x:c>
      <x:c r="K393" s="6" t="str">
        <x:v>纳入字段</x:v>
      </x:c>
      <x:c r="L393" s="6" t="str">
        <x:v>已核实(官网披露)</x:v>
      </x:c>
    </x:row>
    <x:row r="394" ht="34" customHeight="1">
      <x:c r="A394" s="6" t="str">
        <x:v>R0303</x:v>
      </x:c>
      <x:c r="B394" s="6" t="str">
        <x:v>字段</x:v>
      </x:c>
      <x:c r="C394" s="17" t="n">
        <x:v>1</x:v>
      </x:c>
      <x:c r="D394" s="6" t="str">
        <x:v>海能未来技术集团股份有限公司</x:v>
      </x:c>
      <x:c r="E394" s="6" t="str">
        <x:v>服务响应体系</x:v>
      </x:c>
      <x:c r="F394" s="6" t="str">
        <x:v>7天×10小时</x:v>
      </x:c>
      <x:c r="G394" s="6" t="str"/>
      <x:c r="H394" s="20"/>
      <x:c r="I394" s="6" t="str">
        <x:v>7天×10小时的服务响应体系</x:v>
      </x:c>
      <x:c r="J394" s="6" t="str">
        <x:v>W003</x:v>
      </x:c>
      <x:c r="K394" s="6" t="str">
        <x:v>纳入字段</x:v>
      </x:c>
      <x:c r="L394" s="6" t="str">
        <x:v>已核实(官网披露)</x:v>
      </x:c>
    </x:row>
    <x:row r="395" ht="34" customHeight="1">
      <x:c r="A395" s="6" t="str">
        <x:v>R0304</x:v>
      </x:c>
      <x:c r="B395" s="6" t="str">
        <x:v>字段</x:v>
      </x:c>
      <x:c r="C395" s="17" t="n">
        <x:v>1</x:v>
      </x:c>
      <x:c r="D395" s="6" t="str">
        <x:v>海能未来技术集团股份有限公司</x:v>
      </x:c>
      <x:c r="E395" s="6" t="str">
        <x:v>资质栏目-ISO证书</x:v>
      </x:c>
      <x:c r="F395" s="6" t="str">
        <x:v>ISO证书</x:v>
      </x:c>
      <x:c r="G395" s="6" t="str"/>
      <x:c r="H395" s="20"/>
      <x:c r="I395" s="6" t="str">
        <x:v>ISO证书</x:v>
      </x:c>
      <x:c r="J395" s="6" t="str">
        <x:v>W006</x:v>
      </x:c>
      <x:c r="K395" s="6" t="str">
        <x:v>纳入字段</x:v>
      </x:c>
      <x:c r="L395" s="6" t="str">
        <x:v>已核实(官网披露)</x:v>
      </x:c>
    </x:row>
    <x:row r="396" ht="34" customHeight="1">
      <x:c r="A396" s="6" t="str">
        <x:v>R0305</x:v>
      </x:c>
      <x:c r="B396" s="6" t="str">
        <x:v>字段</x:v>
      </x:c>
      <x:c r="C396" s="17" t="n">
        <x:v>1</x:v>
      </x:c>
      <x:c r="D396" s="6" t="str">
        <x:v>海能未来技术集团股份有限公司</x:v>
      </x:c>
      <x:c r="E396" s="6" t="str">
        <x:v>资质栏目-杜马斯定氮仪—BCEIA金奖</x:v>
      </x:c>
      <x:c r="F396" s="6" t="str">
        <x:v>杜马斯定氮仪—BCEIA金奖</x:v>
      </x:c>
      <x:c r="G396" s="6" t="str"/>
      <x:c r="H396" s="20"/>
      <x:c r="I396" s="6" t="str">
        <x:v>杜马斯定氮仪—BCEIA金奖</x:v>
      </x:c>
      <x:c r="J396" s="6" t="str">
        <x:v>W006</x:v>
      </x:c>
      <x:c r="K396" s="6" t="str">
        <x:v>纳入字段</x:v>
      </x:c>
      <x:c r="L396" s="6" t="str">
        <x:v>已核实(官网披露)</x:v>
      </x:c>
    </x:row>
    <x:row r="397" ht="34" customHeight="1">
      <x:c r="A397" s="6" t="str">
        <x:v>R0306</x:v>
      </x:c>
      <x:c r="B397" s="6" t="str">
        <x:v>字段</x:v>
      </x:c>
      <x:c r="C397" s="17" t="n">
        <x:v>1</x:v>
      </x:c>
      <x:c r="D397" s="6" t="str">
        <x:v>海能未来技术集团股份有限公司</x:v>
      </x:c>
      <x:c r="E397" s="6" t="str">
        <x:v>资质栏目-各项软件著作权</x:v>
      </x:c>
      <x:c r="F397" s="6" t="str">
        <x:v>各项软件著作权</x:v>
      </x:c>
      <x:c r="G397" s="6" t="str"/>
      <x:c r="H397" s="20"/>
      <x:c r="I397" s="6" t="str">
        <x:v>各项软件著作权</x:v>
      </x:c>
      <x:c r="J397" s="6" t="str">
        <x:v>W006</x:v>
      </x:c>
      <x:c r="K397" s="6" t="str">
        <x:v>纳入字段</x:v>
      </x:c>
      <x:c r="L397" s="6" t="str">
        <x:v>已核实(官网披露)</x:v>
      </x:c>
    </x:row>
    <x:row r="398" ht="34" customHeight="1">
      <x:c r="A398" s="6" t="str">
        <x:v>R0307</x:v>
      </x:c>
      <x:c r="B398" s="6" t="str">
        <x:v>字段</x:v>
      </x:c>
      <x:c r="C398" s="17" t="n">
        <x:v>1</x:v>
      </x:c>
      <x:c r="D398" s="6" t="str">
        <x:v>海能未来技术集团股份有限公司</x:v>
      </x:c>
      <x:c r="E398" s="6" t="str">
        <x:v>资质栏目-凯氏定氮仪获奖证书</x:v>
      </x:c>
      <x:c r="F398" s="6" t="str">
        <x:v>凯氏定氮仪获奖证书</x:v>
      </x:c>
      <x:c r="G398" s="6" t="str"/>
      <x:c r="H398" s="20"/>
      <x:c r="I398" s="6" t="str">
        <x:v>凯氏定氮仪获奖证书</x:v>
      </x:c>
      <x:c r="J398" s="6" t="str">
        <x:v>W006</x:v>
      </x:c>
      <x:c r="K398" s="6" t="str">
        <x:v>纳入字段</x:v>
      </x:c>
      <x:c r="L398" s="6" t="str">
        <x:v>已核实(官网披露)</x:v>
      </x:c>
    </x:row>
    <x:row r="399" ht="34" customHeight="1">
      <x:c r="A399" s="6" t="str">
        <x:v>R0308</x:v>
      </x:c>
      <x:c r="B399" s="6" t="str">
        <x:v>字段</x:v>
      </x:c>
      <x:c r="C399" s="17" t="n">
        <x:v>1</x:v>
      </x:c>
      <x:c r="D399" s="6" t="str">
        <x:v>海能未来技术集团股份有限公司</x:v>
      </x:c>
      <x:c r="E399" s="6" t="str">
        <x:v>资质栏目-风味分析仪获奖奖牌</x:v>
      </x:c>
      <x:c r="F399" s="6" t="str">
        <x:v>风味分析仪获奖奖牌</x:v>
      </x:c>
      <x:c r="G399" s="6" t="str"/>
      <x:c r="H399" s="20"/>
      <x:c r="I399" s="6" t="str">
        <x:v>风味分析仪获奖奖牌</x:v>
      </x:c>
      <x:c r="J399" s="6" t="str">
        <x:v>W006</x:v>
      </x:c>
      <x:c r="K399" s="6" t="str">
        <x:v>纳入字段</x:v>
      </x:c>
      <x:c r="L399" s="6" t="str">
        <x:v>已核实(官网披露)</x:v>
      </x:c>
    </x:row>
    <x:row r="400" ht="34" customHeight="1">
      <x:c r="A400" s="6" t="str">
        <x:v>R0309</x:v>
      </x:c>
      <x:c r="B400" s="6" t="str">
        <x:v>字段</x:v>
      </x:c>
      <x:c r="C400" s="17" t="n">
        <x:v>1</x:v>
      </x:c>
      <x:c r="D400" s="6" t="str">
        <x:v>海能未来技术集团股份有限公司</x:v>
      </x:c>
      <x:c r="E400" s="6" t="str">
        <x:v>资质栏目-SGS认证</x:v>
      </x:c>
      <x:c r="F400" s="6" t="str">
        <x:v>SGS认证</x:v>
      </x:c>
      <x:c r="G400" s="6" t="str"/>
      <x:c r="H400" s="20"/>
      <x:c r="I400" s="6" t="str">
        <x:v>SGS认证</x:v>
      </x:c>
      <x:c r="J400" s="6" t="str">
        <x:v>W006</x:v>
      </x:c>
      <x:c r="K400" s="6" t="str">
        <x:v>纳入字段</x:v>
      </x:c>
      <x:c r="L400" s="6" t="str">
        <x:v>已核实(官网披露)</x:v>
      </x:c>
    </x:row>
    <x:row r="401" ht="34" customHeight="1">
      <x:c r="A401" s="6" t="str">
        <x:v>R0310</x:v>
      </x:c>
      <x:c r="B401" s="6" t="str">
        <x:v>字段</x:v>
      </x:c>
      <x:c r="C401" s="17" t="n">
        <x:v>1</x:v>
      </x:c>
      <x:c r="D401" s="6" t="str">
        <x:v>海能未来技术集团股份有限公司</x:v>
      </x:c>
      <x:c r="E401" s="6" t="str">
        <x:v>资质栏目-协会证书</x:v>
      </x:c>
      <x:c r="F401" s="6" t="str">
        <x:v>协会证书</x:v>
      </x:c>
      <x:c r="G401" s="6" t="str"/>
      <x:c r="H401" s="20"/>
      <x:c r="I401" s="6" t="str">
        <x:v>协会证书</x:v>
      </x:c>
      <x:c r="J401" s="6" t="str">
        <x:v>W006</x:v>
      </x:c>
      <x:c r="K401" s="6" t="str">
        <x:v>纳入字段</x:v>
      </x:c>
      <x:c r="L401" s="6" t="str">
        <x:v>已核实(官网披露)</x:v>
      </x:c>
    </x:row>
    <x:row r="402" ht="34" customHeight="1">
      <x:c r="A402" s="6" t="str">
        <x:v>R0311</x:v>
      </x:c>
      <x:c r="B402" s="6" t="str">
        <x:v>字段</x:v>
      </x:c>
      <x:c r="C402" s="17" t="n">
        <x:v>1</x:v>
      </x:c>
      <x:c r="D402" s="6" t="str">
        <x:v>海能未来技术集团股份有限公司</x:v>
      </x:c>
      <x:c r="E402" s="6" t="str">
        <x:v>资质栏目-中国分析测试协会会员证</x:v>
      </x:c>
      <x:c r="F402" s="6" t="str">
        <x:v>中国分析测试协会会员证</x:v>
      </x:c>
      <x:c r="G402" s="6" t="str"/>
      <x:c r="H402" s="20"/>
      <x:c r="I402" s="6" t="str">
        <x:v>中国分析测试协会会员证</x:v>
      </x:c>
      <x:c r="J402" s="6" t="str">
        <x:v>W006</x:v>
      </x:c>
      <x:c r="K402" s="6" t="str">
        <x:v>纳入字段</x:v>
      </x:c>
      <x:c r="L402" s="6" t="str">
        <x:v>已核实(官网披露)</x:v>
      </x:c>
    </x:row>
    <x:row r="403" ht="34" customHeight="1">
      <x:c r="A403" s="6" t="str">
        <x:v>R0312</x:v>
      </x:c>
      <x:c r="B403" s="6" t="str">
        <x:v>字段</x:v>
      </x:c>
      <x:c r="C403" s="17" t="n">
        <x:v>1</x:v>
      </x:c>
      <x:c r="D403" s="6" t="str">
        <x:v>海能未来技术集团股份有限公司</x:v>
      </x:c>
      <x:c r="E403" s="6" t="str">
        <x:v>上海新仪并购历史</x:v>
      </x:c>
      <x:c r="F403" s="6" t="str">
        <x:v>2015年8月并购上海新仪微波化学科技有限公司</x:v>
      </x:c>
      <x:c r="G403" s="6" t="str"/>
      <x:c r="H403" s="20"/>
      <x:c r="I403" s="6" t="str">
        <x:v>2015 年 8 月,并购上海新仪微波化学科技有限公司</x:v>
      </x:c>
      <x:c r="J403" s="6" t="str">
        <x:v>W003</x:v>
      </x:c>
      <x:c r="K403" s="6" t="str">
        <x:v>纳入字段</x:v>
      </x:c>
      <x:c r="L403" s="6" t="str">
        <x:v>已核实(官网披露)</x:v>
      </x:c>
    </x:row>
    <x:row r="404" ht="34" customHeight="1">
      <x:c r="A404" s="6" t="str">
        <x:v>R0313</x:v>
      </x:c>
      <x:c r="B404" s="6" t="str">
        <x:v>字段</x:v>
      </x:c>
      <x:c r="C404" s="17" t="n">
        <x:v>1</x:v>
      </x:c>
      <x:c r="D404" s="6" t="str">
        <x:v>海能未来技术集团股份有限公司</x:v>
      </x:c>
      <x:c r="E404" s="6" t="str">
        <x:v>HPCE布局历史</x:v>
      </x:c>
      <x:c r="F404" s="6" t="str">
        <x:v>2017年12月获得HPCE相关专利技术</x:v>
      </x:c>
      <x:c r="G404" s="6" t="str"/>
      <x:c r="H404" s="20"/>
      <x:c r="I404" s="6" t="str">
        <x:v>2017 年 12 月,获得 HPCE 相关专利技术</x:v>
      </x:c>
      <x:c r="J404" s="6" t="str">
        <x:v>W003</x:v>
      </x:c>
      <x:c r="K404" s="6" t="str">
        <x:v>纳入字段</x:v>
      </x:c>
      <x:c r="L404" s="6" t="str">
        <x:v>已核实(官网披露)</x:v>
      </x:c>
    </x:row>
    <x:row r="405" ht="34" customHeight="1">
      <x:c r="A405" s="6" t="str">
        <x:v>R0314</x:v>
      </x:c>
      <x:c r="B405" s="6" t="str">
        <x:v>字段</x:v>
      </x:c>
      <x:c r="C405" s="17" t="n">
        <x:v>1</x:v>
      </x:c>
      <x:c r="D405" s="6" t="str">
        <x:v>海能未来技术集团股份有限公司</x:v>
      </x:c>
      <x:c r="E405" s="6" t="str">
        <x:v>悟空设立历史</x:v>
      </x:c>
      <x:c r="F405" s="6" t="str">
        <x:v>2018年4月设立山东悟空仪器有限公司</x:v>
      </x:c>
      <x:c r="G405" s="6" t="str"/>
      <x:c r="H405" s="20"/>
      <x:c r="I405" s="6" t="str">
        <x:v>2018 年 4 月,设立山东悟空仪器有限公司</x:v>
      </x:c>
      <x:c r="J405" s="6" t="str">
        <x:v>W003</x:v>
      </x:c>
      <x:c r="K405" s="6" t="str">
        <x:v>纳入字段</x:v>
      </x:c>
      <x:c r="L405" s="6" t="str">
        <x:v>已核实(官网披露)</x:v>
      </x:c>
    </x:row>
    <x:row r="406" ht="34" customHeight="1">
      <x:c r="A406" s="6" t="str">
        <x:v>R0315</x:v>
      </x:c>
      <x:c r="B406" s="6" t="str">
        <x:v>字段</x:v>
      </x:c>
      <x:c r="C406" s="17" t="n">
        <x:v>1</x:v>
      </x:c>
      <x:c r="D406" s="6" t="str">
        <x:v>海能未来技术集团股份有限公司</x:v>
      </x:c>
      <x:c r="E406" s="6" t="str">
        <x:v>仪器学习网投资历史</x:v>
      </x:c>
      <x:c r="F406" s="6" t="str">
        <x:v>2021年6月投资EWG1990仪器学习网</x:v>
      </x:c>
      <x:c r="G406" s="6" t="str"/>
      <x:c r="H406" s="20"/>
      <x:c r="I406" s="6" t="str">
        <x:v>2021年6月,投资EWG1990仪器学习网</x:v>
      </x:c>
      <x:c r="J406" s="6" t="str">
        <x:v>W003</x:v>
      </x:c>
      <x:c r="K406" s="6" t="str">
        <x:v>纳入字段</x:v>
      </x:c>
      <x:c r="L406" s="6" t="str">
        <x:v>已核实(官网披露)</x:v>
      </x:c>
    </x:row>
    <x:row r="407" ht="34" customHeight="1">
      <x:c r="A407" s="6" t="str">
        <x:v>R0316</x:v>
      </x:c>
      <x:c r="B407" s="6" t="str">
        <x:v>字段</x:v>
      </x:c>
      <x:c r="C407" s="17" t="n">
        <x:v>1</x:v>
      </x:c>
      <x:c r="D407" s="6" t="str">
        <x:v>海能未来技术集团股份有限公司</x:v>
      </x:c>
      <x:c r="E407" s="6" t="str">
        <x:v>安杰投资历史</x:v>
      </x:c>
      <x:c r="F407" s="6" t="str">
        <x:v>2021年11月投资上海安杰环保科技股份有限公司</x:v>
      </x:c>
      <x:c r="G407" s="6" t="str"/>
      <x:c r="H407" s="20"/>
      <x:c r="I407" s="6" t="str">
        <x:v>2021年11月,投资上海安杰环保科技股份有限公司</x:v>
      </x:c>
      <x:c r="J407" s="6" t="str">
        <x:v>W003</x:v>
      </x:c>
      <x:c r="K407" s="6" t="str">
        <x:v>纳入字段</x:v>
      </x:c>
      <x:c r="L407" s="6" t="str">
        <x:v>已核实(官网披露)</x:v>
      </x:c>
    </x:row>
    <x:row r="408" ht="34" customHeight="1">
      <x:c r="A408" s="6" t="str">
        <x:v>R0317</x:v>
      </x:c>
      <x:c r="B408" s="6" t="str">
        <x:v>字段</x:v>
      </x:c>
      <x:c r="C408" s="17" t="n">
        <x:v>1</x:v>
      </x:c>
      <x:c r="D408" s="6" t="str">
        <x:v>海能未来技术集团股份有限公司</x:v>
      </x:c>
      <x:c r="E408" s="6" t="str">
        <x:v>G.A.S.控制权历史</x:v>
      </x:c>
      <x:c r="F408" s="6" t="str">
        <x:v>2021年12月取得德国G.A.S.控制权</x:v>
      </x:c>
      <x:c r="G408" s="6" t="str"/>
      <x:c r="H408" s="20"/>
      <x:c r="I408" s="6" t="str">
        <x:v>2021年12月,取得德国G.A.S.控制权</x:v>
      </x:c>
      <x:c r="J408" s="6" t="str">
        <x:v>W003</x:v>
      </x:c>
      <x:c r="K408" s="6" t="str">
        <x:v>纳入字段</x:v>
      </x:c>
      <x:c r="L408" s="6" t="str">
        <x:v>已核实(官网披露)</x:v>
      </x:c>
    </x:row>
    <x:row r="409" ht="34" customHeight="1">
      <x:c r="A409" s="6" t="str">
        <x:v>R0318</x:v>
      </x:c>
      <x:c r="B409" s="6" t="str">
        <x:v>字段</x:v>
      </x:c>
      <x:c r="C409" s="17" t="n">
        <x:v>1</x:v>
      </x:c>
      <x:c r="D409" s="6" t="str">
        <x:v>海能未来技术集团股份有限公司</x:v>
      </x:c>
      <x:c r="E409" s="6" t="str">
        <x:v>北交所上市历史</x:v>
      </x:c>
      <x:c r="F409" s="6" t="str">
        <x:v>2022-10-14</x:v>
      </x:c>
      <x:c r="G409" s="6" t="str"/>
      <x:c r="H409" s="20"/>
      <x:c r="I409" s="6" t="str">
        <x:v>2022年10月14日,登陆北交所</x:v>
      </x:c>
      <x:c r="J409" s="6" t="str">
        <x:v>W003</x:v>
      </x:c>
      <x:c r="K409" s="6" t="str">
        <x:v>纳入字段</x:v>
      </x:c>
      <x:c r="L409" s="6" t="str">
        <x:v>已核实(官网披露)</x:v>
      </x:c>
    </x:row>
    <x:row r="410" ht="34" customHeight="1">
      <x:c r="A410" s="6" t="str">
        <x:v>R0319</x:v>
      </x:c>
      <x:c r="B410" s="6" t="str">
        <x:v>字段</x:v>
      </x:c>
      <x:c r="C410" s="17" t="n">
        <x:v>1</x:v>
      </x:c>
      <x:c r="D410" s="6" t="str">
        <x:v>海能未来技术集团股份有限公司</x:v>
      </x:c>
      <x:c r="E410" s="6" t="str">
        <x:v>海森控股历史</x:v>
      </x:c>
      <x:c r="F410" s="6" t="str">
        <x:v>2023年2月控股海森分析仪器有限公司</x:v>
      </x:c>
      <x:c r="G410" s="6" t="str"/>
      <x:c r="H410" s="20"/>
      <x:c r="I410" s="6" t="str">
        <x:v>2023年2月,控股海森分析仪器有限公司</x:v>
      </x:c>
      <x:c r="J410" s="6" t="str">
        <x:v>W003</x:v>
      </x:c>
      <x:c r="K410" s="6" t="str">
        <x:v>纳入字段</x:v>
      </x:c>
      <x:c r="L410" s="6" t="str">
        <x:v>已核实(官网披露)</x:v>
      </x:c>
    </x:row>
    <x:row r="411" ht="34" customHeight="1">
      <x:c r="A411" s="6" t="str">
        <x:v>R0320</x:v>
      </x:c>
      <x:c r="B411" s="6" t="str">
        <x:v>字段</x:v>
      </x:c>
      <x:c r="C411" s="17" t="n">
        <x:v>1</x:v>
      </x:c>
      <x:c r="D411" s="6" t="str">
        <x:v>海能未来技术集团股份有限公司</x:v>
      </x:c>
      <x:c r="E411" s="6" t="str">
        <x:v>光芯控股历史</x:v>
      </x:c>
      <x:c r="F411" s="6" t="str">
        <x:v>2023年4月控股天津光芯科技</x:v>
      </x:c>
      <x:c r="G411" s="6" t="str"/>
      <x:c r="H411" s="20"/>
      <x:c r="I411" s="6" t="str">
        <x:v>2023年4月,控股天津光芯科技</x:v>
      </x:c>
      <x:c r="J411" s="6" t="str">
        <x:v>W003</x:v>
      </x:c>
      <x:c r="K411" s="6" t="str">
        <x:v>纳入字段</x:v>
      </x:c>
      <x:c r="L411" s="6" t="str">
        <x:v>已核实(官网披露)</x:v>
      </x:c>
    </x:row>
    <x:row r="412" ht="34" customHeight="1">
      <x:c r="A412" s="6" t="str">
        <x:v>R0321</x:v>
      </x:c>
      <x:c r="B412" s="6" t="str">
        <x:v>字段</x:v>
      </x:c>
      <x:c r="C412" s="17" t="n">
        <x:v>1</x:v>
      </x:c>
      <x:c r="D412" s="6" t="str">
        <x:v>海能未来技术集团股份有限公司</x:v>
      </x:c>
      <x:c r="E412" s="6" t="str">
        <x:v>白小白控股历史</x:v>
      </x:c>
      <x:c r="F412" s="6" t="str">
        <x:v>2024年5月控股白小白科技</x:v>
      </x:c>
      <x:c r="G412" s="6" t="str"/>
      <x:c r="H412" s="20"/>
      <x:c r="I412" s="6" t="str">
        <x:v>2024年5月,控股白小白科技</x:v>
      </x:c>
      <x:c r="J412" s="6" t="str">
        <x:v>W003</x:v>
      </x:c>
      <x:c r="K412" s="6" t="str">
        <x:v>纳入字段</x:v>
      </x:c>
      <x:c r="L412" s="6" t="str">
        <x:v>已核实(官网披露)</x:v>
      </x:c>
    </x:row>
    <x:row r="413" ht="34" customHeight="1">
      <x:c r="A413" s="6" t="str">
        <x:v>R0322</x:v>
      </x:c>
      <x:c r="B413" s="6" t="str">
        <x:v>字段</x:v>
      </x:c>
      <x:c r="C413" s="17" t="n">
        <x:v>1</x:v>
      </x:c>
      <x:c r="D413" s="6" t="str">
        <x:v>山东海能科学仪器有限公司</x:v>
      </x:c>
      <x:c r="E413" s="6" t="str">
        <x:v>官网导航名称</x:v>
      </x:c>
      <x:c r="F413" s="6" t="str">
        <x:v>山东海能</x:v>
      </x:c>
      <x:c r="G413" s="6" t="str"/>
      <x:c r="H413" s="20"/>
      <x:c r="I413" s="6" t="str">
        <x:v>山东海能</x:v>
      </x:c>
      <x:c r="J413" s="6" t="str">
        <x:v>W009</x:v>
      </x:c>
      <x:c r="K413" s="6" t="str">
        <x:v>待核资料</x:v>
      </x:c>
      <x:c r="L413" s="6" t="str">
        <x:v>待核实(法人或股权)</x:v>
      </x:c>
    </x:row>
    <x:row r="414" ht="34" customHeight="1">
      <x:c r="A414" s="6" t="str">
        <x:v>R0323</x:v>
      </x:c>
      <x:c r="B414" s="6" t="str">
        <x:v>字段</x:v>
      </x:c>
      <x:c r="C414" s="17" t="n">
        <x:v>1</x:v>
      </x:c>
      <x:c r="D414" s="6" t="str">
        <x:v>山东海能科学仪器有限公司</x:v>
      </x:c>
      <x:c r="E414" s="6" t="str">
        <x:v>官网明示企业全称</x:v>
      </x:c>
      <x:c r="F414" s="6" t="str">
        <x:v>山东海能科学仪器有限公司</x:v>
      </x:c>
      <x:c r="G414" s="6" t="str"/>
      <x:c r="H414" s="20"/>
      <x:c r="I414" s="6" t="str">
        <x:v>山东海能科学仪器有限公司</x:v>
      </x:c>
      <x:c r="J414" s="6" t="str">
        <x:v>W009</x:v>
      </x:c>
      <x:c r="K414" s="6" t="str">
        <x:v>纳入字段</x:v>
      </x:c>
      <x:c r="L414" s="6" t="str">
        <x:v>已核实(官网披露)</x:v>
      </x:c>
    </x:row>
    <x:row r="415" ht="34" customHeight="1">
      <x:c r="A415" s="6" t="str">
        <x:v>R0324</x:v>
      </x:c>
      <x:c r="B415" s="6" t="str">
        <x:v>字段</x:v>
      </x:c>
      <x:c r="C415" s="17" t="n">
        <x:v>1</x:v>
      </x:c>
      <x:c r="D415" s="6" t="str">
        <x:v>山东海能科学仪器有限公司</x:v>
      </x:c>
      <x:c r="E415" s="6" t="str">
        <x:v>官网列示地址</x:v>
      </x:c>
      <x:c r="F415" s="6" t="str">
        <x:v>山东省德州市临邑花园东大街16号</x:v>
      </x:c>
      <x:c r="G415" s="6" t="str"/>
      <x:c r="H415" s="20"/>
      <x:c r="I415" s="6" t="str">
        <x:v>山东省德州市临邑花园东大街16号</x:v>
      </x:c>
      <x:c r="J415" s="6" t="str">
        <x:v>W009</x:v>
      </x:c>
      <x:c r="K415" s="6" t="str">
        <x:v>纳入字段</x:v>
      </x:c>
      <x:c r="L415" s="6" t="str">
        <x:v>已核实(官网披露)</x:v>
      </x:c>
    </x:row>
    <x:row r="416" ht="34" customHeight="1">
      <x:c r="A416" s="6" t="str">
        <x:v>R0325</x:v>
      </x:c>
      <x:c r="B416" s="6" t="str">
        <x:v>字段</x:v>
      </x:c>
      <x:c r="C416" s="17" t="n">
        <x:v>1</x:v>
      </x:c>
      <x:c r="D416" s="6" t="str">
        <x:v>山东海能科学仪器有限公司</x:v>
      </x:c>
      <x:c r="E416" s="6" t="str">
        <x:v>官网列示电话</x:v>
      </x:c>
      <x:c r="F416" s="6" t="str">
        <x:v>0531-88874444</x:v>
      </x:c>
      <x:c r="G416" s="6" t="str"/>
      <x:c r="H416" s="20"/>
      <x:c r="I416" s="6" t="str">
        <x:v>0531-88874444</x:v>
      </x:c>
      <x:c r="J416" s="6" t="str">
        <x:v>W009</x:v>
      </x:c>
      <x:c r="K416" s="6" t="str">
        <x:v>纳入字段</x:v>
      </x:c>
      <x:c r="L416" s="6" t="str">
        <x:v>已核实(官网披露)</x:v>
      </x:c>
    </x:row>
    <x:row r="417" ht="34" customHeight="1">
      <x:c r="A417" s="6" t="str">
        <x:v>R0326</x:v>
      </x:c>
      <x:c r="B417" s="6" t="str">
        <x:v>字段</x:v>
      </x:c>
      <x:c r="C417" s="17" t="n">
        <x:v>1</x:v>
      </x:c>
      <x:c r="D417" s="6" t="str">
        <x:v>山东海能科学仪器有限公司</x:v>
      </x:c>
      <x:c r="E417" s="6" t="str">
        <x:v>官网列示邮箱</x:v>
      </x:c>
      <x:c r="F417" s="6" t="str">
        <x:v>China@hanon.cc</x:v>
      </x:c>
      <x:c r="G417" s="6" t="str"/>
      <x:c r="H417" s="20"/>
      <x:c r="I417" s="6" t="str">
        <x:v>China@hanon.cc</x:v>
      </x:c>
      <x:c r="J417" s="6" t="str">
        <x:v>W009</x:v>
      </x:c>
      <x:c r="K417" s="6" t="str">
        <x:v>纳入字段</x:v>
      </x:c>
      <x:c r="L417" s="6" t="str">
        <x:v>已核实(官网披露)</x:v>
      </x:c>
    </x:row>
    <x:row r="418" ht="34" customHeight="1">
      <x:c r="A418" s="6" t="str">
        <x:v>R0327</x:v>
      </x:c>
      <x:c r="B418" s="6" t="str">
        <x:v>字段</x:v>
      </x:c>
      <x:c r="C418" s="17" t="n">
        <x:v>1</x:v>
      </x:c>
      <x:c r="D418" s="6" t="str">
        <x:v>悟空仪器（品牌/导航名称）</x:v>
      </x:c>
      <x:c r="E418" s="6" t="str">
        <x:v>官网导航名称</x:v>
      </x:c>
      <x:c r="F418" s="6" t="str">
        <x:v>悟空仪器</x:v>
      </x:c>
      <x:c r="G418" s="6" t="str"/>
      <x:c r="H418" s="20"/>
      <x:c r="I418" s="6" t="str">
        <x:v>悟空仪器</x:v>
      </x:c>
      <x:c r="J418" s="6" t="str">
        <x:v>W010</x:v>
      </x:c>
      <x:c r="K418" s="6" t="str">
        <x:v>待核资料</x:v>
      </x:c>
      <x:c r="L418" s="6" t="str">
        <x:v>待核实(法人或股权)</x:v>
      </x:c>
    </x:row>
    <x:row r="419" ht="34" customHeight="1">
      <x:c r="A419" s="6" t="str">
        <x:v>R0328</x:v>
      </x:c>
      <x:c r="B419" s="6" t="str">
        <x:v>字段</x:v>
      </x:c>
      <x:c r="C419" s="17" t="n">
        <x:v>1</x:v>
      </x:c>
      <x:c r="D419" s="6" t="str">
        <x:v>悟空仪器（品牌/导航名称）</x:v>
      </x:c>
      <x:c r="E419" s="6" t="str">
        <x:v>官网列示地址</x:v>
      </x:c>
      <x:c r="F419" s="6" t="str">
        <x:v>上海市松江区新桥镇新格路9300号</x:v>
      </x:c>
      <x:c r="G419" s="6" t="str"/>
      <x:c r="H419" s="20"/>
      <x:c r="I419" s="6" t="str">
        <x:v>上海市松江区新桥镇新格路9300号</x:v>
      </x:c>
      <x:c r="J419" s="6" t="str">
        <x:v>W010</x:v>
      </x:c>
      <x:c r="K419" s="6" t="str">
        <x:v>纳入字段</x:v>
      </x:c>
      <x:c r="L419" s="6" t="str">
        <x:v>已核实(官网披露)</x:v>
      </x:c>
    </x:row>
    <x:row r="420" ht="34" customHeight="1">
      <x:c r="A420" s="6" t="str">
        <x:v>R0329</x:v>
      </x:c>
      <x:c r="B420" s="6" t="str">
        <x:v>字段</x:v>
      </x:c>
      <x:c r="C420" s="17" t="n">
        <x:v>1</x:v>
      </x:c>
      <x:c r="D420" s="6" t="str">
        <x:v>悟空仪器（品牌/导航名称）</x:v>
      </x:c>
      <x:c r="E420" s="6" t="str">
        <x:v>官网列示电话</x:v>
      </x:c>
      <x:c r="F420" s="6" t="str">
        <x:v>400 618 6188</x:v>
      </x:c>
      <x:c r="G420" s="6" t="str"/>
      <x:c r="H420" s="20"/>
      <x:c r="I420" s="6" t="str">
        <x:v>400 618 6188</x:v>
      </x:c>
      <x:c r="J420" s="6" t="str">
        <x:v>W010</x:v>
      </x:c>
      <x:c r="K420" s="6" t="str">
        <x:v>纳入字段</x:v>
      </x:c>
      <x:c r="L420" s="6" t="str">
        <x:v>已核实(官网披露)</x:v>
      </x:c>
    </x:row>
    <x:row r="421" ht="34" customHeight="1">
      <x:c r="A421" s="6" t="str">
        <x:v>R0330</x:v>
      </x:c>
      <x:c r="B421" s="6" t="str">
        <x:v>字段</x:v>
      </x:c>
      <x:c r="C421" s="17" t="n">
        <x:v>1</x:v>
      </x:c>
      <x:c r="D421" s="6" t="str">
        <x:v>悟空仪器（品牌/导航名称）</x:v>
      </x:c>
      <x:c r="E421" s="6" t="str">
        <x:v>官网列示邮箱</x:v>
      </x:c>
      <x:c r="F421" s="6" t="str">
        <x:v>China@hanon.cc</x:v>
      </x:c>
      <x:c r="G421" s="6" t="str"/>
      <x:c r="H421" s="20"/>
      <x:c r="I421" s="6" t="str">
        <x:v>China@hanon.cc</x:v>
      </x:c>
      <x:c r="J421" s="6" t="str">
        <x:v>W010</x:v>
      </x:c>
      <x:c r="K421" s="6" t="str">
        <x:v>纳入字段</x:v>
      </x:c>
      <x:c r="L421" s="6" t="str">
        <x:v>已核实(官网披露)</x:v>
      </x:c>
    </x:row>
    <x:row r="422" ht="34" customHeight="1">
      <x:c r="A422" s="6" t="str">
        <x:v>R0331</x:v>
      </x:c>
      <x:c r="B422" s="6" t="str">
        <x:v>字段</x:v>
      </x:c>
      <x:c r="C422" s="17" t="n">
        <x:v>1</x:v>
      </x:c>
      <x:c r="D422" s="6" t="str">
        <x:v>德国G.A.S.（品牌/导航名称）</x:v>
      </x:c>
      <x:c r="E422" s="6" t="str">
        <x:v>官网导航名称</x:v>
      </x:c>
      <x:c r="F422" s="6" t="str">
        <x:v>德国G.A.S.</x:v>
      </x:c>
      <x:c r="G422" s="6" t="str"/>
      <x:c r="H422" s="20"/>
      <x:c r="I422" s="6" t="str">
        <x:v>德国G.A.S.</x:v>
      </x:c>
      <x:c r="J422" s="6" t="str">
        <x:v>W011</x:v>
      </x:c>
      <x:c r="K422" s="6" t="str">
        <x:v>待核资料</x:v>
      </x:c>
      <x:c r="L422" s="6" t="str">
        <x:v>待核实(法人或股权)</x:v>
      </x:c>
    </x:row>
    <x:row r="423" ht="34" customHeight="1">
      <x:c r="A423" s="6" t="str">
        <x:v>R0332</x:v>
      </x:c>
      <x:c r="B423" s="6" t="str">
        <x:v>字段</x:v>
      </x:c>
      <x:c r="C423" s="17" t="n">
        <x:v>1</x:v>
      </x:c>
      <x:c r="D423" s="6" t="str">
        <x:v>德国G.A.S.（品牌/导航名称）</x:v>
      </x:c>
      <x:c r="E423" s="6" t="str">
        <x:v>官网列示地址</x:v>
      </x:c>
      <x:c r="F423" s="6" t="str">
        <x:v>山东省德州市临邑花园东大街16号</x:v>
      </x:c>
      <x:c r="G423" s="6" t="str"/>
      <x:c r="H423" s="20"/>
      <x:c r="I423" s="6" t="str">
        <x:v>山东省德州市临邑花园东大街16号</x:v>
      </x:c>
      <x:c r="J423" s="6" t="str">
        <x:v>W011</x:v>
      </x:c>
      <x:c r="K423" s="6" t="str">
        <x:v>纳入字段</x:v>
      </x:c>
      <x:c r="L423" s="6" t="str">
        <x:v>已核实(官网披露)</x:v>
      </x:c>
    </x:row>
    <x:row r="424" ht="34" customHeight="1">
      <x:c r="A424" s="6" t="str">
        <x:v>R0333</x:v>
      </x:c>
      <x:c r="B424" s="6" t="str">
        <x:v>字段</x:v>
      </x:c>
      <x:c r="C424" s="17" t="n">
        <x:v>1</x:v>
      </x:c>
      <x:c r="D424" s="6" t="str">
        <x:v>德国G.A.S.（品牌/导航名称）</x:v>
      </x:c>
      <x:c r="E424" s="6" t="str">
        <x:v>官网列示电话</x:v>
      </x:c>
      <x:c r="F424" s="6" t="str">
        <x:v>0531-88874444</x:v>
      </x:c>
      <x:c r="G424" s="6" t="str"/>
      <x:c r="H424" s="20"/>
      <x:c r="I424" s="6" t="str">
        <x:v>0531-88874444</x:v>
      </x:c>
      <x:c r="J424" s="6" t="str">
        <x:v>W011</x:v>
      </x:c>
      <x:c r="K424" s="6" t="str">
        <x:v>纳入字段</x:v>
      </x:c>
      <x:c r="L424" s="6" t="str">
        <x:v>已核实(官网披露)</x:v>
      </x:c>
    </x:row>
    <x:row r="425" ht="34" customHeight="1">
      <x:c r="A425" s="6" t="str">
        <x:v>R0334</x:v>
      </x:c>
      <x:c r="B425" s="6" t="str">
        <x:v>字段</x:v>
      </x:c>
      <x:c r="C425" s="17" t="n">
        <x:v>1</x:v>
      </x:c>
      <x:c r="D425" s="6" t="str">
        <x:v>德国G.A.S.（品牌/导航名称）</x:v>
      </x:c>
      <x:c r="E425" s="6" t="str">
        <x:v>官网列示邮箱</x:v>
      </x:c>
      <x:c r="F425" s="6" t="str">
        <x:v>China@hanon.cc</x:v>
      </x:c>
      <x:c r="G425" s="6" t="str"/>
      <x:c r="H425" s="20"/>
      <x:c r="I425" s="6" t="str">
        <x:v>China@hanon.cc</x:v>
      </x:c>
      <x:c r="J425" s="6" t="str">
        <x:v>W011</x:v>
      </x:c>
      <x:c r="K425" s="6" t="str">
        <x:v>纳入字段</x:v>
      </x:c>
      <x:c r="L425" s="6" t="str">
        <x:v>已核实(官网披露)</x:v>
      </x:c>
    </x:row>
    <x:row r="426" ht="34" customHeight="1">
      <x:c r="A426" s="6" t="str">
        <x:v>R0335</x:v>
      </x:c>
      <x:c r="B426" s="6" t="str">
        <x:v>字段</x:v>
      </x:c>
      <x:c r="C426" s="17" t="n">
        <x:v>1</x:v>
      </x:c>
      <x:c r="D426" s="6" t="str">
        <x:v>上海新仪微波化学科技有限公司</x:v>
      </x:c>
      <x:c r="E426" s="6" t="str">
        <x:v>官网导航名称</x:v>
      </x:c>
      <x:c r="F426" s="6" t="str">
        <x:v>上海新仪</x:v>
      </x:c>
      <x:c r="G426" s="6" t="str"/>
      <x:c r="H426" s="20"/>
      <x:c r="I426" s="6" t="str">
        <x:v>上海新仪</x:v>
      </x:c>
      <x:c r="J426" s="6" t="str">
        <x:v>W012</x:v>
      </x:c>
      <x:c r="K426" s="6" t="str">
        <x:v>待核资料</x:v>
      </x:c>
      <x:c r="L426" s="6" t="str">
        <x:v>待核实(法人或股权)</x:v>
      </x:c>
    </x:row>
    <x:row r="427" ht="34" customHeight="1">
      <x:c r="A427" s="6" t="str">
        <x:v>R0336</x:v>
      </x:c>
      <x:c r="B427" s="6" t="str">
        <x:v>字段</x:v>
      </x:c>
      <x:c r="C427" s="17" t="n">
        <x:v>1</x:v>
      </x:c>
      <x:c r="D427" s="6" t="str">
        <x:v>上海新仪微波化学科技有限公司</x:v>
      </x:c>
      <x:c r="E427" s="6" t="str">
        <x:v>官网明示企业全称</x:v>
      </x:c>
      <x:c r="F427" s="6" t="str">
        <x:v>上海新仪微波化学科技有限公司</x:v>
      </x:c>
      <x:c r="G427" s="6" t="str"/>
      <x:c r="H427" s="20"/>
      <x:c r="I427" s="6" t="str">
        <x:v>上海新仪微波化学科技有限公司</x:v>
      </x:c>
      <x:c r="J427" s="6" t="str">
        <x:v>W012</x:v>
      </x:c>
      <x:c r="K427" s="6" t="str">
        <x:v>纳入字段</x:v>
      </x:c>
      <x:c r="L427" s="6" t="str">
        <x:v>已核实(官网披露)</x:v>
      </x:c>
    </x:row>
    <x:row r="428" ht="34" customHeight="1">
      <x:c r="A428" s="6" t="str">
        <x:v>R0337</x:v>
      </x:c>
      <x:c r="B428" s="6" t="str">
        <x:v>字段</x:v>
      </x:c>
      <x:c r="C428" s="17" t="n">
        <x:v>1</x:v>
      </x:c>
      <x:c r="D428" s="6" t="str">
        <x:v>上海新仪微波化学科技有限公司</x:v>
      </x:c>
      <x:c r="E428" s="6" t="str">
        <x:v>官网列示地址</x:v>
      </x:c>
      <x:c r="F428" s="6" t="str">
        <x:v>上海市徐汇区钦州北路1122号92幢6层</x:v>
      </x:c>
      <x:c r="G428" s="6" t="str"/>
      <x:c r="H428" s="20"/>
      <x:c r="I428" s="6" t="str">
        <x:v>上海市徐汇区钦州北路1122号92幢6层</x:v>
      </x:c>
      <x:c r="J428" s="6" t="str">
        <x:v>W012</x:v>
      </x:c>
      <x:c r="K428" s="6" t="str">
        <x:v>纳入字段</x:v>
      </x:c>
      <x:c r="L428" s="6" t="str">
        <x:v>已核实(官网披露)</x:v>
      </x:c>
    </x:row>
    <x:row r="429" ht="34" customHeight="1">
      <x:c r="A429" s="6" t="str">
        <x:v>R0338</x:v>
      </x:c>
      <x:c r="B429" s="6" t="str">
        <x:v>字段</x:v>
      </x:c>
      <x:c r="C429" s="17" t="n">
        <x:v>1</x:v>
      </x:c>
      <x:c r="D429" s="6" t="str">
        <x:v>上海新仪微波化学科技有限公司</x:v>
      </x:c>
      <x:c r="E429" s="6" t="str">
        <x:v>官网列示电话</x:v>
      </x:c>
      <x:c r="F429" s="6" t="str">
        <x:v>021-54487840/1/2/3</x:v>
      </x:c>
      <x:c r="G429" s="6" t="str"/>
      <x:c r="H429" s="20"/>
      <x:c r="I429" s="6" t="str">
        <x:v>021-54487840/1/2/3</x:v>
      </x:c>
      <x:c r="J429" s="6" t="str">
        <x:v>W012</x:v>
      </x:c>
      <x:c r="K429" s="6" t="str">
        <x:v>纳入字段</x:v>
      </x:c>
      <x:c r="L429" s="6" t="str">
        <x:v>已核实(官网披露)</x:v>
      </x:c>
    </x:row>
    <x:row r="430" ht="34" customHeight="1">
      <x:c r="A430" s="6" t="str">
        <x:v>R0339</x:v>
      </x:c>
      <x:c r="B430" s="6" t="str">
        <x:v>字段</x:v>
      </x:c>
      <x:c r="C430" s="17" t="n">
        <x:v>1</x:v>
      </x:c>
      <x:c r="D430" s="6" t="str">
        <x:v>苏州新仪科学仪器有限公司</x:v>
      </x:c>
      <x:c r="E430" s="6" t="str">
        <x:v>官网导航名称</x:v>
      </x:c>
      <x:c r="F430" s="6" t="str">
        <x:v>新仪科学</x:v>
      </x:c>
      <x:c r="G430" s="6" t="str"/>
      <x:c r="H430" s="20"/>
      <x:c r="I430" s="6" t="str">
        <x:v>新仪科学</x:v>
      </x:c>
      <x:c r="J430" s="6" t="str">
        <x:v>W013</x:v>
      </x:c>
      <x:c r="K430" s="6" t="str">
        <x:v>待核资料</x:v>
      </x:c>
      <x:c r="L430" s="6" t="str">
        <x:v>待核实(法人或股权)</x:v>
      </x:c>
    </x:row>
    <x:row r="431" ht="34" customHeight="1">
      <x:c r="A431" s="6" t="str">
        <x:v>R0340</x:v>
      </x:c>
      <x:c r="B431" s="6" t="str">
        <x:v>字段</x:v>
      </x:c>
      <x:c r="C431" s="17" t="n">
        <x:v>1</x:v>
      </x:c>
      <x:c r="D431" s="6" t="str">
        <x:v>苏州新仪科学仪器有限公司</x:v>
      </x:c>
      <x:c r="E431" s="6" t="str">
        <x:v>官网明示企业全称</x:v>
      </x:c>
      <x:c r="F431" s="6" t="str">
        <x:v>苏州新仪科学仪器有限公司</x:v>
      </x:c>
      <x:c r="G431" s="6" t="str"/>
      <x:c r="H431" s="20"/>
      <x:c r="I431" s="6" t="str">
        <x:v>苏州新仪科学仪器有限公司</x:v>
      </x:c>
      <x:c r="J431" s="6" t="str">
        <x:v>W013</x:v>
      </x:c>
      <x:c r="K431" s="6" t="str">
        <x:v>纳入字段</x:v>
      </x:c>
      <x:c r="L431" s="6" t="str">
        <x:v>已核实(官网披露)</x:v>
      </x:c>
    </x:row>
    <x:row r="432" ht="34" customHeight="1">
      <x:c r="A432" s="6" t="str">
        <x:v>R0341</x:v>
      </x:c>
      <x:c r="B432" s="6" t="str">
        <x:v>字段</x:v>
      </x:c>
      <x:c r="C432" s="17" t="n">
        <x:v>1</x:v>
      </x:c>
      <x:c r="D432" s="6" t="str">
        <x:v>苏州新仪科学仪器有限公司</x:v>
      </x:c>
      <x:c r="E432" s="6" t="str">
        <x:v>官网列示地址</x:v>
      </x:c>
      <x:c r="F432" s="6" t="str">
        <x:v>苏州工业园区金鸡湖大道99号纳米城西北区9栋301</x:v>
      </x:c>
      <x:c r="G432" s="6" t="str"/>
      <x:c r="H432" s="20"/>
      <x:c r="I432" s="6" t="str">
        <x:v>苏州工业园区金鸡湖大道99号纳米城西北区9栋301</x:v>
      </x:c>
      <x:c r="J432" s="6" t="str">
        <x:v>W013</x:v>
      </x:c>
      <x:c r="K432" s="6" t="str">
        <x:v>纳入字段</x:v>
      </x:c>
      <x:c r="L432" s="6" t="str">
        <x:v>已核实(官网披露)</x:v>
      </x:c>
    </x:row>
    <x:row r="433" ht="34" customHeight="1">
      <x:c r="A433" s="6" t="str">
        <x:v>R0342</x:v>
      </x:c>
      <x:c r="B433" s="6" t="str">
        <x:v>字段</x:v>
      </x:c>
      <x:c r="C433" s="17" t="n">
        <x:v>1</x:v>
      </x:c>
      <x:c r="D433" s="6" t="str">
        <x:v>苏州新仪科学仪器有限公司</x:v>
      </x:c>
      <x:c r="E433" s="6" t="str">
        <x:v>官网列示电话</x:v>
      </x:c>
      <x:c r="F433" s="6" t="str">
        <x:v>0512-87163115</x:v>
      </x:c>
      <x:c r="G433" s="6" t="str"/>
      <x:c r="H433" s="20"/>
      <x:c r="I433" s="6" t="str">
        <x:v>0512-87163115</x:v>
      </x:c>
      <x:c r="J433" s="6" t="str">
        <x:v>W013</x:v>
      </x:c>
      <x:c r="K433" s="6" t="str">
        <x:v>纳入字段</x:v>
      </x:c>
      <x:c r="L433" s="6" t="str">
        <x:v>已核实(官网披露)</x:v>
      </x:c>
    </x:row>
    <x:row r="434" ht="34" customHeight="1">
      <x:c r="A434" s="6" t="str">
        <x:v>R0343</x:v>
      </x:c>
      <x:c r="B434" s="6" t="str">
        <x:v>字段</x:v>
      </x:c>
      <x:c r="C434" s="17" t="n">
        <x:v>1</x:v>
      </x:c>
      <x:c r="D434" s="6" t="str">
        <x:v>海森仪器（品牌/导航名称）</x:v>
      </x:c>
      <x:c r="E434" s="6" t="str">
        <x:v>官网导航名称</x:v>
      </x:c>
      <x:c r="F434" s="6" t="str">
        <x:v>海森仪器</x:v>
      </x:c>
      <x:c r="G434" s="6" t="str"/>
      <x:c r="H434" s="20"/>
      <x:c r="I434" s="6" t="str">
        <x:v>海森仪器</x:v>
      </x:c>
      <x:c r="J434" s="6" t="str">
        <x:v>W014</x:v>
      </x:c>
      <x:c r="K434" s="6" t="str">
        <x:v>待核资料</x:v>
      </x:c>
      <x:c r="L434" s="6" t="str">
        <x:v>待核实(法人或股权)</x:v>
      </x:c>
    </x:row>
    <x:row r="435" ht="34" customHeight="1">
      <x:c r="A435" s="6" t="str">
        <x:v>R0344</x:v>
      </x:c>
      <x:c r="B435" s="6" t="str">
        <x:v>字段</x:v>
      </x:c>
      <x:c r="C435" s="17" t="n">
        <x:v>1</x:v>
      </x:c>
      <x:c r="D435" s="6" t="str">
        <x:v>海森仪器（品牌/导航名称）</x:v>
      </x:c>
      <x:c r="E435" s="6" t="str">
        <x:v>官网列示地址</x:v>
      </x:c>
      <x:c r="F435" s="6" t="str">
        <x:v>山东省济南市高新区经十路7000号汉峪金谷A3地块1号楼第四层</x:v>
      </x:c>
      <x:c r="G435" s="6" t="str"/>
      <x:c r="H435" s="20"/>
      <x:c r="I435" s="6" t="str">
        <x:v>山东省济南市高新区经十路7000号汉峪金谷A3地块1号楼第四层</x:v>
      </x:c>
      <x:c r="J435" s="6" t="str">
        <x:v>W014</x:v>
      </x:c>
      <x:c r="K435" s="6" t="str">
        <x:v>纳入字段</x:v>
      </x:c>
      <x:c r="L435" s="6" t="str">
        <x:v>已核实(官网披露)</x:v>
      </x:c>
    </x:row>
    <x:row r="436" ht="34" customHeight="1">
      <x:c r="A436" s="6" t="str">
        <x:v>R0345</x:v>
      </x:c>
      <x:c r="B436" s="6" t="str">
        <x:v>字段</x:v>
      </x:c>
      <x:c r="C436" s="17" t="n">
        <x:v>1</x:v>
      </x:c>
      <x:c r="D436" s="6" t="str">
        <x:v>海森仪器（品牌/导航名称）</x:v>
      </x:c>
      <x:c r="E436" s="6" t="str">
        <x:v>官网列示电话</x:v>
      </x:c>
      <x:c r="F436" s="6" t="str">
        <x:v>0531-88980078</x:v>
      </x:c>
      <x:c r="G436" s="6" t="str"/>
      <x:c r="H436" s="20"/>
      <x:c r="I436" s="6" t="str">
        <x:v>0531-88980078</x:v>
      </x:c>
      <x:c r="J436" s="6" t="str">
        <x:v>W014</x:v>
      </x:c>
      <x:c r="K436" s="6" t="str">
        <x:v>纳入字段</x:v>
      </x:c>
      <x:c r="L436" s="6" t="str">
        <x:v>已核实(官网披露)</x:v>
      </x:c>
    </x:row>
    <x:row r="437" ht="34" customHeight="1">
      <x:c r="A437" s="6" t="str">
        <x:v>R0346</x:v>
      </x:c>
      <x:c r="B437" s="6" t="str">
        <x:v>字段</x:v>
      </x:c>
      <x:c r="C437" s="17" t="n">
        <x:v>1</x:v>
      </x:c>
      <x:c r="D437" s="6" t="str">
        <x:v>海森仪器（品牌/导航名称）</x:v>
      </x:c>
      <x:c r="E437" s="6" t="str">
        <x:v>官网列示邮箱</x:v>
      </x:c>
      <x:c r="F437" s="6" t="str">
        <x:v>info@haosoo.com.cn</x:v>
      </x:c>
      <x:c r="G437" s="6" t="str"/>
      <x:c r="H437" s="20"/>
      <x:c r="I437" s="6" t="str">
        <x:v>info@haosoo.com.cn</x:v>
      </x:c>
      <x:c r="J437" s="6" t="str">
        <x:v>W014</x:v>
      </x:c>
      <x:c r="K437" s="6" t="str">
        <x:v>纳入字段</x:v>
      </x:c>
      <x:c r="L437" s="6" t="str">
        <x:v>已核实(官网披露)</x:v>
      </x:c>
    </x:row>
    <x:row r="438" ht="34" customHeight="1">
      <x:c r="A438" s="6" t="str">
        <x:v>R0347</x:v>
      </x:c>
      <x:c r="B438" s="6" t="str">
        <x:v>字段</x:v>
      </x:c>
      <x:c r="C438" s="17" t="n">
        <x:v>1</x:v>
      </x:c>
      <x:c r="D438" s="6" t="str">
        <x:v>白小白科技(山东)有限公司</x:v>
      </x:c>
      <x:c r="E438" s="6" t="str">
        <x:v>官网导航名称</x:v>
      </x:c>
      <x:c r="F438" s="6" t="str">
        <x:v>白小白</x:v>
      </x:c>
      <x:c r="G438" s="6" t="str"/>
      <x:c r="H438" s="20"/>
      <x:c r="I438" s="6" t="str">
        <x:v>白小白</x:v>
      </x:c>
      <x:c r="J438" s="6" t="str">
        <x:v>W015</x:v>
      </x:c>
      <x:c r="K438" s="6" t="str">
        <x:v>待核资料</x:v>
      </x:c>
      <x:c r="L438" s="6" t="str">
        <x:v>待核实(法人或股权)</x:v>
      </x:c>
    </x:row>
    <x:row r="439" ht="34" customHeight="1">
      <x:c r="A439" s="6" t="str">
        <x:v>R0348</x:v>
      </x:c>
      <x:c r="B439" s="6" t="str">
        <x:v>字段</x:v>
      </x:c>
      <x:c r="C439" s="17" t="n">
        <x:v>1</x:v>
      </x:c>
      <x:c r="D439" s="6" t="str">
        <x:v>白小白科技(山东)有限公司</x:v>
      </x:c>
      <x:c r="E439" s="6" t="str">
        <x:v>官网明示企业全称</x:v>
      </x:c>
      <x:c r="F439" s="6" t="str">
        <x:v>白小白科技(山东)有限公司</x:v>
      </x:c>
      <x:c r="G439" s="6" t="str"/>
      <x:c r="H439" s="20"/>
      <x:c r="I439" s="6" t="str">
        <x:v>白小白科技(山东)有限公司</x:v>
      </x:c>
      <x:c r="J439" s="6" t="str">
        <x:v>W015</x:v>
      </x:c>
      <x:c r="K439" s="6" t="str">
        <x:v>纳入字段</x:v>
      </x:c>
      <x:c r="L439" s="6" t="str">
        <x:v>已核实(官网披露)</x:v>
      </x:c>
    </x:row>
    <x:row r="440" ht="34" customHeight="1">
      <x:c r="A440" s="6" t="str">
        <x:v>R0349</x:v>
      </x:c>
      <x:c r="B440" s="6" t="str">
        <x:v>字段</x:v>
      </x:c>
      <x:c r="C440" s="17" t="n">
        <x:v>1</x:v>
      </x:c>
      <x:c r="D440" s="6" t="str">
        <x:v>白小白科技(山东)有限公司</x:v>
      </x:c>
      <x:c r="E440" s="6" t="str">
        <x:v>官网列示地址</x:v>
      </x:c>
      <x:c r="F440" s="6" t="str">
        <x:v>山东省德州市临邑县邢侗街道花园东大街16号海能工业园内</x:v>
      </x:c>
      <x:c r="G440" s="6" t="str"/>
      <x:c r="H440" s="20"/>
      <x:c r="I440" s="6" t="str">
        <x:v>山东省德州市临邑县邢侗街道花园东大街16号海能工业园内</x:v>
      </x:c>
      <x:c r="J440" s="6" t="str">
        <x:v>W015</x:v>
      </x:c>
      <x:c r="K440" s="6" t="str">
        <x:v>纳入字段</x:v>
      </x:c>
      <x:c r="L440" s="6" t="str">
        <x:v>已核实(官网披露)</x:v>
      </x:c>
    </x:row>
    <x:row r="441" ht="34" customHeight="1">
      <x:c r="A441" s="6" t="str">
        <x:v>R0350</x:v>
      </x:c>
      <x:c r="B441" s="6" t="str">
        <x:v>字段</x:v>
      </x:c>
      <x:c r="C441" s="17" t="n">
        <x:v>1</x:v>
      </x:c>
      <x:c r="D441" s="6" t="str">
        <x:v>白小白科技(山东)有限公司</x:v>
      </x:c>
      <x:c r="E441" s="6" t="str">
        <x:v>官网列示电话</x:v>
      </x:c>
      <x:c r="F441" s="6" t="str">
        <x:v>400 602 8909</x:v>
      </x:c>
      <x:c r="G441" s="6" t="str"/>
      <x:c r="H441" s="20"/>
      <x:c r="I441" s="6" t="str">
        <x:v>400 602 8909</x:v>
      </x:c>
      <x:c r="J441" s="6" t="str">
        <x:v>W015</x:v>
      </x:c>
      <x:c r="K441" s="6" t="str">
        <x:v>纳入字段</x:v>
      </x:c>
      <x:c r="L441" s="6" t="str">
        <x:v>已核实(官网披露)</x:v>
      </x:c>
    </x:row>
    <x:row r="442" ht="34" customHeight="1">
      <x:c r="A442" s="6" t="str">
        <x:v>R0351</x:v>
      </x:c>
      <x:c r="B442" s="6" t="str">
        <x:v>字段</x:v>
      </x:c>
      <x:c r="C442" s="17" t="n">
        <x:v>1</x:v>
      </x:c>
      <x:c r="D442" s="6" t="str">
        <x:v>武汉海能（导航名称）</x:v>
      </x:c>
      <x:c r="E442" s="6" t="str">
        <x:v>官网导航名称</x:v>
      </x:c>
      <x:c r="F442" s="6" t="str">
        <x:v>武汉海能</x:v>
      </x:c>
      <x:c r="G442" s="6" t="str"/>
      <x:c r="H442" s="20"/>
      <x:c r="I442" s="6" t="str">
        <x:v>武汉海能</x:v>
      </x:c>
      <x:c r="J442" s="6" t="str">
        <x:v>W016</x:v>
      </x:c>
      <x:c r="K442" s="6" t="str">
        <x:v>待核资料</x:v>
      </x:c>
      <x:c r="L442" s="6" t="str">
        <x:v>待核实(法人或股权)</x:v>
      </x:c>
    </x:row>
    <x:row r="443" ht="34" customHeight="1">
      <x:c r="A443" s="6" t="str">
        <x:v>R0352</x:v>
      </x:c>
      <x:c r="B443" s="6" t="str">
        <x:v>字段</x:v>
      </x:c>
      <x:c r="C443" s="17" t="n">
        <x:v>1</x:v>
      </x:c>
      <x:c r="D443" s="6" t="str">
        <x:v>武汉海能（导航名称）</x:v>
      </x:c>
      <x:c r="E443" s="6" t="str">
        <x:v>官网列示地址</x:v>
      </x:c>
      <x:c r="F443" s="6" t="str">
        <x:v>武汉市洪山区珞狮路312号湖北农业科技楼10楼1006室</x:v>
      </x:c>
      <x:c r="G443" s="6" t="str"/>
      <x:c r="H443" s="20"/>
      <x:c r="I443" s="6" t="str">
        <x:v>武汉市洪山区珞狮路312号湖北农业科技楼10楼1006室</x:v>
      </x:c>
      <x:c r="J443" s="6" t="str">
        <x:v>W016</x:v>
      </x:c>
      <x:c r="K443" s="6" t="str">
        <x:v>纳入字段</x:v>
      </x:c>
      <x:c r="L443" s="6" t="str">
        <x:v>已核实(官网披露)</x:v>
      </x:c>
    </x:row>
    <x:row r="444" ht="34" customHeight="1">
      <x:c r="A444" s="6" t="str">
        <x:v>R0353</x:v>
      </x:c>
      <x:c r="B444" s="6" t="str">
        <x:v>字段</x:v>
      </x:c>
      <x:c r="C444" s="17" t="n">
        <x:v>1</x:v>
      </x:c>
      <x:c r="D444" s="6" t="str">
        <x:v>武汉海能（导航名称）</x:v>
      </x:c>
      <x:c r="E444" s="6" t="str">
        <x:v>官网列示电话</x:v>
      </x:c>
      <x:c r="F444" s="6" t="str">
        <x:v>027-87186861</x:v>
      </x:c>
      <x:c r="G444" s="6" t="str"/>
      <x:c r="H444" s="20"/>
      <x:c r="I444" s="6" t="str">
        <x:v>027-87186861</x:v>
      </x:c>
      <x:c r="J444" s="6" t="str">
        <x:v>W016</x:v>
      </x:c>
      <x:c r="K444" s="6" t="str">
        <x:v>纳入字段</x:v>
      </x:c>
      <x:c r="L444" s="6" t="str">
        <x:v>已核实(官网披露)</x:v>
      </x:c>
    </x:row>
    <x:row r="445" ht="34" customHeight="1">
      <x:c r="A445" s="6" t="str">
        <x:v>R0354</x:v>
      </x:c>
      <x:c r="B445" s="6" t="str">
        <x:v>字段</x:v>
      </x:c>
      <x:c r="C445" s="17" t="n">
        <x:v>1</x:v>
      </x:c>
      <x:c r="D445" s="6" t="str">
        <x:v>南京海能（导航名称）</x:v>
      </x:c>
      <x:c r="E445" s="6" t="str">
        <x:v>官网导航名称</x:v>
      </x:c>
      <x:c r="F445" s="6" t="str">
        <x:v>南京海能</x:v>
      </x:c>
      <x:c r="G445" s="6" t="str"/>
      <x:c r="H445" s="20"/>
      <x:c r="I445" s="6" t="str">
        <x:v>南京海能</x:v>
      </x:c>
      <x:c r="J445" s="6" t="str">
        <x:v>W017</x:v>
      </x:c>
      <x:c r="K445" s="6" t="str">
        <x:v>待核资料</x:v>
      </x:c>
      <x:c r="L445" s="6" t="str">
        <x:v>待核实(法人或股权)</x:v>
      </x:c>
    </x:row>
    <x:row r="446" ht="34" customHeight="1">
      <x:c r="A446" s="6" t="str">
        <x:v>R0355</x:v>
      </x:c>
      <x:c r="B446" s="6" t="str">
        <x:v>字段</x:v>
      </x:c>
      <x:c r="C446" s="17" t="n">
        <x:v>1</x:v>
      </x:c>
      <x:c r="D446" s="6" t="str">
        <x:v>南京海能（导航名称）</x:v>
      </x:c>
      <x:c r="E446" s="6" t="str">
        <x:v>官网列示地址</x:v>
      </x:c>
      <x:c r="F446" s="6" t="str">
        <x:v>南京市秦淮区中山东路218号长安国际1405室</x:v>
      </x:c>
      <x:c r="G446" s="6" t="str"/>
      <x:c r="H446" s="20"/>
      <x:c r="I446" s="6" t="str">
        <x:v>南京市秦淮区中山东路218号长安国际1405室</x:v>
      </x:c>
      <x:c r="J446" s="6" t="str">
        <x:v>W017</x:v>
      </x:c>
      <x:c r="K446" s="6" t="str">
        <x:v>纳入字段</x:v>
      </x:c>
      <x:c r="L446" s="6" t="str">
        <x:v>已核实(官网披露)</x:v>
      </x:c>
    </x:row>
    <x:row r="447" ht="34" customHeight="1">
      <x:c r="A447" s="6" t="str">
        <x:v>R0356</x:v>
      </x:c>
      <x:c r="B447" s="6" t="str">
        <x:v>字段</x:v>
      </x:c>
      <x:c r="C447" s="17" t="n">
        <x:v>1</x:v>
      </x:c>
      <x:c r="D447" s="6" t="str">
        <x:v>南京海能（导航名称）</x:v>
      </x:c>
      <x:c r="E447" s="6" t="str">
        <x:v>官网列示电话</x:v>
      </x:c>
      <x:c r="F447" s="6" t="str">
        <x:v>025-85664446</x:v>
      </x:c>
      <x:c r="G447" s="6" t="str"/>
      <x:c r="H447" s="20"/>
      <x:c r="I447" s="6" t="str">
        <x:v>025-85664446</x:v>
      </x:c>
      <x:c r="J447" s="6" t="str">
        <x:v>W017</x:v>
      </x:c>
      <x:c r="K447" s="6" t="str">
        <x:v>纳入字段</x:v>
      </x:c>
      <x:c r="L447" s="6" t="str">
        <x:v>已核实(官网披露)</x:v>
      </x:c>
    </x:row>
    <x:row r="448" ht="34" customHeight="1">
      <x:c r="A448" s="6" t="str">
        <x:v>R0357</x:v>
      </x:c>
      <x:c r="B448" s="6" t="str">
        <x:v>字段</x:v>
      </x:c>
      <x:c r="C448" s="17" t="n">
        <x:v>1</x:v>
      </x:c>
      <x:c r="D448" s="6" t="str">
        <x:v>郑州海能（导航名称）</x:v>
      </x:c>
      <x:c r="E448" s="6" t="str">
        <x:v>官网导航名称</x:v>
      </x:c>
      <x:c r="F448" s="6" t="str">
        <x:v>郑州海能</x:v>
      </x:c>
      <x:c r="G448" s="6" t="str"/>
      <x:c r="H448" s="20"/>
      <x:c r="I448" s="6" t="str">
        <x:v>郑州海能</x:v>
      </x:c>
      <x:c r="J448" s="6" t="str">
        <x:v>W018</x:v>
      </x:c>
      <x:c r="K448" s="6" t="str">
        <x:v>待核资料</x:v>
      </x:c>
      <x:c r="L448" s="6" t="str">
        <x:v>待核实(法人或股权)</x:v>
      </x:c>
    </x:row>
    <x:row r="449" ht="34" customHeight="1">
      <x:c r="A449" s="6" t="str">
        <x:v>R0358</x:v>
      </x:c>
      <x:c r="B449" s="6" t="str">
        <x:v>字段</x:v>
      </x:c>
      <x:c r="C449" s="17" t="n">
        <x:v>1</x:v>
      </x:c>
      <x:c r="D449" s="6" t="str">
        <x:v>郑州海能（导航名称）</x:v>
      </x:c>
      <x:c r="E449" s="6" t="str">
        <x:v>官网列示地址</x:v>
      </x:c>
      <x:c r="F449" s="6" t="str">
        <x:v>郑州市东风路东18号金城国际广场6号楼1单元1002室</x:v>
      </x:c>
      <x:c r="G449" s="6" t="str"/>
      <x:c r="H449" s="20"/>
      <x:c r="I449" s="6" t="str">
        <x:v>郑州市东风路东18号金城国际广场6号楼1单元1002室</x:v>
      </x:c>
      <x:c r="J449" s="6" t="str">
        <x:v>W018</x:v>
      </x:c>
      <x:c r="K449" s="6" t="str">
        <x:v>纳入字段</x:v>
      </x:c>
      <x:c r="L449" s="6" t="str">
        <x:v>已核实(官网披露)</x:v>
      </x:c>
    </x:row>
    <x:row r="450" ht="34" customHeight="1">
      <x:c r="A450" s="6" t="str">
        <x:v>R0359</x:v>
      </x:c>
      <x:c r="B450" s="6" t="str">
        <x:v>字段</x:v>
      </x:c>
      <x:c r="C450" s="17" t="n">
        <x:v>1</x:v>
      </x:c>
      <x:c r="D450" s="6" t="str">
        <x:v>郑州海能（导航名称）</x:v>
      </x:c>
      <x:c r="E450" s="6" t="str">
        <x:v>官网列示电话</x:v>
      </x:c>
      <x:c r="F450" s="6" t="str">
        <x:v>0371-55056876</x:v>
      </x:c>
      <x:c r="G450" s="6" t="str"/>
      <x:c r="H450" s="20"/>
      <x:c r="I450" s="6" t="str">
        <x:v>0371-55056876</x:v>
      </x:c>
      <x:c r="J450" s="6" t="str">
        <x:v>W018</x:v>
      </x:c>
      <x:c r="K450" s="6" t="str">
        <x:v>纳入字段</x:v>
      </x:c>
      <x:c r="L450" s="6" t="str">
        <x:v>已核实(官网披露)</x:v>
      </x:c>
    </x:row>
    <x:row r="451" ht="34" customHeight="1">
      <x:c r="A451" s="6" t="str">
        <x:v>R0360</x:v>
      </x:c>
      <x:c r="B451" s="6" t="str">
        <x:v>字段</x:v>
      </x:c>
      <x:c r="C451" s="17" t="n">
        <x:v>1</x:v>
      </x:c>
      <x:c r="D451" s="6" t="str">
        <x:v>白小白科技(山东)有限公司</x:v>
      </x:c>
      <x:c r="E451" s="6" t="str">
        <x:v>官网列示另一电话</x:v>
      </x:c>
      <x:c r="F451" s="6" t="str">
        <x:v>010-60202899</x:v>
      </x:c>
      <x:c r="G451" s="6" t="str"/>
      <x:c r="H451" s="20"/>
      <x:c r="I451" s="6" t="str">
        <x:v>010-60202899</x:v>
      </x:c>
      <x:c r="J451" s="6" t="str">
        <x:v>W015</x:v>
      </x:c>
      <x:c r="K451" s="6" t="str">
        <x:v>纳入字段</x:v>
      </x:c>
      <x:c r="L451" s="6" t="str">
        <x:v>已核实(官网披露)</x:v>
      </x:c>
    </x:row>
    <x:row r="452" ht="34" customHeight="1">
      <x:c r="A452" s="6" t="str">
        <x:v>R0361</x:v>
      </x:c>
      <x:c r="B452" s="6" t="str">
        <x:v>字段</x:v>
      </x:c>
      <x:c r="C452" s="17" t="n">
        <x:v>1</x:v>
      </x:c>
      <x:c r="D452" s="6" t="str">
        <x:v>海能未来技术集团股份有限公司</x:v>
      </x:c>
      <x:c r="E452" s="6" t="str">
        <x:v>日本参展</x:v>
      </x:c>
      <x:c r="F452" s="6" t="str">
        <x:v>JASIS 2026</x:v>
      </x:c>
      <x:c r="G452" s="6" t="str"/>
      <x:c r="H452" s="20" t="d">
        <x:v>2026-09-10T00:00:00.000Z</x:v>
      </x:c>
      <x:c r="I452" s="6" t="str">
        <x:v>JASIS 2026于9月2日至4日在日本千叶幕张国际展览中心举行</x:v>
      </x:c>
      <x:c r="J452" s="6" t="str">
        <x:v>W019</x:v>
      </x:c>
      <x:c r="K452" s="6" t="str">
        <x:v>纳入字段</x:v>
      </x:c>
      <x:c r="L452" s="6" t="str">
        <x:v>已核实(官网披露)</x:v>
      </x:c>
    </x:row>
    <x:row r="453" ht="34" customHeight="1">
      <x:c r="A453" s="6" t="str">
        <x:v>R0362</x:v>
      </x:c>
      <x:c r="B453" s="6" t="str">
        <x:v>字段</x:v>
      </x:c>
      <x:c r="C453" s="17" t="n">
        <x:v>1</x:v>
      </x:c>
      <x:c r="D453" s="6" t="str">
        <x:v>海能未来技术集团股份有限公司</x:v>
      </x:c>
      <x:c r="E453" s="6" t="str">
        <x:v>日本展会产品</x:v>
      </x:c>
      <x:c r="F453" s="6" t="str">
        <x:v>海能K1160全自动凯氏定氮仪、新仪TANK eco微波消解仪</x:v>
      </x:c>
      <x:c r="G453" s="6" t="str"/>
      <x:c r="H453" s="20" t="d">
        <x:v>2026-09-10T00:00:00.000Z</x:v>
      </x:c>
      <x:c r="I453" s="6" t="str">
        <x:v>海能技术携海能K1160全自动凯氏定氮仪、新仪TANK eco微波消解仪参展</x:v>
      </x:c>
      <x:c r="J453" s="6" t="str">
        <x:v>W019</x:v>
      </x:c>
      <x:c r="K453" s="6" t="str">
        <x:v>纳入字段</x:v>
      </x:c>
      <x:c r="L453" s="6" t="str">
        <x:v>已核实(官网披露)</x:v>
      </x:c>
    </x:row>
    <x:row r="454" ht="34" customHeight="1">
      <x:c r="A454" s="6" t="str">
        <x:v>R0363</x:v>
      </x:c>
      <x:c r="B454" s="6" t="str">
        <x:v>字段</x:v>
      </x:c>
      <x:c r="C454" s="17" t="n">
        <x:v>1</x:v>
      </x:c>
      <x:c r="D454" s="6" t="str">
        <x:v>海能未来技术集团股份有限公司</x:v>
      </x:c>
      <x:c r="E454" s="6" t="str">
        <x:v>PFAS应用方向</x:v>
      </x:c>
      <x:c r="F454" s="6" t="str">
        <x:v>新材料、半导体、食品</x:v>
      </x:c>
      <x:c r="G454" s="6" t="str"/>
      <x:c r="H454" s="20" t="d">
        <x:v>2026-09-10T00:00:00.000Z</x:v>
      </x:c>
      <x:c r="I454" s="6" t="str">
        <x:v>日本在新材料、半导体、食品等领域检测需求较为集中,海能在相关方向已有一定的应用方案积累</x:v>
      </x:c>
      <x:c r="J454" s="6" t="str">
        <x:v>W019</x:v>
      </x:c>
      <x:c r="K454" s="6" t="str">
        <x:v>纳入字段</x:v>
      </x:c>
      <x:c r="L454" s="6" t="str">
        <x:v>已核实(官网披露)</x:v>
      </x:c>
    </x:row>
    <x:row r="455" ht="34" customHeight="1">
      <x:c r="A455" s="6" t="str">
        <x:v>R0364</x:v>
      </x:c>
      <x:c r="B455" s="6" t="str">
        <x:v>字段</x:v>
      </x:c>
      <x:c r="C455" s="17" t="n">
        <x:v>1</x:v>
      </x:c>
      <x:c r="D455" s="6" t="str">
        <x:v>海能未来技术集团股份有限公司</x:v>
      </x:c>
      <x:c r="E455" s="6" t="str">
        <x:v>泰国参展</x:v>
      </x:c>
      <x:c r="F455" s="6" t="str">
        <x:v>Thailand LAB INTERNATIONAL 2026</x:v>
      </x:c>
      <x:c r="G455" s="6" t="str"/>
      <x:c r="H455" s="20" t="d">
        <x:v>2026-09-10T00:00:00.000Z</x:v>
      </x:c>
      <x:c r="I455" s="6" t="str">
        <x:v>同期举行的Thailand LAB INTERNATIONAL 2026</x:v>
      </x:c>
      <x:c r="J455" s="6" t="str">
        <x:v>W019</x:v>
      </x:c>
      <x:c r="K455" s="6" t="str">
        <x:v>纳入字段</x:v>
      </x:c>
      <x:c r="L455" s="6" t="str">
        <x:v>已核实(官网披露)</x:v>
      </x:c>
    </x:row>
    <x:row r="456" ht="34" customHeight="1">
      <x:c r="A456" s="6" t="str">
        <x:v>R0365</x:v>
      </x:c>
      <x:c r="B456" s="6" t="str">
        <x:v>字段</x:v>
      </x:c>
      <x:c r="C456" s="17" t="n">
        <x:v>1</x:v>
      </x:c>
      <x:c r="D456" s="6" t="str">
        <x:v>海能未来技术集团股份有限公司</x:v>
      </x:c>
      <x:c r="E456" s="6" t="str">
        <x:v>泰国参展产品</x:v>
      </x:c>
      <x:c r="F456" s="6" t="str">
        <x:v>海能K1160全自动凯氏定氮仪、DF06膳食纤维测定仪、白小白全自动洗瓶机</x:v>
      </x:c>
      <x:c r="G456" s="6" t="str"/>
      <x:c r="H456" s="20" t="d">
        <x:v>2026-09-10T00:00:00.000Z</x:v>
      </x:c>
      <x:c r="I456" s="6" t="str">
        <x:v>展示了海能K1160全自动凯氏定氮仪、DF06膳食纤维测定仪、白小白全自动洗瓶机等多款产品</x:v>
      </x:c>
      <x:c r="J456" s="6" t="str">
        <x:v>W019</x:v>
      </x:c>
      <x:c r="K456" s="6" t="str">
        <x:v>纳入字段</x:v>
      </x:c>
      <x:c r="L456" s="6" t="str">
        <x:v>已核实(官网披露)</x:v>
      </x:c>
    </x:row>
    <x:row r="457" ht="34" customHeight="1">
      <x:c r="A457" s="6" t="str">
        <x:v>R0366</x:v>
      </x:c>
      <x:c r="B457" s="6" t="str">
        <x:v>字段</x:v>
      </x:c>
      <x:c r="C457" s="17" t="n">
        <x:v>1</x:v>
      </x:c>
      <x:c r="D457" s="6" t="str">
        <x:v>白小白（品牌）</x:v>
      </x:c>
      <x:c r="E457" s="6" t="str">
        <x:v>甘检会展示</x:v>
      </x:c>
      <x:c r="F457" s="6" t="str">
        <x:v>第六届西北分析测试技术与实验室创新发展大会</x:v>
      </x:c>
      <x:c r="G457" s="6" t="str"/>
      <x:c r="H457" s="20" t="d">
        <x:v>2026-07-21T00:00:00.000Z</x:v>
      </x:c>
      <x:c r="I457" s="6" t="str">
        <x:v>白小白在第六届西北分析测试技术与实验室创新发展大会上展出全自动洗瓶机及洁净实验室器皿清洗解决方案</x:v>
      </x:c>
      <x:c r="J457" s="6" t="str">
        <x:v>W020</x:v>
      </x:c>
      <x:c r="K457" s="6" t="str">
        <x:v>纳入字段</x:v>
      </x:c>
      <x:c r="L457" s="6" t="str">
        <x:v>已核实(官网披露)</x:v>
      </x:c>
    </x:row>
    <x:row r="458" ht="34" customHeight="1">
      <x:c r="A458" s="6" t="str">
        <x:v>R0367</x:v>
      </x:c>
      <x:c r="B458" s="6" t="str">
        <x:v>字段</x:v>
      </x:c>
      <x:c r="C458" s="17" t="n">
        <x:v>1</x:v>
      </x:c>
      <x:c r="D458" s="6" t="str">
        <x:v>白小白（品牌）</x:v>
      </x:c>
      <x:c r="E458" s="6" t="str">
        <x:v>展示产品型号</x:v>
      </x:c>
      <x:c r="F458" s="6" t="str">
        <x:v>BS580D 全自动洗瓶机</x:v>
      </x:c>
      <x:c r="G458" s="6" t="str"/>
      <x:c r="H458" s="20" t="d">
        <x:v>2026-07-21T00:00:00.000Z</x:v>
      </x:c>
      <x:c r="I458" s="6" t="str">
        <x:v>BS580D 全自动洗瓶机</x:v>
      </x:c>
      <x:c r="J458" s="6" t="str">
        <x:v>W020</x:v>
      </x:c>
      <x:c r="K458" s="6" t="str">
        <x:v>纳入字段</x:v>
      </x:c>
      <x:c r="L458" s="6" t="str">
        <x:v>已核实(官网披露)</x:v>
      </x:c>
    </x:row>
    <x:row r="459" ht="34" customHeight="1">
      <x:c r="A459" s="6" t="str">
        <x:v>R0368</x:v>
      </x:c>
      <x:c r="B459" s="6" t="str">
        <x:v>字段</x:v>
      </x:c>
      <x:c r="C459" s="17" t="n">
        <x:v>1</x:v>
      </x:c>
      <x:c r="D459" s="6" t="str">
        <x:v>白小白（品牌）</x:v>
      </x:c>
      <x:c r="E459" s="6" t="str">
        <x:v>残留效果声称</x:v>
      </x:c>
      <x:c r="F459" s="6" t="str">
        <x:v>ppb级</x:v>
      </x:c>
      <x:c r="G459" s="6" t="str"/>
      <x:c r="H459" s="20" t="d">
        <x:v>2026-07-21T00:00:00.000Z</x:v>
      </x:c>
      <x:c r="I459" s="6" t="str">
        <x:v>ppb 级残留清洗效果</x:v>
      </x:c>
      <x:c r="J459" s="6" t="str">
        <x:v>W020</x:v>
      </x:c>
      <x:c r="K459" s="6" t="str">
        <x:v>纳入字段</x:v>
      </x:c>
      <x:c r="L459" s="6" t="str">
        <x:v>已核实(官网披露)</x:v>
      </x:c>
    </x:row>
    <x:row r="460" ht="34" customHeight="1">
      <x:c r="A460" s="6" t="str">
        <x:v>R0369</x:v>
      </x:c>
      <x:c r="B460" s="6" t="str">
        <x:v>字段</x:v>
      </x:c>
      <x:c r="C460" s="17" t="n">
        <x:v>1</x:v>
      </x:c>
      <x:c r="D460" s="6" t="str">
        <x:v>白小白（品牌）</x:v>
      </x:c>
      <x:c r="E460" s="6" t="str">
        <x:v>HPLC验证指标声称</x:v>
      </x:c>
      <x:c r="F460" s="6" t="str">
        <x:v>RSD≤1.5%</x:v>
      </x:c>
      <x:c r="G460" s="6" t="str"/>
      <x:c r="H460" s="20" t="d">
        <x:v>2026-07-21T00:00:00.000Z</x:v>
      </x:c>
      <x:c r="I460" s="6" t="str">
        <x:v>RSD 值控制在 1.5% 以内</x:v>
      </x:c>
      <x:c r="J460" s="6" t="str">
        <x:v>W020</x:v>
      </x:c>
      <x:c r="K460" s="6" t="str">
        <x:v>纳入字段</x:v>
      </x:c>
      <x:c r="L460" s="6" t="str">
        <x:v>已核实(官网披露)</x:v>
      </x:c>
    </x:row>
    <x:row r="461" ht="34" customHeight="1">
      <x:c r="A461" s="6" t="str">
        <x:v>R0370</x:v>
      </x:c>
      <x:c r="B461" s="6" t="str">
        <x:v>字段</x:v>
      </x:c>
      <x:c r="C461" s="17" t="n">
        <x:v>1</x:v>
      </x:c>
      <x:c r="D461" s="6" t="str">
        <x:v>白小白（品牌）</x:v>
      </x:c>
      <x:c r="E461" s="6" t="str">
        <x:v>清洗数据记录</x:v>
      </x:c>
      <x:c r="F461" s="6" t="str">
        <x:v>清洗参数、温度曲线、水质数据自动存档</x:v>
      </x:c>
      <x:c r="G461" s="6" t="str"/>
      <x:c r="H461" s="20" t="d">
        <x:v>2026-07-21T00:00:00.000Z</x:v>
      </x:c>
      <x:c r="I461" s="6" t="str">
        <x:v>支持每批次清洗参数、温度曲线、水质数据自动存档</x:v>
      </x:c>
      <x:c r="J461" s="6" t="str">
        <x:v>W020</x:v>
      </x:c>
      <x:c r="K461" s="6" t="str">
        <x:v>纳入字段</x:v>
      </x:c>
      <x:c r="L461" s="6" t="str">
        <x:v>已核实(官网披露)</x:v>
      </x:c>
    </x:row>
    <x:row r="462" ht="34" customHeight="1">
      <x:c r="A462" s="6" t="str">
        <x:v>R0371</x:v>
      </x:c>
      <x:c r="B462" s="6" t="str">
        <x:v>字段</x:v>
      </x:c>
      <x:c r="C462" s="17" t="n">
        <x:v>1</x:v>
      </x:c>
      <x:c r="D462" s="6" t="str">
        <x:v>白小白（品牌）</x:v>
      </x:c>
      <x:c r="E462" s="6" t="str">
        <x:v>LIMS对接能力</x:v>
      </x:c>
      <x:c r="F462" s="6" t="str">
        <x:v>支持直接对接实验室LIMS</x:v>
      </x:c>
      <x:c r="G462" s="6" t="str"/>
      <x:c r="H462" s="20" t="d">
        <x:v>2026-07-21T00:00:00.000Z</x:v>
      </x:c>
      <x:c r="I462" s="6" t="str">
        <x:v>可直接对接实验室 LIMS 系统</x:v>
      </x:c>
      <x:c r="J462" s="6" t="str">
        <x:v>W020</x:v>
      </x:c>
      <x:c r="K462" s="6" t="str">
        <x:v>纳入字段</x:v>
      </x:c>
      <x:c r="L462" s="6" t="str">
        <x:v>已核实(官网披露)</x:v>
      </x:c>
    </x:row>
    <x:row r="463" ht="34" customHeight="1">
      <x:c r="A463" s="6" t="str">
        <x:v>R0372</x:v>
      </x:c>
      <x:c r="B463" s="6" t="str">
        <x:v>字段</x:v>
      </x:c>
      <x:c r="C463" s="17" t="n">
        <x:v>1</x:v>
      </x:c>
      <x:c r="D463" s="6" t="str">
        <x:v>白小白（品牌）</x:v>
      </x:c>
      <x:c r="E463" s="6" t="str">
        <x:v>行业清洗适配</x:v>
      </x:c>
      <x:c r="F463" s="6" t="str">
        <x:v>农残洗脱、重金属残留、皂苷类去除</x:v>
      </x:c>
      <x:c r="G463" s="6" t="str"/>
      <x:c r="H463" s="20" t="d">
        <x:v>2026-07-21T00:00:00.000Z</x:v>
      </x:c>
      <x:c r="I463" s="6" t="str">
        <x:v>针对食品检测的农残洗脱、环境监测的重金属残留、中药检测的皂苷类去除</x:v>
      </x:c>
      <x:c r="J463" s="6" t="str">
        <x:v>W020</x:v>
      </x:c>
      <x:c r="K463" s="6" t="str">
        <x:v>纳入字段</x:v>
      </x:c>
      <x:c r="L463" s="6" t="str">
        <x:v>已核实(官网披露)</x:v>
      </x:c>
    </x:row>
    <x:row r="464" ht="34" customHeight="1">
      <x:c r="A464" s="6" t="str">
        <x:v>R0373</x:v>
      </x:c>
      <x:c r="B464" s="6" t="str">
        <x:v>字段</x:v>
      </x:c>
      <x:c r="C464" s="17" t="n">
        <x:v>1</x:v>
      </x:c>
      <x:c r="D464" s="6" t="str">
        <x:v>白小白（品牌）</x:v>
      </x:c>
      <x:c r="E464" s="6" t="str">
        <x:v>主要客群</x:v>
      </x:c>
      <x:c r="F464" s="6" t="str">
        <x:v>第三方与综合检测机构</x:v>
      </x:c>
      <x:c r="G464" s="6" t="str"/>
      <x:c r="H464" s="20" t="d">
        <x:v>2026-07-21T00:00:00.000Z</x:v>
      </x:c>
      <x:c r="I464" s="6" t="str">
        <x:v>客群适用:面向第三方与综合检测机构</x:v>
      </x:c>
      <x:c r="J464" s="6" t="str">
        <x:v>W020</x:v>
      </x:c>
      <x:c r="K464" s="6" t="str">
        <x:v>纳入字段</x:v>
      </x:c>
      <x:c r="L464" s="6" t="str">
        <x:v>已核实(官网披露)</x:v>
      </x:c>
    </x:row>
    <x:row r="465" ht="34" customHeight="1">
      <x:c r="A465" s="6" t="str">
        <x:v>R0374</x:v>
      </x:c>
      <x:c r="B465" s="6" t="str">
        <x:v>字段</x:v>
      </x:c>
      <x:c r="C465" s="17" t="n">
        <x:v>1</x:v>
      </x:c>
      <x:c r="D465" s="6" t="str">
        <x:v>白小白（品牌）</x:v>
      </x:c>
      <x:c r="E465" s="6" t="str">
        <x:v>单批次清洗时长声称</x:v>
      </x:c>
      <x:c r="F465" s="6" t="str">
        <x:v>60分钟压缩至45分钟</x:v>
      </x:c>
      <x:c r="G465" s="6" t="str"/>
      <x:c r="H465" s="20" t="d">
        <x:v>2026-07-21T00:00:00.000Z</x:v>
      </x:c>
      <x:c r="I465" s="6" t="str">
        <x:v>单批次 60 分钟压缩至 45 分钟</x:v>
      </x:c>
      <x:c r="J465" s="6" t="str">
        <x:v>W020</x:v>
      </x:c>
      <x:c r="K465" s="6" t="str">
        <x:v>纳入字段</x:v>
      </x:c>
      <x:c r="L465" s="6" t="str">
        <x:v>已核实(官网披露)</x:v>
      </x:c>
    </x:row>
    <x:row r="466" ht="34" customHeight="1">
      <x:c r="A466" s="6" t="str">
        <x:v>R0375</x:v>
      </x:c>
      <x:c r="B466" s="6" t="str">
        <x:v>字段</x:v>
      </x:c>
      <x:c r="C466" s="17" t="n">
        <x:v>1</x:v>
      </x:c>
      <x:c r="D466" s="6" t="str">
        <x:v>白小白（品牌）</x:v>
      </x:c>
      <x:c r="E466" s="6" t="str">
        <x:v>批次提升声称</x:v>
      </x:c>
      <x:c r="F466" s="6" t="str">
        <x:v>50%以上</x:v>
      </x:c>
      <x:c r="G466" s="6" t="str"/>
      <x:c r="H466" s="20" t="d">
        <x:v>2026-07-21T00:00:00.000Z</x:v>
      </x:c>
      <x:c r="I466" s="6" t="str">
        <x:v>单日清洗批次量提升 50% 以上</x:v>
      </x:c>
      <x:c r="J466" s="6" t="str">
        <x:v>W020</x:v>
      </x:c>
      <x:c r="K466" s="6" t="str">
        <x:v>纳入字段</x:v>
      </x:c>
      <x:c r="L466" s="6" t="str">
        <x:v>已核实(官网披露)</x:v>
      </x:c>
    </x:row>
    <x:row r="467" ht="34" customHeight="1">
      <x:c r="A467" s="6" t="str">
        <x:v>R0376</x:v>
      </x:c>
      <x:c r="B467" s="6" t="str">
        <x:v>字段</x:v>
      </x:c>
      <x:c r="C467" s="17" t="n">
        <x:v>1</x:v>
      </x:c>
      <x:c r="D467" s="6" t="str">
        <x:v>白小白（品牌）</x:v>
      </x:c>
      <x:c r="E467" s="6" t="str">
        <x:v>可选程序数声称</x:v>
      </x:c>
      <x:c r="F467" s="6" t="str">
        <x:v>200多种</x:v>
      </x:c>
      <x:c r="G467" s="6" t="str"/>
      <x:c r="H467" s="20" t="d">
        <x:v>2026-07-21T00:00:00.000Z</x:v>
      </x:c>
      <x:c r="I467" s="6" t="str">
        <x:v>200多种可选程序</x:v>
      </x:c>
      <x:c r="J467" s="6" t="str">
        <x:v>W020</x:v>
      </x:c>
      <x:c r="K467" s="6" t="str">
        <x:v>纳入字段</x:v>
      </x:c>
      <x:c r="L467" s="6" t="str">
        <x:v>已核实(官网披露)</x:v>
      </x:c>
    </x:row>
    <x:row r="468" ht="34" customHeight="1">
      <x:c r="A468" s="6" t="str">
        <x:v>R0377</x:v>
      </x:c>
      <x:c r="B468" s="6" t="str">
        <x:v>字段</x:v>
      </x:c>
      <x:c r="C468" s="17" t="n">
        <x:v>1</x:v>
      </x:c>
      <x:c r="D468" s="6" t="str">
        <x:v>白小白（品牌）</x:v>
      </x:c>
      <x:c r="E468" s="6" t="str">
        <x:v>设计参考规范</x:v>
      </x:c>
      <x:c r="F468" s="6" t="str">
        <x:v>ISO 15883-1/-5；JB/T 14106-2020</x:v>
      </x:c>
      <x:c r="G468" s="6" t="str"/>
      <x:c r="H468" s="20" t="d">
        <x:v>2026-07-21T00:00:00.000Z</x:v>
      </x:c>
      <x:c r="I468" s="6" t="str">
        <x:v>参考 ISO 15883-1/-5和JB/T 14106-2020 框架设计</x:v>
      </x:c>
      <x:c r="J468" s="6" t="str">
        <x:v>W020</x:v>
      </x:c>
      <x:c r="K468" s="6" t="str">
        <x:v>纳入字段</x:v>
      </x:c>
      <x:c r="L468" s="6" t="str">
        <x:v>已核实(官网披露)</x:v>
      </x:c>
    </x:row>
    <x:row r="469" ht="34" customHeight="1">
      <x:c r="A469" s="6" t="str">
        <x:v>R0378</x:v>
      </x:c>
      <x:c r="B469" s="6" t="str">
        <x:v>字段</x:v>
      </x:c>
      <x:c r="C469" s="17" t="n">
        <x:v>1</x:v>
      </x:c>
      <x:c r="D469" s="6" t="str">
        <x:v>白小白（品牌）</x:v>
      </x:c>
      <x:c r="E469" s="6" t="str">
        <x:v>验证体系</x:v>
      </x:c>
      <x:c r="F469" s="6" t="str">
        <x:v>总有机碳、电导率、目视检查</x:v>
      </x:c>
      <x:c r="G469" s="6" t="str"/>
      <x:c r="H469" s="20" t="d">
        <x:v>2026-07-21T00:00:00.000Z</x:v>
      </x:c>
      <x:c r="I469" s="6" t="str">
        <x:v>总有机碳、电导率、目视检查三层验证体系</x:v>
      </x:c>
      <x:c r="J469" s="6" t="str">
        <x:v>W020</x:v>
      </x:c>
      <x:c r="K469" s="6" t="str">
        <x:v>纳入字段</x:v>
      </x:c>
      <x:c r="L469" s="6" t="str">
        <x:v>已核实(官网披露)</x:v>
      </x:c>
    </x:row>
    <x:row r="470" ht="34" customHeight="1">
      <x:c r="A470" s="6" t="str">
        <x:v>R0379</x:v>
      </x:c>
      <x:c r="B470" s="6" t="str">
        <x:v>字段</x:v>
      </x:c>
      <x:c r="C470" s="17" t="n">
        <x:v>1</x:v>
      </x:c>
      <x:c r="D470" s="6" t="str">
        <x:v>白小白（品牌）</x:v>
      </x:c>
      <x:c r="E470" s="6" t="str">
        <x:v>验证交付材料</x:v>
      </x:c>
      <x:c r="F470" s="6" t="str">
        <x:v>验证方案与报告模板</x:v>
      </x:c>
      <x:c r="G470" s="6" t="str"/>
      <x:c r="H470" s="20" t="d">
        <x:v>2026-07-21T00:00:00.000Z</x:v>
      </x:c>
      <x:c r="I470" s="6" t="str">
        <x:v>配套完整的验证方案与报告模板</x:v>
      </x:c>
      <x:c r="J470" s="6" t="str">
        <x:v>W020</x:v>
      </x:c>
      <x:c r="K470" s="6" t="str">
        <x:v>纳入字段</x:v>
      </x:c>
      <x:c r="L470" s="6" t="str">
        <x:v>已核实(官网披露)</x:v>
      </x:c>
    </x:row>
    <x:row r="471" ht="34" customHeight="1">
      <x:c r="A471" s="6" t="str">
        <x:v>R0380</x:v>
      </x:c>
      <x:c r="B471" s="6" t="str">
        <x:v>字段</x:v>
      </x:c>
      <x:c r="C471" s="17" t="n">
        <x:v>1</x:v>
      </x:c>
      <x:c r="D471" s="6" t="str">
        <x:v>白小白（品牌）</x:v>
      </x:c>
      <x:c r="E471" s="6" t="str">
        <x:v>安装条件声称</x:v>
      </x:c>
      <x:c r="F471" s="6" t="str">
        <x:v>无需改造现有水电布局</x:v>
      </x:c>
      <x:c r="G471" s="6" t="str"/>
      <x:c r="H471" s="20" t="d">
        <x:v>2026-07-21T00:00:00.000Z</x:v>
      </x:c>
      <x:c r="I471" s="6" t="str">
        <x:v>设备安装无需改造实验室现有水电布局</x:v>
      </x:c>
      <x:c r="J471" s="6" t="str">
        <x:v>W020</x:v>
      </x:c>
      <x:c r="K471" s="6" t="str">
        <x:v>纳入字段</x:v>
      </x:c>
      <x:c r="L471" s="6" t="str">
        <x:v>已核实(官网披露)</x:v>
      </x:c>
    </x:row>
    <x:row r="472" ht="34" customHeight="1">
      <x:c r="A472" s="6" t="str">
        <x:v>R0381</x:v>
      </x:c>
      <x:c r="B472" s="6" t="str">
        <x:v>字段</x:v>
      </x:c>
      <x:c r="C472" s="17" t="n">
        <x:v>1</x:v>
      </x:c>
      <x:c r="D472" s="6" t="str">
        <x:v>白小白（品牌）</x:v>
      </x:c>
      <x:c r="E472" s="6" t="str">
        <x:v>行业程序数量存在原文不一致</x:v>
      </x:c>
      <x:c r="F472" s="6" t="str">
        <x:v>正文分别为12套与4套</x:v>
      </x:c>
      <x:c r="G472" s="6" t="str"/>
      <x:c r="H472" s="20" t="d">
        <x:v>2026-07-21T00:00:00.000Z</x:v>
      </x:c>
      <x:c r="I472" s="6" t="str">
        <x:v>预置了 12 套行业专用清洗程序</x:v>
      </x:c>
      <x:c r="J472" s="6" t="str">
        <x:v>W020</x:v>
      </x:c>
      <x:c r="K472" s="6" t="str">
        <x:v>待核资料</x:v>
      </x:c>
      <x:c r="L472" s="6" t="str">
        <x:v>待核实(原文不一致)</x:v>
      </x:c>
    </x:row>
    <x:row r="473" ht="34" customHeight="1">
      <x:c r="A473" s="6" t="str">
        <x:v>R0382</x:v>
      </x:c>
      <x:c r="B473" s="6" t="str">
        <x:v>字段</x:v>
      </x:c>
      <x:c r="C473" s="17" t="n">
        <x:v>1</x:v>
      </x:c>
      <x:c r="D473" s="6" t="str">
        <x:v>海能未来技术集团股份有限公司</x:v>
      </x:c>
      <x:c r="E473" s="6" t="str">
        <x:v>公开企业库收录</x:v>
      </x:c>
      <x:c r="F473" s="6" t="str">
        <x:v>企业库含目标公司全称；公开基本资料为空</x:v>
      </x:c>
      <x:c r="G473" s="6" t="str"/>
      <x:c r="H473" s="20"/>
      <x:c r="I473" s="6" t="str">
        <x:v>title="海能未来技术集团股份有限公司"；title="未通过资质认证"</x:v>
      </x:c>
      <x:c r="J473" s="6" t="str">
        <x:v>P001</x:v>
      </x:c>
      <x:c r="K473" s="6" t="str">
        <x:v>待核资料</x:v>
      </x:c>
      <x:c r="L473" s="6" t="str">
        <x:v>已核验公开页面</x:v>
      </x:c>
    </x:row>
    <x:row r="474" ht="40" customHeight="1">
      <x:c r="A474" s="6" t="str">
        <x:v>R0383</x:v>
      </x:c>
      <x:c r="B474" s="6" t="str">
        <x:v>项目或设备</x:v>
      </x:c>
      <x:c r="C474" s="17" t="n">
        <x:v>1</x:v>
      </x:c>
      <x:c r="D474" s="6" t="str">
        <x:v>海能（品牌）</x:v>
      </x:c>
      <x:c r="E474" s="6" t="str">
        <x:v>高通量全自动样品前处理系统、数字PCR仪等设备采购结果公告（采购包1、2、3、4、6）</x:v>
      </x:c>
      <x:c r="F474" s="6" t="str">
        <x:v>348,280.00元，1台</x:v>
      </x:c>
      <x:c r="G474" s="6" t="str">
        <x:v>元</x:v>
      </x:c>
      <x:c r="H474" s="20" t="d">
        <x:v>2026-10-08T00:00:00.000Z</x:v>
      </x:c>
      <x:c r="I474" s="6" t="str">
        <x:v>合同包3：福州神秘火科技有限公司，中标354,060.00元；全自动纤维素测定仪 海能 DF06 1.00(台) 单价348,280.00 总价348,280.00</x:v>
      </x:c>
      <x:c r="J474" s="6" t="str">
        <x:v>P011</x:v>
      </x:c>
      <x:c r="K474" s="6" t="str">
        <x:v>品牌/建设关联资料</x:v>
      </x:c>
      <x:c r="L474" s="6" t="str">
        <x:v>不计集团直接中标、采购支出或收入</x:v>
      </x:c>
    </x:row>
    <x:row r="475" ht="40" customHeight="1">
      <x:c r="A475" s="6" t="str">
        <x:v>R0384</x:v>
      </x:c>
      <x:c r="B475" s="6" t="str">
        <x:v>项目或设备</x:v>
      </x:c>
      <x:c r="C475" s="17" t="n">
        <x:v>1</x:v>
      </x:c>
      <x:c r="D475" s="6" t="str">
        <x:v>海能（品牌）</x:v>
      </x:c>
      <x:c r="E475" s="6" t="str">
        <x:v>2026年新疆理工职业大学天山食府智慧餐饮等购置安装采购项目中标(成交)结果公告</x:v>
      </x:c>
      <x:c r="F475" s="6" t="str">
        <x:v>18000元，1台</x:v>
      </x:c>
      <x:c r="G475" s="6" t="str">
        <x:v>元</x:v>
      </x:c>
      <x:c r="H475" s="20" t="d">
        <x:v>2026-10-01T00:00:00.000Z</x:v>
      </x:c>
      <x:c r="I475" s="6" t="str">
        <x:v>西安启夏信息科技有限公司 投标报价1682000（元）；食用油品质检测仪 海能 OS280 1 18000</x:v>
      </x:c>
      <x:c r="J475" s="6" t="str">
        <x:v>P012</x:v>
      </x:c>
      <x:c r="K475" s="6" t="str">
        <x:v>品牌/建设关联资料</x:v>
      </x:c>
      <x:c r="L475" s="6" t="str">
        <x:v>不计集团直接中标、采购支出或收入</x:v>
      </x:c>
    </x:row>
    <x:row r="476" ht="40" customHeight="1">
      <x:c r="A476" s="6" t="str">
        <x:v>R0385</x:v>
      </x:c>
      <x:c r="B476" s="6" t="str">
        <x:v>项目或设备</x:v>
      </x:c>
      <x:c r="C476" s="17" t="n">
        <x:v>1</x:v>
      </x:c>
      <x:c r="D476" s="6" t="str">
        <x:v>海能未来（品牌）</x:v>
      </x:c>
      <x:c r="E476" s="6" t="str">
        <x:v>黄冈职业技术学院2026年教育领域重大设备更新之医药学院设备采购项目 （第二批）中标结果公告</x:v>
      </x:c>
      <x:c r="F476" s="6" t="str">
        <x:v>凯氏定氮仪 K9860 1台 单价163250元</x:v>
      </x:c>
      <x:c r="G476" s="6" t="str">
        <x:v>元</x:v>
      </x:c>
      <x:c r="H476" s="20" t="d">
        <x:v>2026-05-29T00:00:00.000Z</x:v>
      </x:c>
      <x:c r="I476" s="6" t="str">
        <x:v>中标供应商：上海谊康科教仪器发展有限公司；凯氏定氮仪 K9860 1台 单价163250元</x:v>
      </x:c>
      <x:c r="J476" s="6" t="str">
        <x:v>P013</x:v>
      </x:c>
      <x:c r="K476" s="6" t="str">
        <x:v>品牌/建设关联资料</x:v>
      </x:c>
      <x:c r="L476" s="6" t="str">
        <x:v>不计集团直接中标、采购支出或收入</x:v>
      </x:c>
    </x:row>
    <x:row r="477" ht="40" customHeight="1">
      <x:c r="A477" s="6" t="str">
        <x:v>R0386</x:v>
      </x:c>
      <x:c r="B477" s="6" t="str">
        <x:v>项目或设备</x:v>
      </x:c>
      <x:c r="C477" s="17" t="n">
        <x:v>1</x:v>
      </x:c>
      <x:c r="D477" s="6" t="str">
        <x:v>上海新仪（品牌）</x:v>
      </x:c>
      <x:c r="E477" s="6" t="str">
        <x:v>黄冈职业技术学院2026年教育领域重大设备更新之医药学院设备采购项目 （第二批）中标结果公告</x:v>
      </x:c>
      <x:c r="F477" s="6" t="str">
        <x:v>微波消解仪 TANK 1台 单价384120元</x:v>
      </x:c>
      <x:c r="G477" s="6" t="str">
        <x:v>元</x:v>
      </x:c>
      <x:c r="H477" s="20" t="d">
        <x:v>2026-05-29T00:00:00.000Z</x:v>
      </x:c>
      <x:c r="I477" s="6" t="str">
        <x:v>中标供应商：上海谊康科教仪器发展有限公司；微波消解仪 TANK 1台 单价384120元</x:v>
      </x:c>
      <x:c r="J477" s="6" t="str">
        <x:v>P013</x:v>
      </x:c>
      <x:c r="K477" s="6" t="str">
        <x:v>品牌/建设关联资料</x:v>
      </x:c>
      <x:c r="L477" s="6" t="str">
        <x:v>不计集团直接中标、采购支出或收入</x:v>
      </x:c>
    </x:row>
    <x:row r="478" ht="34" customHeight="1">
      <x:c r="A478" s="6" t="str">
        <x:v>R0387</x:v>
      </x:c>
      <x:c r="B478" s="6" t="str">
        <x:v>项目或设备</x:v>
      </x:c>
      <x:c r="C478" s="17" t="n">
        <x:v>1</x:v>
      </x:c>
      <x:c r="D478" s="6" t="str">
        <x:v>上海新仪（品牌）</x:v>
      </x:c>
      <x:c r="E478" s="6" t="str">
        <x:v>微波消解仪第二次中标成交公告</x:v>
      </x:c>
      <x:c r="F478" s="6" t="str">
        <x:v>微波消解仪 TANK 1.0 单价298000.0元；中标29.800000万元</x:v>
      </x:c>
      <x:c r="G478" s="6" t="str">
        <x:v>元</x:v>
      </x:c>
      <x:c r="H478" s="20" t="d">
        <x:v>2026-07-31T00:00:00.000Z</x:v>
      </x:c>
      <x:c r="I478" s="6" t="str">
        <x:v>中标供应商：合肥新上线科技有限公司；微波消解仪 TANK 1.0 单价298000.0元；中标29.800000万元</x:v>
      </x:c>
      <x:c r="J478" s="6" t="str">
        <x:v>P014</x:v>
      </x:c>
      <x:c r="K478" s="6" t="str">
        <x:v>品牌/建设关联资料</x:v>
      </x:c>
      <x:c r="L478" s="6" t="str">
        <x:v>不计集团直接中标、采购支出或收入</x:v>
      </x:c>
    </x:row>
    <x:row r="479" ht="40" customHeight="1">
      <x:c r="A479" s="6" t="str">
        <x:v>R0388</x:v>
      </x:c>
      <x:c r="B479" s="6" t="str">
        <x:v>项目或设备</x:v>
      </x:c>
      <x:c r="C479" s="17" t="n">
        <x:v>1</x:v>
      </x:c>
      <x:c r="D479" s="6" t="str">
        <x:v>海能（品牌）</x:v>
      </x:c>
      <x:c r="E479" s="6" t="str">
        <x:v>2026153恩施州农科院农博园建设项目科创中心实验室仪器设备采购（天然产物类）第二次中标结果公告</x:v>
      </x:c>
      <x:c r="F479" s="6" t="str">
        <x:v>全自动凯式定氮仪 K1160 1.0 单价292000.0元</x:v>
      </x:c>
      <x:c r="G479" s="6" t="str">
        <x:v>元</x:v>
      </x:c>
      <x:c r="H479" s="20" t="d">
        <x:v>2026-05-08T00:00:00.000Z</x:v>
      </x:c>
      <x:c r="I479" s="6" t="str">
        <x:v>中标供应商：浙江省国际贸易集团供应链有限公司；全自动凯式定氮仪 K1160 1.0 单价292000.0元</x:v>
      </x:c>
      <x:c r="J479" s="6" t="str">
        <x:v>P015</x:v>
      </x:c>
      <x:c r="K479" s="6" t="str">
        <x:v>品牌/建设关联资料</x:v>
      </x:c>
      <x:c r="L479" s="6" t="str">
        <x:v>不计集团直接中标、采购支出或收入</x:v>
      </x:c>
    </x:row>
    <x:row r="480" ht="40" customHeight="1">
      <x:c r="A480" s="6" t="str">
        <x:v>R0389</x:v>
      </x:c>
      <x:c r="B480" s="6" t="str">
        <x:v>项目或设备</x:v>
      </x:c>
      <x:c r="C480" s="17" t="n">
        <x:v>1</x:v>
      </x:c>
      <x:c r="D480" s="6" t="str">
        <x:v>上海新仪（品牌）</x:v>
      </x:c>
      <x:c r="E480" s="6" t="str">
        <x:v>2026153恩施州农科院农博园建设项目科创中心实验室仪器设备采购（天然产物类）第二次中标结果公告</x:v>
      </x:c>
      <x:c r="F480" s="6" t="str">
        <x:v>微波消解仪(含赶酸仪2台） TANK 2.0 单价389000.0元</x:v>
      </x:c>
      <x:c r="G480" s="6" t="str">
        <x:v>元</x:v>
      </x:c>
      <x:c r="H480" s="20" t="d">
        <x:v>2026-05-08T00:00:00.000Z</x:v>
      </x:c>
      <x:c r="I480" s="6" t="str">
        <x:v>中标供应商：浙江省国际贸易集团供应链有限公司；微波消解仪(含赶酸仪2台） TANK 2.0 单价389000.0元</x:v>
      </x:c>
      <x:c r="J480" s="6" t="str">
        <x:v>P015</x:v>
      </x:c>
      <x:c r="K480" s="6" t="str">
        <x:v>品牌/建设关联资料</x:v>
      </x:c>
      <x:c r="L480" s="6" t="str">
        <x:v>不计集团直接中标、采购支出或收入</x:v>
      </x:c>
    </x:row>
    <x:row r="481" ht="34" customHeight="1">
      <x:c r="A481" s="6" t="str">
        <x:v>R0390</x:v>
      </x:c>
      <x:c r="B481" s="6" t="str">
        <x:v>项目或设备</x:v>
      </x:c>
      <x:c r="C481" s="17" t="n">
        <x:v>1</x:v>
      </x:c>
      <x:c r="D481" s="6" t="str">
        <x:v>上海新仪（品牌）</x:v>
      </x:c>
      <x:c r="E481" s="6" t="str">
        <x:v>2025年县区监测能力提升项目（灌云)中标公告</x:v>
      </x:c>
      <x:c r="F481" s="6" t="str">
        <x:v>微波消解仪 TANK 数量1 单价238000</x:v>
      </x:c>
      <x:c r="G481" s="6" t="str">
        <x:v>元</x:v>
      </x:c>
      <x:c r="H481" s="20" t="d">
        <x:v>2026-01-29T00:00:00.000Z</x:v>
      </x:c>
      <x:c r="I481" s="6" t="str">
        <x:v>中标供应商：江澄实验室科技（无锡）有限公司；微波消解仪 TANK 数量1 单价238000</x:v>
      </x:c>
      <x:c r="J481" s="6" t="str">
        <x:v>P016</x:v>
      </x:c>
      <x:c r="K481" s="6" t="str">
        <x:v>品牌/建设关联资料</x:v>
      </x:c>
      <x:c r="L481" s="6" t="str">
        <x:v>不计集团直接中标、采购支出或收入</x:v>
      </x:c>
    </x:row>
    <x:row r="482" ht="40" customHeight="1">
      <x:c r="A482" s="6" t="str">
        <x:v>R0391</x:v>
      </x:c>
      <x:c r="B482" s="6" t="str">
        <x:v>项目或设备</x:v>
      </x:c>
      <x:c r="C482" s="17" t="n">
        <x:v>1</x:v>
      </x:c>
      <x:c r="D482" s="6" t="str">
        <x:v>上海新仪（品牌）</x:v>
      </x:c>
      <x:c r="E482" s="6" t="str">
        <x:v>武汉软件工程职业学院武汉软件工程职业学院实训科研设备更新项目（五）（第二次）中标结果公告</x:v>
      </x:c>
      <x:c r="F482" s="6" t="str">
        <x:v>智慧化工实习实训包；微波消解仪 TANK MAX 数量1 单价57.932万元</x:v>
      </x:c>
      <x:c r="G482" s="6" t="str">
        <x:v>元</x:v>
      </x:c>
      <x:c r="H482" s="20" t="d">
        <x:v>2026-01-06T00:00:00.000Z</x:v>
      </x:c>
      <x:c r="I482" s="6" t="str">
        <x:v>中标供应商：武汉优博华科技有限公司；智慧化工实习实训包；微波消解仪 TANK MAX 数量1 单价57.932万元</x:v>
      </x:c>
      <x:c r="J482" s="6" t="str">
        <x:v>P017</x:v>
      </x:c>
      <x:c r="K482" s="6" t="str">
        <x:v>品牌/建设关联资料</x:v>
      </x:c>
      <x:c r="L482" s="6" t="str">
        <x:v>不计集团直接中标、采购支出或收入</x:v>
      </x:c>
    </x:row>
    <x:row r="483" ht="40" customHeight="1">
      <x:c r="A483" s="6" t="str">
        <x:v>R0392</x:v>
      </x:c>
      <x:c r="B483" s="6" t="str">
        <x:v>项目或设备</x:v>
      </x:c>
      <x:c r="C483" s="17" t="n">
        <x:v>1</x:v>
      </x:c>
      <x:c r="D483" s="6" t="str">
        <x:v>悟空仪器（品牌）</x:v>
      </x:c>
      <x:c r="E483" s="6" t="str">
        <x:v>省疾控中心化学类设备采购项目（第2批）结果公告</x:v>
      </x:c>
      <x:c r="F483" s="6" t="str">
        <x:v>包001高效液相色谱仪；悟空仪器 K2025 两项各1台单价400000.00及412500.00元</x:v>
      </x:c>
      <x:c r="G483" s="6" t="str">
        <x:v>元</x:v>
      </x:c>
      <x:c r="H483" s="20" t="d">
        <x:v>2026-09-29T00:00:00.000Z</x:v>
      </x:c>
      <x:c r="I483" s="6" t="str">
        <x:v>中标供应商：沈阳斯鲁商贸有限公司；包001高效液相色谱仪；悟空仪器 K2025 两项各1台单价400000.00及412500.00元</x:v>
      </x:c>
      <x:c r="J483" s="6" t="str">
        <x:v>P018</x:v>
      </x:c>
      <x:c r="K483" s="6" t="str">
        <x:v>品牌/建设关联资料</x:v>
      </x:c>
      <x:c r="L483" s="6" t="str">
        <x:v>不计集团直接中标、采购支出或收入</x:v>
      </x:c>
    </x:row>
    <x:row r="484" ht="40" customHeight="1">
      <x:c r="A484" s="6" t="str">
        <x:v>R0393</x:v>
      </x:c>
      <x:c r="B484" s="6" t="str">
        <x:v>项目或设备</x:v>
      </x:c>
      <x:c r="C484" s="17" t="n">
        <x:v>1</x:v>
      </x:c>
      <x:c r="D484" s="6" t="str">
        <x:v>海能未来技术集团股份有限公司</x:v>
      </x:c>
      <x:c r="E484" s="6" t="str">
        <x:v>北京中医药大学东直门医院国家中医药传承创新中心建设项目（第七批）设备采购公告第一包中标公告</x:v>
      </x:c>
      <x:c r="F484" s="6" t="str">
        <x:v>全自动凯氏定氮仪（含自动进样器）；海能未来技术集团股份有限公司；K1160+K1124；1套；430,000.00元</x:v>
      </x:c>
      <x:c r="G484" s="6" t="str">
        <x:v>元</x:v>
      </x:c>
      <x:c r="H484" s="20" t="d">
        <x:v>2026-06-11T00:00:00.000Z</x:v>
      </x:c>
      <x:c r="I484" s="6" t="str">
        <x:v>中标供应商：北京嘉禾美华医疗科技有限公司；全自动凯氏定氮仪（含自动进样器）；海能未来技术集团股份有限公司；K1160+K1124；1套；430,000.00元</x:v>
      </x:c>
      <x:c r="J484" s="6" t="str">
        <x:v>P019</x:v>
      </x:c>
      <x:c r="K484" s="6" t="str">
        <x:v>品牌/建设关联资料</x:v>
      </x:c>
      <x:c r="L484" s="6" t="str">
        <x:v>不计集团直接中标、采购支出或收入</x:v>
      </x:c>
    </x:row>
    <x:row r="485" ht="40" customHeight="1">
      <x:c r="A485" s="6" t="str">
        <x:v>R0394</x:v>
      </x:c>
      <x:c r="B485" s="6" t="str">
        <x:v>项目或设备</x:v>
      </x:c>
      <x:c r="C485" s="17" t="n">
        <x:v>1</x:v>
      </x:c>
      <x:c r="D485" s="6" t="str">
        <x:v>海能未来技术集团股份有限公司</x:v>
      </x:c>
      <x:c r="E485" s="6" t="str">
        <x:v>太原海关技术中心2025年实验室仪器设备更新项目中标公告</x:v>
      </x:c>
      <x:c r="F485" s="6" t="str">
        <x:v>全自动纤维测定仪；海能未来技术集团股份有限公司；F2000；1；153500.00元</x:v>
      </x:c>
      <x:c r="G485" s="6" t="str">
        <x:v>元</x:v>
      </x:c>
      <x:c r="H485" s="20" t="d">
        <x:v>2025-10-22T00:00:00.000Z</x:v>
      </x:c>
      <x:c r="I485" s="6" t="str">
        <x:v>中标供应商：国药（上海）医疗器械实业有限公司；全自动纤维测定仪；海能未来技术集团股份有限公司；F2000；1；153500.00元</x:v>
      </x:c>
      <x:c r="J485" s="6" t="str">
        <x:v>P020</x:v>
      </x:c>
      <x:c r="K485" s="6" t="str">
        <x:v>品牌/建设关联资料</x:v>
      </x:c>
      <x:c r="L485" s="6" t="str">
        <x:v>不计集团直接中标、采购支出或收入</x:v>
      </x:c>
    </x:row>
    <x:row r="486" ht="40" customHeight="1">
      <x:c r="A486" s="6" t="str">
        <x:v>R0395</x:v>
      </x:c>
      <x:c r="B486" s="6" t="str">
        <x:v>项目或设备</x:v>
      </x:c>
      <x:c r="C486" s="17" t="n">
        <x:v>1</x:v>
      </x:c>
      <x:c r="D486" s="6" t="str">
        <x:v>山东海能科学仪器有限公司</x:v>
      </x:c>
      <x:c r="E486" s="6" t="str">
        <x:v>济南市生态环境局济南市大气细颗粒物和挥发性有机物协同监测能力提升项目中标公告</x:v>
      </x:c>
      <x:c r="F486" s="6" t="str">
        <x:v>环境挥发性有机物分析仪 G.A.S. 中国、山东海能科学仪器有限公司 IMS25 1套 780000.000000</x:v>
      </x:c>
      <x:c r="G486" s="6" t="str">
        <x:v>元</x:v>
      </x:c>
      <x:c r="H486" s="20" t="d">
        <x:v>2026-01-06T00:00:00.000Z</x:v>
      </x:c>
      <x:c r="I486" s="6" t="str">
        <x:v>中标供应商：华通力盛（北京）智能检测集团有限公司；环境挥发性有机物分析仪 G.A.S. 中国、山东海能科学仪器有限公司 IMS25 1套 780000.000000</x:v>
      </x:c>
      <x:c r="J486" s="6" t="str">
        <x:v>P021</x:v>
      </x:c>
      <x:c r="K486" s="6" t="str">
        <x:v>品牌/建设关联资料</x:v>
      </x:c>
      <x:c r="L486" s="6" t="str">
        <x:v>不计集团直接中标、采购支出或收入</x:v>
      </x:c>
    </x:row>
    <x:row r="487" ht="40" customHeight="1">
      <x:c r="A487" s="6" t="str">
        <x:v>R0396</x:v>
      </x:c>
      <x:c r="B487" s="6" t="str">
        <x:v>项目或设备</x:v>
      </x:c>
      <x:c r="C487" s="17" t="n">
        <x:v>1</x:v>
      </x:c>
      <x:c r="D487" s="6" t="str">
        <x:v>山东海能（品牌）</x:v>
      </x:c>
      <x:c r="E487" s="6" t="str">
        <x:v>陕西中医药大学中药真伪鉴别与智能质控分析系统中标（成交）结果公告</x:v>
      </x:c>
      <x:c r="F487" s="6" t="str">
        <x:v>合同包2；气相离子迁移谱 山东海能 FlavourSpec25 1.00(台) 总价1,639,100.00</x:v>
      </x:c>
      <x:c r="G487" s="6" t="str">
        <x:v>元</x:v>
      </x:c>
      <x:c r="H487" s="20" t="d">
        <x:v>2026-09-07T00:00:00.000Z</x:v>
      </x:c>
      <x:c r="I487" s="6" t="str">
        <x:v>中标供应商：陕西文投国际贸易有限公司；合同包2；气相离子迁移谱 山东海能 FlavourSpec25 1.00(台) 总价1,639,100.00</x:v>
      </x:c>
      <x:c r="J487" s="6" t="str">
        <x:v>P022</x:v>
      </x:c>
      <x:c r="K487" s="6" t="str">
        <x:v>品牌/建设关联资料</x:v>
      </x:c>
      <x:c r="L487" s="6" t="str">
        <x:v>不计集团直接中标、采购支出或收入</x:v>
      </x:c>
    </x:row>
    <x:row r="488" ht="40" customHeight="1">
      <x:c r="A488" s="6" t="str">
        <x:v>R0397</x:v>
      </x:c>
      <x:c r="B488" s="6" t="str">
        <x:v>项目或设备</x:v>
      </x:c>
      <x:c r="C488" s="17" t="n">
        <x:v>1</x:v>
      </x:c>
      <x:c r="D488" s="6" t="str">
        <x:v>上海新仪（品牌）</x:v>
      </x:c>
      <x:c r="E488" s="6" t="str">
        <x:v>海关总署2025年微波消解仪采购项目中标公告</x:v>
      </x:c>
      <x:c r="F488" s="6" t="str">
        <x:v>包件2 中国科学器材有限公司 中标金额3,130,000.00元；上海新仪TANK40配置1-4数量5、15、8、2，单价83800、97800、116800、154800元</x:v>
      </x:c>
      <x:c r="G488" s="6" t="str">
        <x:v>元</x:v>
      </x:c>
      <x:c r="H488" s="20" t="d">
        <x:v>2025-12-27T00:00:00.000Z</x:v>
      </x:c>
      <x:c r="I488" s="6" t="str">
        <x:v>中标供应商：中国科学器材有限公司；包件2 中国科学器材有限公司 中标金额3,130,000.00元；上海新仪TANK40配置1-4数量5、15、8、2，单价83800、97800、116800、154800元</x:v>
      </x:c>
      <x:c r="J488" s="6" t="str">
        <x:v>P023</x:v>
      </x:c>
      <x:c r="K488" s="6" t="str">
        <x:v>品牌/建设关联资料</x:v>
      </x:c>
      <x:c r="L488" s="6" t="str">
        <x:v>不计集团直接中标、采购支出或收入</x:v>
      </x:c>
    </x:row>
    <x:row r="489" ht="34" customHeight="1">
      <x:c r="A489" s="6" t="str">
        <x:v>R0398</x:v>
      </x:c>
      <x:c r="B489" s="6" t="str">
        <x:v>项目或设备</x:v>
      </x:c>
      <x:c r="C489" s="17" t="n">
        <x:v>1</x:v>
      </x:c>
      <x:c r="D489" s="6" t="str">
        <x:v>海能未来（品牌）</x:v>
      </x:c>
      <x:c r="E489" s="6" t="str">
        <x:v>【独山环能分析仪器配件及耗材】结果公告-必联网</x:v>
      </x:c>
      <x:c r="F489" s="6" t="str"/>
      <x:c r="G489" s="6" t="str"/>
      <x:c r="H489" s="20" t="d">
        <x:v>2026-05-25T00:00:00.000Z</x:v>
      </x:c>
      <x:c r="I489" s="6" t="str">
        <x:v>全自动电位滴定仪配件：海能未来，带原厂合格证明；采购执行单位浙江天虹物资贸易有限公司。</x:v>
      </x:c>
      <x:c r="J489" s="6" t="str">
        <x:v>P003</x:v>
      </x:c>
      <x:c r="K489" s="6" t="str">
        <x:v>品牌/建设关联资料</x:v>
      </x:c>
      <x:c r="L489" s="6" t="str">
        <x:v>不计集团直接中标、采购支出或收入</x:v>
      </x:c>
    </x:row>
    <x:row r="490" ht="34" customHeight="1">
      <x:c r="A490" s="6" t="str">
        <x:v>R0399</x:v>
      </x:c>
      <x:c r="B490" s="6" t="str">
        <x:v>项目或设备</x:v>
      </x:c>
      <x:c r="C490" s="17" t="n">
        <x:v>1</x:v>
      </x:c>
      <x:c r="D490" s="6" t="str">
        <x:v>海能未来（品牌）</x:v>
      </x:c>
      <x:c r="E490" s="6" t="str">
        <x:v>【独山环能分析仪器配件及耗材】采购公告-必联网</x:v>
      </x:c>
      <x:c r="F490" s="6" t="str"/>
      <x:c r="G490" s="6" t="str"/>
      <x:c r="H490" s="20" t="d">
        <x:v>2026-05-12T00:00:00.000Z</x:v>
      </x:c>
      <x:c r="I490" s="6" t="str">
        <x:v>全自动电位滴定仪配件：海能未来，带原厂合格证明；采购执行单位浙江天虹物资贸易有限公司。</x:v>
      </x:c>
      <x:c r="J490" s="6" t="str">
        <x:v>P004</x:v>
      </x:c>
      <x:c r="K490" s="6" t="str">
        <x:v>品牌/建设关联资料</x:v>
      </x:c>
      <x:c r="L490" s="6" t="str">
        <x:v>不计集团直接中标、采购支出或收入</x:v>
      </x:c>
    </x:row>
    <x:row r="491" ht="72" customHeight="1">
      <x:c r="A491" s="6" t="str">
        <x:v>R0400</x:v>
      </x:c>
      <x:c r="B491" s="6" t="str">
        <x:v>项目或设备</x:v>
      </x:c>
      <x:c r="C491" s="17" t="n">
        <x:v>1</x:v>
      </x:c>
      <x:c r="D491" s="6" t="str">
        <x:v>海能未来（品牌）</x:v>
      </x:c>
      <x:c r="E491" s="6" t="str">
        <x:v>公告代码：0413010020251021017采购方式：公开招标项目名称：石家庄学院2025年教学科研设备采购项目联系人：刘若愚联系方式:0311-83086953代理机构：河北省成套招标有限公司行政区划名称：，必联网中国领先的采购与招标电子商务网站!"&gt;</x:v>
      </x:c>
      <x:c r="F491" s="6" t="str"/>
      <x:c r="G491" s="6" t="str"/>
      <x:c r="H491" s="20" t="d">
        <x:v>2025-10-21T00:00:00.000Z</x:v>
      </x:c>
      <x:c r="I491" s="6" t="str">
        <x:v>供应商河北培安生物科技有限公司；全自动凯氏定氮仪套装等；海能未来等；页面公开meta：项目联系人刘若愚联系方式0311-83086953。</x:v>
      </x:c>
      <x:c r="J491" s="6" t="str">
        <x:v>P005</x:v>
      </x:c>
      <x:c r="K491" s="6" t="str">
        <x:v>品牌/建设关联资料</x:v>
      </x:c>
      <x:c r="L491" s="6" t="str">
        <x:v>不计集团直接中标、采购支出或收入</x:v>
      </x:c>
    </x:row>
    <x:row r="492" ht="34" customHeight="1">
      <x:c r="A492" s="6" t="str">
        <x:v>R0401</x:v>
      </x:c>
      <x:c r="B492" s="6" t="str">
        <x:v>项目或设备</x:v>
      </x:c>
      <x:c r="C492" s="17" t="n">
        <x:v>1</x:v>
      </x:c>
      <x:c r="D492" s="6" t="str">
        <x:v>上海新仪微波化学科技仪器有限公司</x:v>
      </x:c>
      <x:c r="E492" s="6" t="str">
        <x:v>[HF20262621]超级微波消解仪采购项目成交公告-必联网</x:v>
      </x:c>
      <x:c r="F492" s="6" t="str"/>
      <x:c r="G492" s="6" t="str"/>
      <x:c r="H492" s="20" t="d">
        <x:v>2026-09-21T00:00:00.000Z</x:v>
      </x:c>
      <x:c r="I492" s="6" t="str">
        <x:v>成交供应商武汉普兰德生物技术有限公司；超级微波消解仪；上海新仪；制造商上海新仪微波化学科技仪器有限公司；产地山东。</x:v>
      </x:c>
      <x:c r="J492" s="6" t="str">
        <x:v>P006</x:v>
      </x:c>
      <x:c r="K492" s="6" t="str">
        <x:v>品牌/建设关联资料</x:v>
      </x:c>
      <x:c r="L492" s="6" t="str">
        <x:v>不计集团直接中标、采购支出或收入</x:v>
      </x:c>
    </x:row>
  </x:sheetData>
  <x:pageMargins left="0.7" right="0.7" top="0.75" bottom="0.75" header="0.3" footer="0.3"/>
  <x:tableParts count="1">
    <x:tablePart xmlns:r="http://schemas.openxmlformats.org/officeDocument/2006/relationships" r:id="Rbfd4c58d0c254249"/>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7" hidden="0" customWidth="1"/>
    <x:col min="2" max="2" width="45" hidden="0" customWidth="1"/>
    <x:col min="3" max="3" width="85" hidden="0" customWidth="1"/>
    <x:col min="4" max="4" width="17" hidden="0" customWidth="1"/>
    <x:col min="5" max="5" width="18" hidden="0" customWidth="1"/>
    <x:col min="6" max="6" width="20" hidden="0" customWidth="1"/>
    <x:col min="7" max="7" width="18" hidden="0" customWidth="1"/>
    <x:col min="8" max="8" width="86" hidden="0" customWidth="1"/>
    <x:col min="9" max="9" width="110" hidden="0" customWidth="1"/>
  </x:cols>
  <x:sheetData>
    <x:row r="2" ht="28" customHeight="1">
      <x:c r="A2" s="2" t="str">
        <x:v>指定平台覆盖与原始来源索引</x:v>
      </x:c>
      <x:c r="B2" s="2"/>
      <x:c r="C2" s="2"/>
      <x:c r="D2" s="2"/>
      <x:c r="E2" s="2"/>
      <x:c r="F2" s="2"/>
      <x:c r="G2" s="2"/>
      <x:c r="H2" s="2"/>
      <x:c r="I2" s="2"/>
    </x:row>
    <x:row r="3" ht="24" customHeight="1">
      <x:c r="A3" s="3" t="str">
        <x:v>搜索服务限流后仅用已知官网和公开站内检索；无数据不等于全站没有。</x:v>
      </x:c>
      <x:c r="B3" s="3"/>
      <x:c r="C3" s="3"/>
      <x:c r="D3" s="3"/>
      <x:c r="E3" s="3"/>
      <x:c r="F3" s="3"/>
      <x:c r="G3" s="3"/>
      <x:c r="H3" s="3"/>
      <x:c r="I3" s="3"/>
    </x:row>
    <x:row r="5" ht="38" customHeight="1">
      <x:c r="A5" s="12" t="str">
        <x:v>平台</x:v>
      </x:c>
      <x:c r="B5" s="13" t="str">
        <x:v>域名</x:v>
      </x:c>
      <x:c r="C5" s="13" t="str">
        <x:v>本轮核查结果</x:v>
      </x:c>
      <x:c r="D5" s="13" t="str">
        <x:v>采用来源数</x:v>
      </x:c>
      <x:c r="E5" s="13" t="str">
        <x:v>核验字段数</x:v>
      </x:c>
      <x:c r="F5" s="13" t="str">
        <x:v>关联项目明细</x:v>
      </x:c>
      <x:c r="G5" s="13" t="str">
        <x:v>待核字段</x:v>
      </x:c>
      <x:c r="H5" s="13" t="str">
        <x:v>读取与检索方式</x:v>
      </x:c>
      <x:c r="I5" s="14" t="str">
        <x:v>覆盖限制</x:v>
      </x:c>
    </x:row>
    <x:row r="6" ht="34" customHeight="1">
      <x:c r="A6" s="6" t="str">
        <x:v>企业官网正式披露</x:v>
      </x:c>
      <x:c r="B6" s="6" t="str">
        <x:v>hanon.cc</x:v>
      </x:c>
      <x:c r="C6" s="6" t="str">
        <x:v>已读取官网原始报告</x:v>
      </x:c>
      <x:c r="D6" s="17" t="n">
        <x:v>21</x:v>
      </x:c>
      <x:c r="E6" s="17" t="n">
        <x:v>369</x:v>
      </x:c>
      <x:c r="F6" s="17" t="n">
        <x:v>1</x:v>
      </x:c>
      <x:c r="G6" s="17" t="n">
        <x:v>11</x:v>
      </x:c>
      <x:c r="H6" s="6" t="str">
        <x:v>配置fetch读取已知URL；官网公告原始链接下载；pypdf逐页提取</x:v>
      </x:c>
      <x:c r="I6" s="6" t="str">
        <x:v>未调用搜索；未浏览器；未登录；年报曾用名未找到可靠原文，未填充。</x:v>
      </x:c>
    </x:row>
    <x:row r="7" ht="40" customHeight="1">
      <x:c r="A7" s="6" t="str">
        <x:v>企业官网</x:v>
      </x:c>
      <x:c r="B7" s="6" t="str">
        <x:v>hanon.cc</x:v>
      </x:c>
      <x:c r="C7" s="6" t="str">
        <x:v>已读取20个不同页面（其中首页及新闻列表另读HTML提取实际href）</x:v>
      </x:c>
      <x:c r="D7" s="17" t="n">
        <x:v>21</x:v>
      </x:c>
      <x:c r="E7" s="17" t="n">
        <x:v>369</x:v>
      </x:c>
      <x:c r="F7" s="17" t="n">
        <x:v>1</x:v>
      </x:c>
      <x:c r="G7" s="17" t="n">
        <x:v>11</x:v>
      </x:c>
      <x:c r="H7" s="6" t="str">
        <x:v>已配置fetch MCP读取已知URL及首页真实href；无搜索、无浏览器、无登录</x:v>
      </x:c>
      <x:c r="I7" s="6" t="str">
        <x:v>Exa一般搜索已限流，未调用搜索且未切换搜索引擎；静态页未披露发布日期；未独立核验证书图片或工商股权；上海基地建设需求需要公告附件补证</x:v>
      </x:c>
    </x:row>
    <x:row r="8" ht="56" customHeight="1">
      <x:c r="A8" s="6" t="str">
        <x:v>千里马招标网</x:v>
      </x:c>
      <x:c r="B8" s="6" t="str">
        <x:v>qianlima.com</x:v>
      </x:c>
      <x:c r="C8" s="6" t="str">
        <x:v>公开入口已核查；目标已验证记录0；检索正文不可读</x:v>
      </x:c>
      <x:c r="D8" s="17" t="n">
        <x:v>0</x:v>
      </x:c>
      <x:c r="E8" s="17" t="n">
        <x:v>0</x:v>
      </x:c>
      <x:c r="F8" s="17" t="n">
        <x:v>0</x:v>
      </x:c>
      <x:c r="G8" s="17" t="n">
        <x:v>0</x:v>
      </x:c>
      <x:c r="H8" s="6" t="str">
        <x:v>从首页实际GET form action=https://search.qianlima.com/、name=q构建目标全称检索，fetch读HTML，再用已配置web_fetch_exa读取同一URL。</x:v>
      </x:c>
      <x:c r="I8" s="6" t="str">
        <x:v>首页前230000字符已读取（较长HTML截断），搜索返回React动态应用外壳和加载中，web_fetch_exa报unknown error。没有执行隐藏API、登录或浏览器。无法覆盖2025-10-08至2026-10-08全窗口，0为已验证条数，不能解释成全站无结果。</x:v>
      </x:c>
    </x:row>
    <x:row r="9" ht="56" customHeight="1">
      <x:c r="A9" s="6" t="str">
        <x:v>乙方宝</x:v>
      </x:c>
      <x:c r="B9" s="6" t="str">
        <x:v>yfbzb.com</x:v>
      </x:c>
      <x:c r="C9" s="6" t="str">
        <x:v>3次公开站内检索和3个公告公开摘录已读取；目标已验证记录0</x:v>
      </x:c>
      <x:c r="D9" s="17" t="n">
        <x:v>0</x:v>
      </x:c>
      <x:c r="E9" s="17" t="n">
        <x:v>0</x:v>
      </x:c>
      <x:c r="F9" s="17" t="n">
        <x:v>0</x:v>
      </x:c>
      <x:c r="G9" s="17" t="n">
        <x:v>0</x:v>
      </x:c>
      <x:c r="H9" s="6" t="str">
        <x:v>首页公开href/data-url与keyword参数已核验。搜索目标全称及股份公司旧名招标；海能简称中标。</x:v>
      </x:c>
      <x:c r="I9" s="6" t="str">
        <x:v>默认近1个月、标题智能检索，新旧全称页提示没有找到；海能中标列表21条，主要为同形品牌/企业/工程项目名。仅3条较可疑记录公开正文深入核查，其余18条只读列表不当全文。商业详情字段被会员遮挡，未登录/未付费。尚未覆盖一年窗口或全文搜索，不得称全站无目标结果。采购平台支持电话均未提取为目标联系人。</x:v>
      </x:c>
    </x:row>
    <x:row r="10" ht="56" customHeight="1">
      <x:c r="A10" s="6" t="str">
        <x:v>剑鱼标讯</x:v>
      </x:c>
      <x:c r="B10" s="6" t="str">
        <x:v>jianyu360.cn</x:v>
      </x:c>
      <x:c r="C10" s="6" t="str">
        <x:v>3次公开站内入口尝试；目标已验证记录0</x:v>
      </x:c>
      <x:c r="D10" s="17" t="n">
        <x:v>0</x:v>
      </x:c>
      <x:c r="E10" s="17" t="n">
        <x:v>0</x:v>
      </x:c>
      <x:c r="F10" s="17" t="n">
        <x:v>0</x:v>
      </x:c>
      <x:c r="G10" s="17" t="n">
        <x:v>0</x:v>
      </x:c>
      <x:c r="H10" s="6" t="str">
        <x:v>依据首页实际href读取企业数据库目标查询，以及数据超市公开GET表单检索新旧公司全称。</x:v>
      </x:c>
      <x:c r="I10" s="6" t="str">
        <x:v>企业数据库返回qiankun动态应用外壳/登录组件，无企业资料；数据超市新旧名称均list=[]/暂无数据，但这是数据商品检索，不能当招投标公告完整搜索。无API密钥，未调用付费API/隐藏API；未绕验证码、未浏览器、未登录。0为已验证条数而非全站无记录。</x:v>
      </x:c>
    </x:row>
    <x:row r="11" ht="40" customHeight="1">
      <x:c r="A11" s="6" t="str">
        <x:v>采购与招标网（元博网）</x:v>
      </x:c>
      <x:c r="B11" s="6" t="str">
        <x:v>chinabidding.cn</x:v>
      </x:c>
      <x:c r="C11" s="6" t="str">
        <x:v>首页2种读取方式核查；目标已验证记录0；未完成公司检索</x:v>
      </x:c>
      <x:c r="D11" s="17" t="n">
        <x:v>0</x:v>
      </x:c>
      <x:c r="E11" s="17" t="n">
        <x:v>0</x:v>
      </x:c>
      <x:c r="F11" s="17" t="n">
        <x:v>0</x:v>
      </x:c>
      <x:c r="G11" s="17" t="n">
        <x:v>0</x:v>
      </x:c>
      <x:c r="H11" s="6" t="str">
        <x:v>已知首页由fetch raw读取，405；已配置web_fetch_exa读取同一首页获得正文。</x:v>
      </x:c>
      <x:c r="I11" s="6" t="str">
        <x:v>fetch返回405；web_fetch_exa能读首页，但未提供实际公司检索href/form参数，未猜搜索URL/隐藏API。只核查首页服务描述，没有海能企业或公告正文，不能称已完成平台公司搜索或全站无结果。</x:v>
      </x:c>
    </x:row>
    <x:row r="12" ht="40" customHeight="1">
      <x:c r="A12" s="6" t="str">
        <x:v>中国政府采购网</x:v>
      </x:c>
      <x:c r="B12" s="6" t="str">
        <x:v>www.ccgp.gov.cn; search.ccgp.gov.cn</x:v>
      </x:c>
      <x:c r="C12" s="6" t="str">
        <x:v>已执行窗口内真实站内全文查询并核验13篇官方公告正文</x:v>
      </x:c>
      <x:c r="D12" s="17" t="n">
        <x:v>13</x:v>
      </x:c>
      <x:c r="E12" s="17" t="n">
        <x:v>0</x:v>
      </x:c>
      <x:c r="F12" s="17" t="n">
        <x:v>15</x:v>
      </x:c>
      <x:c r="G12" s="17" t="n">
        <x:v>0</x:v>
      </x:c>
      <x:c r="H12" s="6" t="str">
        <x:v>官网真实GET表单bxsearch；读取官方JS核验timeType=6和YYYY:MM:DD格式；关键词海能、海能未来、山东海能、悟空仪器、上海新仪。</x:v>
      </x:c>
      <x:c r="I12" s="6" t="str">
        <x:v>只读五个关键词第一结果页，非完整遍历；海能达/海能博/山东海能物业等同名近似已排除。所有本轮结果为品牌/制造商列名而经销商中标，未证实集团直接中标。</x:v>
      </x:c>
    </x:row>
    <x:row r="13" ht="40" customHeight="1">
      <x:c r="A13" s="6" t="str">
        <x:v>全国公共资源交易平台</x:v>
      </x:c>
      <x:c r="B13" s="6" t="str">
        <x:v>www.ggzy.gov.cn</x:v>
      </x:c>
      <x:c r="C13" s="6" t="str">
        <x:v>官网可读，目标站内查询未完成</x:v>
      </x:c>
      <x:c r="D13" s="17" t="n">
        <x:v>0</x:v>
      </x:c>
      <x:c r="E13" s="17" t="n">
        <x:v>0</x:v>
      </x:c>
      <x:c r="F13" s="17" t="n">
        <x:v>0</x:v>
      </x:c>
      <x:c r="G13" s="17" t="n">
        <x:v>0</x:v>
      </x:c>
      <x:c r="H13" s="6" t="str">
        <x:v>官网真实交易查询链接/deal/dealList.html；fetch静态JS及查询页遇robots连接问题，Exa同已知查询页一次合法读取。</x:v>
      </x:c>
      <x:c r="I13" s="6" t="str">
        <x:v>查询页为动态Vue模板占位，无法确认实际目标搜索结果，不宣称无海能公告。</x:v>
      </x:c>
    </x:row>
    <x:row r="14" ht="34" customHeight="1">
      <x:c r="A14" s="6" t="str">
        <x:v>中国招标投标公共服务平台</x:v>
      </x:c>
      <x:c r="B14" s="6" t="str">
        <x:v>www.cebpubservice.com</x:v>
      </x:c>
      <x:c r="C14" s="6" t="str">
        <x:v>访问受限，未检索完成</x:v>
      </x:c>
      <x:c r="D14" s="17" t="n">
        <x:v>0</x:v>
      </x:c>
      <x:c r="E14" s="17" t="n">
        <x:v>0</x:v>
      </x:c>
      <x:c r="F14" s="17" t="n">
        <x:v>0</x:v>
      </x:c>
      <x:c r="G14" s="17" t="n">
        <x:v>0</x:v>
      </x:c>
      <x:c r="H14" s="6" t="str">
        <x:v>已知官网fetch；已配置Exa同URL一次合法读取。</x:v>
      </x:c>
      <x:c r="I14" s="6" t="str">
        <x:v>robots Disallow:/；Exa返回CRAWL_HTTP_405。没有浏览器/登录/绕过。</x:v>
      </x:c>
    </x:row>
    <x:row r="15" ht="56" customHeight="1">
      <x:c r="A15" s="6" t="str">
        <x:v>必联网</x:v>
      </x:c>
      <x:c r="B15" s="6" t="str">
        <x:v>www.ebnew.com; ss.ebnew.com</x:v>
      </x:c>
      <x:c r="C15" s="6" t="str">
        <x:v>已核验公开企业库、站内结果和9篇公开公告正文</x:v>
      </x:c>
      <x:c r="D15" s="17" t="n">
        <x:v>5</x:v>
      </x:c>
      <x:c r="E15" s="17" t="n">
        <x:v>0</x:v>
      </x:c>
      <x:c r="F15" s="17" t="n">
        <x:v>4</x:v>
      </x:c>
      <x:c r="G15" s="17" t="n">
        <x:v>1</x:v>
      </x:c>
      <x:c r="H15" s="6" t="str">
        <x:v>官网HTML真实form：tradingSearch/index.htm?key=、companySearch/index.htm?key=；关键词海能、海能技术、山东海能、海能未来、海能仪器、海能基石、悟空仪器、上海新仪。</x:v>
      </x:c>
      <x:c r="I15" s="6" t="str">
        <x:v>公告日期/企业名/品牌公开，数字、项目编号、电话多为星号；已在中国政府采购网找到五篇对应原文核验，重复公告不能累计。</x:v>
      </x:c>
    </x:row>
    <x:row r="16" ht="56" customHeight="1">
      <x:c r="A16" s="6" t="str">
        <x:v>中国国际招标网（商业/商务部双域）</x:v>
      </x:c>
      <x:c r="B16" s="6" t="str">
        <x:v>www.chinabidding.com; chinabidding.mofcom.gov.cn</x:v>
      </x:c>
      <x:c r="C16" s="6" t="str">
        <x:v>双域首页可由已配置内容工具读取；目标检索未完成</x:v>
      </x:c>
      <x:c r="D16" s="17" t="n">
        <x:v>0</x:v>
      </x:c>
      <x:c r="E16" s="17" t="n">
        <x:v>0</x:v>
      </x:c>
      <x:c r="F16" s="17" t="n">
        <x:v>0</x:v>
      </x:c>
      <x:c r="G16" s="17" t="n">
        <x:v>0</x:v>
      </x:c>
      <x:c r="H16" s="6" t="str">
        <x:v>已知两官网fetch失败后Exa同URL合法读取一次。</x:v>
      </x:c>
      <x:c r="I16" s="6" t="str">
        <x:v>商业域fetch 521，商务部robots连接失败；内容正文未保留可用目标站内查询href/form，未得目标公告。双域按同一指定平台记录，不额外计独立平台。</x:v>
      </x:c>
    </x:row>
    <x:row r="19">
      <x:c r="A19" s="21" t="str">
        <x:v>原始来源索引</x:v>
      </x:c>
    </x:row>
    <x:row r="20" ht="38" customHeight="1">
      <x:c r="A20" s="22" t="str">
        <x:v>来源编号</x:v>
      </x:c>
      <x:c r="B20" s="22" t="str">
        <x:v>平台</x:v>
      </x:c>
      <x:c r="C20" s="22" t="str">
        <x:v>标题</x:v>
      </x:c>
      <x:c r="D20" s="22" t="str">
        <x:v>发布日期</x:v>
      </x:c>
      <x:c r="E20" s="22" t="str">
        <x:v>证据类型</x:v>
      </x:c>
      <x:c r="F20" s="22" t="str">
        <x:v>使用情况</x:v>
      </x:c>
      <x:c r="G20" s="22" t="str">
        <x:v>原始URL</x:v>
      </x:c>
    </x:row>
    <x:row r="21" ht="74" customHeight="1">
      <x:c r="A21" s="6" t="str">
        <x:v>F001</x:v>
      </x:c>
      <x:c r="B21" s="6" t="str">
        <x:v>企业官网</x:v>
      </x:c>
      <x:c r="C21" s="6" t="str">
        <x:v>2026年半年度报告</x:v>
      </x:c>
      <x:c r="D21" s="20" t="d">
        <x:v>2026-08-17T00:00:00.000Z</x:v>
      </x:c>
      <x:c r="E21" s="6" t="str">
        <x:v>公司正式定期报告</x:v>
      </x:c>
      <x:c r="F21" s="6" t="str">
        <x:v>采用或待核资料</x:v>
      </x:c>
      <x:c r="G21" s="6" t="str">
        <x:v>https://www.hanon.cc/uploads/image/20260818/1787022190.pdf</x:v>
      </x:c>
    </x:row>
    <x:row r="22" ht="74" customHeight="1">
      <x:c r="A22" s="6" t="str">
        <x:v>F002</x:v>
      </x:c>
      <x:c r="B22" s="6" t="str">
        <x:v>企业官网</x:v>
      </x:c>
      <x:c r="C22" s="6" t="str">
        <x:v>2025年年度报告</x:v>
      </x:c>
      <x:c r="D22" s="20" t="d">
        <x:v>2026-03-16T00:00:00.000Z</x:v>
      </x:c>
      <x:c r="E22" s="6" t="str">
        <x:v>公司正式定期报告</x:v>
      </x:c>
      <x:c r="F22" s="6" t="str">
        <x:v>采用或待核资料</x:v>
      </x:c>
      <x:c r="G22" s="6" t="str">
        <x:v>https://www.hanon.cc/uploads/image/20260317/1773731035.pdf</x:v>
      </x:c>
    </x:row>
    <x:row r="23" ht="74" customHeight="1">
      <x:c r="A23" s="6" t="str">
        <x:v>F003</x:v>
      </x:c>
      <x:c r="B23" s="6" t="str">
        <x:v>企业官网</x:v>
      </x:c>
      <x:c r="C23" s="6" t="str">
        <x:v>定期公告列表</x:v>
      </x:c>
      <x:c r="D23" s="20"/>
      <x:c r="E23" s="6" t="str">
        <x:v>官网原始公告目录</x:v>
      </x:c>
      <x:c r="F23" s="6" t="str">
        <x:v>仅访问/排除</x:v>
      </x:c>
      <x:c r="G23" s="6" t="str">
        <x:v>https://www.hanon.cc/touzi/dqgg</x:v>
      </x:c>
    </x:row>
    <x:row r="24" ht="74" customHeight="1">
      <x:c r="A24" s="6" t="str">
        <x:v>F004</x:v>
      </x:c>
      <x:c r="B24" s="6" t="str">
        <x:v>企业官网</x:v>
      </x:c>
      <x:c r="C24" s="6" t="str">
        <x:v>2026年一季度报告</x:v>
      </x:c>
      <x:c r="D24" s="20" t="d">
        <x:v>2026-04-27T00:00:00.000Z</x:v>
      </x:c>
      <x:c r="E24" s="6" t="str">
        <x:v>公司正式定期报告</x:v>
      </x:c>
      <x:c r="F24" s="6" t="str">
        <x:v>采用或待核资料</x:v>
      </x:c>
      <x:c r="G24" s="6" t="str">
        <x:v>https://www.hanon.cc/uploads/image/20260428/1777345854.pdf</x:v>
      </x:c>
    </x:row>
    <x:row r="25" ht="74" customHeight="1">
      <x:c r="A25" s="6" t="str">
        <x:v>F005</x:v>
      </x:c>
      <x:c r="B25" s="6" t="str">
        <x:v>企业官网</x:v>
      </x:c>
      <x:c r="C25" s="6" t="str">
        <x:v>2025年第三季度报告</x:v>
      </x:c>
      <x:c r="D25" s="20" t="d">
        <x:v>2025-10-27T00:00:00.000Z</x:v>
      </x:c>
      <x:c r="E25" s="6" t="str">
        <x:v>公司正式定期报告</x:v>
      </x:c>
      <x:c r="F25" s="6" t="str">
        <x:v>采用或待核资料</x:v>
      </x:c>
      <x:c r="G25" s="6" t="str">
        <x:v>https://www.hanon.cc/uploads/image/20251027/1761555887.pdf</x:v>
      </x:c>
    </x:row>
    <x:row r="26" ht="74" customHeight="1">
      <x:c r="A26" s="6" t="str">
        <x:v>W001</x:v>
      </x:c>
      <x:c r="B26" s="6" t="str">
        <x:v>企业官网</x:v>
      </x:c>
      <x:c r="C26" s="6" t="str">
        <x:v>海能技术官网</x:v>
      </x:c>
      <x:c r="D26" s="20"/>
      <x:c r="E26" s="6" t="str">
        <x:v>官网静态页</x:v>
      </x:c>
      <x:c r="F26" s="6" t="str">
        <x:v>采用或待核资料</x:v>
      </x:c>
      <x:c r="G26" s="6" t="str">
        <x:v>https://www.hanon.cc/</x:v>
      </x:c>
    </x:row>
    <x:row r="27" ht="74" customHeight="1">
      <x:c r="A27" s="6" t="str">
        <x:v>W002</x:v>
      </x:c>
      <x:c r="B27" s="6" t="str">
        <x:v>企业官网</x:v>
      </x:c>
      <x:c r="C27" s="6" t="str">
        <x:v>公司公告</x:v>
      </x:c>
      <x:c r="D27" s="20"/>
      <x:c r="E27" s="6" t="str">
        <x:v>官网列表</x:v>
      </x:c>
      <x:c r="F27" s="6" t="str">
        <x:v>仅访问/排除</x:v>
      </x:c>
      <x:c r="G27" s="6" t="str">
        <x:v>https://www.hanon.cc/touzi_gg-3.html</x:v>
      </x:c>
    </x:row>
    <x:row r="28" ht="74" customHeight="1">
      <x:c r="A28" s="6" t="str">
        <x:v>W003</x:v>
      </x:c>
      <x:c r="B28" s="6" t="str">
        <x:v>企业官网</x:v>
      </x:c>
      <x:c r="C28" s="6" t="str">
        <x:v>公司简介</x:v>
      </x:c>
      <x:c r="D28" s="20"/>
      <x:c r="E28" s="6" t="str">
        <x:v>官网静态页</x:v>
      </x:c>
      <x:c r="F28" s="6" t="str">
        <x:v>采用或待核资料</x:v>
      </x:c>
      <x:c r="G28" s="6" t="str">
        <x:v>https://www.hanon.cc/about/gsjj</x:v>
      </x:c>
    </x:row>
    <x:row r="29" ht="74" customHeight="1">
      <x:c r="A29" s="6" t="str">
        <x:v>W004</x:v>
      </x:c>
      <x:c r="B29" s="6" t="str">
        <x:v>企业官网</x:v>
      </x:c>
      <x:c r="C29" s="6" t="str">
        <x:v>联系方式</x:v>
      </x:c>
      <x:c r="D29" s="20"/>
      <x:c r="E29" s="6" t="str">
        <x:v>官网静态页</x:v>
      </x:c>
      <x:c r="F29" s="6" t="str">
        <x:v>采用或待核资料</x:v>
      </x:c>
      <x:c r="G29" s="6" t="str">
        <x:v>https://www.hanon.cc/contact</x:v>
      </x:c>
    </x:row>
    <x:row r="30" ht="74" customHeight="1">
      <x:c r="A30" s="6" t="str">
        <x:v>W005</x:v>
      </x:c>
      <x:c r="B30" s="6" t="str">
        <x:v>企业官网</x:v>
      </x:c>
      <x:c r="C30" s="6" t="str">
        <x:v>投资者服务</x:v>
      </x:c>
      <x:c r="D30" s="20"/>
      <x:c r="E30" s="6" t="str">
        <x:v>官网静态页</x:v>
      </x:c>
      <x:c r="F30" s="6" t="str">
        <x:v>采用或待核资料</x:v>
      </x:c>
      <x:c r="G30" s="6" t="str">
        <x:v>https://www.hanon.cc/touzi/tzzfw</x:v>
      </x:c>
    </x:row>
    <x:row r="31" ht="74" customHeight="1">
      <x:c r="A31" s="6" t="str">
        <x:v>W006</x:v>
      </x:c>
      <x:c r="B31" s="6" t="str">
        <x:v>企业官网</x:v>
      </x:c>
      <x:c r="C31" s="6" t="str">
        <x:v>企业资质</x:v>
      </x:c>
      <x:c r="D31" s="20"/>
      <x:c r="E31" s="6" t="str">
        <x:v>官网静态页</x:v>
      </x:c>
      <x:c r="F31" s="6" t="str">
        <x:v>采用或待核资料</x:v>
      </x:c>
      <x:c r="G31" s="6" t="str">
        <x:v>https://www.hanon.cc/about/qyzz</x:v>
      </x:c>
    </x:row>
    <x:row r="32" ht="74" customHeight="1">
      <x:c r="A32" s="6" t="str">
        <x:v>W007</x:v>
      </x:c>
      <x:c r="B32" s="6" t="str">
        <x:v>企业官网</x:v>
      </x:c>
      <x:c r="C32" s="6" t="str">
        <x:v>公司新闻</x:v>
      </x:c>
      <x:c r="D32" s="20"/>
      <x:c r="E32" s="6" t="str">
        <x:v>官网列表</x:v>
      </x:c>
      <x:c r="F32" s="6" t="str">
        <x:v>仅访问/排除</x:v>
      </x:c>
      <x:c r="G32" s="6" t="str">
        <x:v>https://www.hanon.cc/news/gsxw</x:v>
      </x:c>
    </x:row>
    <x:row r="33" ht="74" customHeight="1">
      <x:c r="A33" s="6" t="str">
        <x:v>W008</x:v>
      </x:c>
      <x:c r="B33" s="6" t="str">
        <x:v>企业官网</x:v>
      </x:c>
      <x:c r="C33" s="6" t="str">
        <x:v>定制部件</x:v>
      </x:c>
      <x:c r="D33" s="20"/>
      <x:c r="E33" s="6" t="str">
        <x:v>官网静态页</x:v>
      </x:c>
      <x:c r="F33" s="6" t="str">
        <x:v>仅访问/排除</x:v>
      </x:c>
      <x:c r="G33" s="6" t="str">
        <x:v>https://www.hanon.cc/peijian</x:v>
      </x:c>
    </x:row>
    <x:row r="34" ht="74" customHeight="1">
      <x:c r="A34" s="6" t="str">
        <x:v>W009</x:v>
      </x:c>
      <x:c r="B34" s="6" t="str">
        <x:v>企业官网</x:v>
      </x:c>
      <x:c r="C34" s="6" t="str">
        <x:v>山东海能</x:v>
      </x:c>
      <x:c r="D34" s="20"/>
      <x:c r="E34" s="6" t="str">
        <x:v>官网静态页</x:v>
      </x:c>
      <x:c r="F34" s="6" t="str">
        <x:v>采用或待核资料</x:v>
      </x:c>
      <x:c r="G34" s="6" t="str">
        <x:v>https://www.hanon.cc/konggu/sdin.html</x:v>
      </x:c>
    </x:row>
    <x:row r="35" ht="74" customHeight="1">
      <x:c r="A35" s="6" t="str">
        <x:v>W010</x:v>
      </x:c>
      <x:c r="B35" s="6" t="str">
        <x:v>企业官网</x:v>
      </x:c>
      <x:c r="C35" s="6" t="str">
        <x:v>悟空仪器</x:v>
      </x:c>
      <x:c r="D35" s="20"/>
      <x:c r="E35" s="6" t="str">
        <x:v>官网静态页</x:v>
      </x:c>
      <x:c r="F35" s="6" t="str">
        <x:v>采用或待核资料</x:v>
      </x:c>
      <x:c r="G35" s="6" t="str">
        <x:v>https://www.hanon.cc/konggu/wkyq.html</x:v>
      </x:c>
    </x:row>
    <x:row r="36" ht="74" customHeight="1">
      <x:c r="A36" s="6" t="str">
        <x:v>W011</x:v>
      </x:c>
      <x:c r="B36" s="6" t="str">
        <x:v>企业官网</x:v>
      </x:c>
      <x:c r="C36" s="6" t="str">
        <x:v>德国G.A.S.</x:v>
      </x:c>
      <x:c r="D36" s="20"/>
      <x:c r="E36" s="6" t="str">
        <x:v>官网静态页</x:v>
      </x:c>
      <x:c r="F36" s="6" t="str">
        <x:v>采用或待核资料</x:v>
      </x:c>
      <x:c r="G36" s="6" t="str">
        <x:v>https://www.hanon.cc/konggu/dg_gas0.html</x:v>
      </x:c>
    </x:row>
    <x:row r="37" ht="74" customHeight="1">
      <x:c r="A37" s="6" t="str">
        <x:v>W012</x:v>
      </x:c>
      <x:c r="B37" s="6" t="str">
        <x:v>企业官网</x:v>
      </x:c>
      <x:c r="C37" s="6" t="str">
        <x:v>上海新仪</x:v>
      </x:c>
      <x:c r="D37" s="20"/>
      <x:c r="E37" s="6" t="str">
        <x:v>官网静态页</x:v>
      </x:c>
      <x:c r="F37" s="6" t="str">
        <x:v>采用或待核资料</x:v>
      </x:c>
      <x:c r="G37" s="6" t="str">
        <x:v>https://www.hanon.cc/konggu/siin0.html</x:v>
      </x:c>
    </x:row>
    <x:row r="38" ht="74" customHeight="1">
      <x:c r="A38" s="6" t="str">
        <x:v>W013</x:v>
      </x:c>
      <x:c r="B38" s="6" t="str">
        <x:v>企业官网</x:v>
      </x:c>
      <x:c r="C38" s="6" t="str">
        <x:v>新仪科学</x:v>
      </x:c>
      <x:c r="D38" s="20"/>
      <x:c r="E38" s="6" t="str">
        <x:v>官网静态页</x:v>
      </x:c>
      <x:c r="F38" s="6" t="str">
        <x:v>采用或待核资料</x:v>
      </x:c>
      <x:c r="G38" s="6" t="str">
        <x:v>https://www.hanon.cc/konggu/szxy.html</x:v>
      </x:c>
    </x:row>
    <x:row r="39" ht="74" customHeight="1">
      <x:c r="A39" s="6" t="str">
        <x:v>W014</x:v>
      </x:c>
      <x:c r="B39" s="6" t="str">
        <x:v>企业官网</x:v>
      </x:c>
      <x:c r="C39" s="6" t="str">
        <x:v>海森仪器</x:v>
      </x:c>
      <x:c r="D39" s="20"/>
      <x:c r="E39" s="6" t="str">
        <x:v>官网静态页</x:v>
      </x:c>
      <x:c r="F39" s="6" t="str">
        <x:v>采用或待核资料</x:v>
      </x:c>
      <x:c r="G39" s="6" t="str">
        <x:v>https://www.hanon.cc/konggu/isyq.html</x:v>
      </x:c>
    </x:row>
    <x:row r="40" ht="74" customHeight="1">
      <x:c r="A40" s="6" t="str">
        <x:v>W015</x:v>
      </x:c>
      <x:c r="B40" s="6" t="str">
        <x:v>企业官网</x:v>
      </x:c>
      <x:c r="C40" s="6" t="str">
        <x:v>白小白</x:v>
      </x:c>
      <x:c r="D40" s="20"/>
      <x:c r="E40" s="6" t="str">
        <x:v>官网静态页</x:v>
      </x:c>
      <x:c r="F40" s="6" t="str">
        <x:v>采用或待核资料</x:v>
      </x:c>
      <x:c r="G40" s="6" t="str">
        <x:v>https://www.hanon.cc/konggu/gsyl.html</x:v>
      </x:c>
    </x:row>
    <x:row r="41" ht="74" customHeight="1">
      <x:c r="A41" s="6" t="str">
        <x:v>W016</x:v>
      </x:c>
      <x:c r="B41" s="6" t="str">
        <x:v>企业官网</x:v>
      </x:c>
      <x:c r="C41" s="6" t="str">
        <x:v>武汉海能</x:v>
      </x:c>
      <x:c r="D41" s="20"/>
      <x:c r="E41" s="6" t="str">
        <x:v>官网静态页</x:v>
      </x:c>
      <x:c r="F41" s="6" t="str">
        <x:v>采用或待核资料</x:v>
      </x:c>
      <x:c r="G41" s="6" t="str">
        <x:v>https://www.hanon.cc/konggu/cdin0.html</x:v>
      </x:c>
    </x:row>
    <x:row r="42" ht="74" customHeight="1">
      <x:c r="A42" s="6" t="str">
        <x:v>W017</x:v>
      </x:c>
      <x:c r="B42" s="6" t="str">
        <x:v>企业官网</x:v>
      </x:c>
      <x:c r="C42" s="6" t="str">
        <x:v>南京海能</x:v>
      </x:c>
      <x:c r="D42" s="20"/>
      <x:c r="E42" s="6" t="str">
        <x:v>官网静态页</x:v>
      </x:c>
      <x:c r="F42" s="6" t="str">
        <x:v>采用或待核资料</x:v>
      </x:c>
      <x:c r="G42" s="6" t="str">
        <x:v>https://www.hanon.cc/konggu/njin.html</x:v>
      </x:c>
    </x:row>
    <x:row r="43" ht="74" customHeight="1">
      <x:c r="A43" s="6" t="str">
        <x:v>W018</x:v>
      </x:c>
      <x:c r="B43" s="6" t="str">
        <x:v>企业官网</x:v>
      </x:c>
      <x:c r="C43" s="6" t="str">
        <x:v>郑州海能</x:v>
      </x:c>
      <x:c r="D43" s="20"/>
      <x:c r="E43" s="6" t="str">
        <x:v>官网静态页</x:v>
      </x:c>
      <x:c r="F43" s="6" t="str">
        <x:v>采用或待核资料</x:v>
      </x:c>
      <x:c r="G43" s="6" t="str">
        <x:v>https://www.hanon.cc/konggu/zzin.html</x:v>
      </x:c>
    </x:row>
    <x:row r="44" ht="74" customHeight="1">
      <x:c r="A44" s="6" t="str">
        <x:v>W019</x:v>
      </x:c>
      <x:c r="B44" s="6" t="str">
        <x:v>企业官网</x:v>
      </x:c>
      <x:c r="C44" s="6" t="str">
        <x:v>同一天,两国,海能技术的亚洲刻度</x:v>
      </x:c>
      <x:c r="D44" s="20" t="d">
        <x:v>2026-09-10T00:00:00.000Z</x:v>
      </x:c>
      <x:c r="E44" s="6" t="str">
        <x:v>官网新闻全文（发布日期来自官网新闻列表）</x:v>
      </x:c>
      <x:c r="F44" s="6" t="str">
        <x:v>采用或待核资料</x:v>
      </x:c>
      <x:c r="G44" s="6" t="str">
        <x:v>https://www.hanon.cc/news/tytlginjsdyzkd.html</x:v>
      </x:c>
    </x:row>
    <x:row r="45" ht="74" customHeight="1">
      <x:c r="A45" s="6" t="str">
        <x:v>W020</x:v>
      </x:c>
      <x:c r="B45" s="6" t="str">
        <x:v>企业官网</x:v>
      </x:c>
      <x:c r="C45" s="6" t="str">
        <x:v>不再为清洗发愁,甘检会解锁洁净实验室全链路解决方案</x:v>
      </x:c>
      <x:c r="D45" s="20" t="d">
        <x:v>2026-07-21T00:00:00.000Z</x:v>
      </x:c>
      <x:c r="E45" s="6" t="str">
        <x:v>官网新闻全文（发布日期来自官网新闻列表）</x:v>
      </x:c>
      <x:c r="F45" s="6" t="str">
        <x:v>采用或待核资料</x:v>
      </x:c>
      <x:c r="G45" s="6" t="str">
        <x:v>https://www.hanon.cc/news/bbgjizcjjsysqlljjfa.html</x:v>
      </x:c>
    </x:row>
    <x:row r="46" ht="74" customHeight="1">
      <x:c r="A46" s="6" t="str">
        <x:v>C001</x:v>
      </x:c>
      <x:c r="B46" s="6" t="str">
        <x:v>千里马招标网</x:v>
      </x:c>
      <x:c r="C46" s="6" t="str">
        <x:v>千里马招标网首页及公开搜索表单</x:v>
      </x:c>
      <x:c r="D46" s="20"/>
      <x:c r="E46" s="6" t="str">
        <x:v>平台首页/搜索入口（HTML已读取但较长页面截断）</x:v>
      </x:c>
      <x:c r="F46" s="6" t="str">
        <x:v>仅访问/排除</x:v>
      </x:c>
      <x:c r="G46" s="6" t="str">
        <x:v>https://www.qianlima.com/</x:v>
      </x:c>
    </x:row>
    <x:row r="47" ht="74" customHeight="1">
      <x:c r="A47" s="6" t="str">
        <x:v>C002</x:v>
      </x:c>
      <x:c r="B47" s="6" t="str">
        <x:v>千里马招标网</x:v>
      </x:c>
      <x:c r="C47" s="6" t="str">
        <x:v>招标信息查询-招标信息平台-千里马招标网</x:v>
      </x:c>
      <x:c r="D47" s="20"/>
      <x:c r="E47" s="6" t="str">
        <x:v>检索页动态应用外壳</x:v>
      </x:c>
      <x:c r="F47" s="6" t="str">
        <x:v>仅访问/排除</x:v>
      </x:c>
      <x:c r="G47" s="6" t="str">
        <x:v>https://search.qianlima.com/?q=%E6%B5%B7%E8%83%BD%E6%9C%AA%E6%9D%A5%E6%8A%80%E6%9C%AF%E9%9B%86%E5%9B%A2%E8%82%A1%E4%BB%BD%E6%9C%89%E9%99%90%E5%85%AC%E5%8F%B8</x:v>
      </x:c>
    </x:row>
    <x:row r="48" ht="74" customHeight="1">
      <x:c r="A48" s="6" t="str">
        <x:v>C003</x:v>
      </x:c>
      <x:c r="B48" s="6" t="str">
        <x:v>乙方宝</x:v>
      </x:c>
      <x:c r="C48" s="6" t="str">
        <x:v>乙方宝首页及公开关键词检索入口</x:v>
      </x:c>
      <x:c r="D48" s="20"/>
      <x:c r="E48" s="6" t="str">
        <x:v>平台首页/搜索入口</x:v>
      </x:c>
      <x:c r="F48" s="6" t="str">
        <x:v>仅访问/排除</x:v>
      </x:c>
      <x:c r="G48" s="6" t="str">
        <x:v>https://www.yfbzb.com/</x:v>
      </x:c>
    </x:row>
    <x:row r="49" ht="74" customHeight="1">
      <x:c r="A49" s="6" t="str">
        <x:v>C004</x:v>
      </x:c>
      <x:c r="B49" s="6" t="str">
        <x:v>乙方宝</x:v>
      </x:c>
      <x:c r="C49" s="6" t="str">
        <x:v>全国招标信息查询｜招标公告 - 乙方宝（目标全称）</x:v>
      </x:c>
      <x:c r="D49" s="20"/>
      <x:c r="E49" s="6" t="str">
        <x:v>公开检索结果页（默认近1个月/标题检索）</x:v>
      </x:c>
      <x:c r="F49" s="6" t="str">
        <x:v>仅访问/排除</x:v>
      </x:c>
      <x:c r="G49" s="6" t="str">
        <x:v>https://www.yfbzb.com/search/invitedBidSearch?defaultSearch=true&amp;keyword=%E6%B5%B7%E8%83%BD%E6%9C%AA%E6%9D%A5%E6%8A%80%E6%9C%AF%E9%9B%86%E5%9B%A2%E8%82%A1%E4%BB%BD%E6%9C%89%E9%99%90%E5%85%AC%E5%8F%B8</x:v>
      </x:c>
    </x:row>
    <x:row r="50" ht="74" customHeight="1">
      <x:c r="A50" s="6" t="str">
        <x:v>C005</x:v>
      </x:c>
      <x:c r="B50" s="6" t="str">
        <x:v>乙方宝</x:v>
      </x:c>
      <x:c r="C50" s="6" t="str">
        <x:v>全国招标信息查询｜招标公告 - 乙方宝（股份公司旧名）</x:v>
      </x:c>
      <x:c r="D50" s="20"/>
      <x:c r="E50" s="6" t="str">
        <x:v>公开检索结果页（默认近1个月/标题检索）</x:v>
      </x:c>
      <x:c r="F50" s="6" t="str">
        <x:v>仅访问/排除</x:v>
      </x:c>
      <x:c r="G50" s="6" t="str">
        <x:v>https://www.yfbzb.com/search/invitedBidSearch?defaultSearch=true&amp;keyword=%E5%B1%B1%E4%B8%9C%E6%B5%B7%E8%83%BD%E7%A7%91%E5%AD%A6%E4%BB%AA%E5%99%A8%E8%82%A1%E4%BB%BD%E6%9C%89%E9%99%90%E5%85%AC%E5%8F%B8</x:v>
      </x:c>
    </x:row>
    <x:row r="51" ht="74" customHeight="1">
      <x:c r="A51" s="6" t="str">
        <x:v>C006</x:v>
      </x:c>
      <x:c r="B51" s="6" t="str">
        <x:v>乙方宝</x:v>
      </x:c>
      <x:c r="C51" s="6" t="str">
        <x:v>全国中标信息查询｜中标公告 - 乙方宝（海能）</x:v>
      </x:c>
      <x:c r="D51" s="20"/>
      <x:c r="E51" s="6" t="str">
        <x:v>公开检索列表，非单条公告全文</x:v>
      </x:c>
      <x:c r="F51" s="6" t="str">
        <x:v>仅访问/排除</x:v>
      </x:c>
      <x:c r="G51" s="6" t="str">
        <x:v>https://www.yfbzb.com/search/winBidSearch?defaultSearch=true&amp;keyword=%E6%B5%B7%E8%83%BD</x:v>
      </x:c>
    </x:row>
    <x:row r="52" ht="74" customHeight="1">
      <x:c r="A52" s="6" t="str">
        <x:v>C007</x:v>
      </x:c>
      <x:c r="B52" s="6" t="str">
        <x:v>乙方宝</x:v>
      </x:c>
      <x:c r="C52" s="6" t="str">
        <x:v>中铁建工集团有限公司海能基石科学仪器智能制造基地项目施工总承包预制构件招标采购中标结果公示</x:v>
      </x:c>
      <x:c r="D52" s="20" t="d">
        <x:v>2026-09-28T00:00:00.000Z</x:v>
      </x:c>
      <x:c r="E52" s="6" t="str">
        <x:v>商业平台公告公开摘录（关键字段会员遮挡）</x:v>
      </x:c>
      <x:c r="F52" s="6" t="str">
        <x:v>仅访问/排除</x:v>
      </x:c>
      <x:c r="G52" s="6" t="str">
        <x:v>https://www.yfbzb.com/winbid/detail/20260928_634931196.html</x:v>
      </x:c>
    </x:row>
    <x:row r="53" ht="74" customHeight="1">
      <x:c r="A53" s="6" t="str">
        <x:v>C008</x:v>
      </x:c>
      <x:c r="B53" s="6" t="str">
        <x:v>剑鱼标讯</x:v>
      </x:c>
      <x:c r="C53" s="6" t="str">
        <x:v>剑鱼标讯首页公开入口</x:v>
      </x:c>
      <x:c r="D53" s="20"/>
      <x:c r="E53" s="6" t="str">
        <x:v>平台首页/搜索入口（HTML已读取但较长页面截断）</x:v>
      </x:c>
      <x:c r="F53" s="6" t="str">
        <x:v>仅访问/排除</x:v>
      </x:c>
      <x:c r="G53" s="6" t="str">
        <x:v>https://www.jianyu360.cn/</x:v>
      </x:c>
    </x:row>
    <x:row r="54" ht="74" customHeight="1">
      <x:c r="A54" s="6" t="str">
        <x:v>C009</x:v>
      </x:c>
      <x:c r="B54" s="6" t="str">
        <x:v>剑鱼标讯</x:v>
      </x:c>
      <x:c r="C54" s="6" t="str">
        <x:v>剑鱼标讯企业数据库入口（目标全称）</x:v>
      </x:c>
      <x:c r="D54" s="20"/>
      <x:c r="E54" s="6" t="str">
        <x:v>动态应用外壳/登录组件</x:v>
      </x:c>
      <x:c r="F54" s="6" t="str">
        <x:v>仅访问/排除</x:v>
      </x:c>
      <x:c r="G54" s="6" t="str">
        <x:v>https://www.jianyu360.cn/jylab/entSearch/index.html?searchvalue=%E6%B5%B7%E8%83%BD%E6%9C%AA%E6%9D%A5%E6%8A%80%E6%9C%AF%E9%9B%86%E5%9B%A2%E8%82%A1%E4%BB%BD%E6%9C%89%E9%99%90%E5%85%AC%E5%8F%B8&amp;searchvalue=%E6%B5%B7%E8%83%BD%E6%9C%AA%E6%9D%A5%E6%8A%80%E6%9C%AF%E9%9B%86%E5%9B%A2%E8%82%A1%E4%BB%BD%E6%9C%89%E9%99%90%E5%85%AC%E5%8F%B8&amp;selectType=title%2Ccontent</x:v>
      </x:c>
    </x:row>
    <x:row r="55" ht="74" customHeight="1">
      <x:c r="A55" s="6" t="str">
        <x:v>C010</x:v>
      </x:c>
      <x:c r="B55" s="6" t="str">
        <x:v>剑鱼标讯</x:v>
      </x:c>
      <x:c r="C55" s="6" t="str">
        <x:v>海能未来技术集团股份有限公司相关搜索结果_数据超市 - 剑鱼标讯</x:v>
      </x:c>
      <x:c r="D55" s="20"/>
      <x:c r="E55" s="6" t="str">
        <x:v>数据商品检索结果，非招标公告数据库完整搜索</x:v>
      </x:c>
      <x:c r="F55" s="6" t="str">
        <x:v>仅访问/排除</x:v>
      </x:c>
      <x:c r="G55" s="6" t="str">
        <x:v>https://www.jianyu360.cn/datasmt/index_1?searchValue=%E6%B5%B7%E8%83%BD%E6%9C%AA%E6%9D%A5%E6%8A%80%E6%9C%AF%E9%9B%86%E5%9B%A2%E8%82%A1%E4%BB%BD%E6%9C%89%E9%99%90%E5%85%AC%E5%8F%B8</x:v>
      </x:c>
    </x:row>
    <x:row r="56" ht="74" customHeight="1">
      <x:c r="A56" s="6" t="str">
        <x:v>C011</x:v>
      </x:c>
      <x:c r="B56" s="6" t="str">
        <x:v>剑鱼标讯</x:v>
      </x:c>
      <x:c r="C56" s="6" t="str">
        <x:v>山东海能科学仪器股份有限公司相关搜索结果_数据超市 - 剑鱼标讯</x:v>
      </x:c>
      <x:c r="D56" s="20"/>
      <x:c r="E56" s="6" t="str">
        <x:v>数据商品检索结果，非招标公告数据库完整搜索</x:v>
      </x:c>
      <x:c r="F56" s="6" t="str">
        <x:v>仅访问/排除</x:v>
      </x:c>
      <x:c r="G56" s="6" t="str">
        <x:v>https://www.jianyu360.cn/datasmt/index_1?searchValue=%E5%B1%B1%E4%B8%9C%E6%B5%B7%E8%83%BD%E7%A7%91%E5%AD%A6%E4%BB%AA%E5%99%A8%E8%82%A1%E4%BB%BD%E6%9C%89%E9%99%90%E5%85%AC%E5%8F%B8</x:v>
      </x:c>
    </x:row>
    <x:row r="57" ht="74" customHeight="1">
      <x:c r="A57" s="6" t="str">
        <x:v>C012</x:v>
      </x:c>
      <x:c r="B57" s="6" t="str">
        <x:v>采购与招标网（元博网）</x:v>
      </x:c>
      <x:c r="C57" s="6" t="str">
        <x:v>采购与招标网_招标信息发布_采购招标投标服务平台</x:v>
      </x:c>
      <x:c r="D57" s="20"/>
      <x:c r="E57" s="6" t="str">
        <x:v>平台首页可读正文（无检索链接/表单参数）</x:v>
      </x:c>
      <x:c r="F57" s="6" t="str">
        <x:v>仅访问/排除</x:v>
      </x:c>
      <x:c r="G57" s="6" t="str">
        <x:v>https://www.chinabidding.cn/</x:v>
      </x:c>
    </x:row>
    <x:row r="58" ht="74" customHeight="1">
      <x:c r="A58" s="6" t="str">
        <x:v>C013</x:v>
      </x:c>
      <x:c r="B58" s="6" t="str">
        <x:v>乙方宝</x:v>
      </x:c>
      <x:c r="C58" s="6" t="str">
        <x:v>海能公司员工宿舍租赁合同(2026-2029)项目直接采购成交结果公示</x:v>
      </x:c>
      <x:c r="D58" s="20" t="d">
        <x:v>2026-09-17T00:00:00.000Z</x:v>
      </x:c>
      <x:c r="E58" s="6" t="str">
        <x:v>商业平台公告公开摘录（采购单位和金额遮挡）</x:v>
      </x:c>
      <x:c r="F58" s="6" t="str">
        <x:v>仅访问/排除</x:v>
      </x:c>
      <x:c r="G58" s="6" t="str">
        <x:v>https://www.yfbzb.com/winbid/detail/20260917_632166980.html</x:v>
      </x:c>
    </x:row>
    <x:row r="59" ht="74" customHeight="1">
      <x:c r="A59" s="6" t="str">
        <x:v>C014</x:v>
      </x:c>
      <x:c r="B59" s="6" t="str">
        <x:v>乙方宝</x:v>
      </x:c>
      <x:c r="C59" s="6" t="str">
        <x:v>天津海能科技创新园二期变更项目5#~7#楼合同订立信息公告</x:v>
      </x:c>
      <x:c r="D59" s="20" t="d">
        <x:v>2026-09-09T00:00:00.000Z</x:v>
      </x:c>
      <x:c r="E59" s="6" t="str">
        <x:v>商业平台公告公开摘录（甲方和金额遮挡）</x:v>
      </x:c>
      <x:c r="F59" s="6" t="str">
        <x:v>仅访问/排除</x:v>
      </x:c>
      <x:c r="G59" s="6" t="str">
        <x:v>https://www.yfbzb.com/winbid/detail/20260909_629510905.html</x:v>
      </x:c>
    </x:row>
    <x:row r="60" ht="74" customHeight="1">
      <x:c r="A60" s="6" t="str">
        <x:v>P001</x:v>
      </x:c>
      <x:c r="B60" s="6" t="str">
        <x:v>必联网</x:v>
      </x:c>
      <x:c r="C60" s="6" t="str">
        <x:v>海能供应商_海能企业库_海能核心供</x:v>
      </x:c>
      <x:c r="D60" s="20"/>
      <x:c r="E60" s="6" t="str">
        <x:v>公开企业列表</x:v>
      </x:c>
      <x:c r="F60" s="6" t="str">
        <x:v>采用或待核资料</x:v>
      </x:c>
      <x:c r="G60" s="6" t="str">
        <x:v>https://ss.ebnew.com/companySearch/index.htm?key=%E6%B5%B7%E8%83%BD</x:v>
      </x:c>
    </x:row>
    <x:row r="61" ht="74" customHeight="1">
      <x:c r="A61" s="6" t="str">
        <x:v>P002</x:v>
      </x:c>
      <x:c r="B61" s="6" t="str">
        <x:v>必联网</x:v>
      </x:c>
      <x:c r="C61" s="6" t="str">
        <x:v>黄冈职业技术学院2026年教育领域重大设备更新之医药学院设备采购项目 （第二批）中标结果公告-必联网</x:v>
      </x:c>
      <x:c r="D61" s="20" t="d">
        <x:v>2026-05-29T00:00:00.000Z</x:v>
      </x:c>
      <x:c r="E61" s="6" t="str">
        <x:v>公开公告正文（数字/联系方式部分脱敏）</x:v>
      </x:c>
      <x:c r="F61" s="6" t="str">
        <x:v>仅访问/排除</x:v>
      </x:c>
      <x:c r="G61" s="6" t="str">
        <x:v>http://www.ebnew.com/businessShow/708433833.html</x:v>
      </x:c>
    </x:row>
    <x:row r="62" ht="74" customHeight="1">
      <x:c r="A62" s="6" t="str">
        <x:v>P003</x:v>
      </x:c>
      <x:c r="B62" s="6" t="str">
        <x:v>必联网</x:v>
      </x:c>
      <x:c r="C62" s="6" t="str">
        <x:v>【独山环能分析仪器配件及耗材】结果公告-必联网</x:v>
      </x:c>
      <x:c r="D62" s="20" t="d">
        <x:v>2026-05-25T00:00:00.000Z</x:v>
      </x:c>
      <x:c r="E62" s="6" t="str">
        <x:v>公开公告正文（数字/联系方式部分脱敏）</x:v>
      </x:c>
      <x:c r="F62" s="6" t="str">
        <x:v>采用或待核资料</x:v>
      </x:c>
      <x:c r="G62" s="6" t="str">
        <x:v>http://www.ebnew.com/businessShow/708351326.html</x:v>
      </x:c>
    </x:row>
    <x:row r="63" ht="74" customHeight="1">
      <x:c r="A63" s="6" t="str">
        <x:v>P004</x:v>
      </x:c>
      <x:c r="B63" s="6" t="str">
        <x:v>必联网</x:v>
      </x:c>
      <x:c r="C63" s="6" t="str">
        <x:v>【独山环能分析仪器配件及耗材】采购公告-必联网</x:v>
      </x:c>
      <x:c r="D63" s="20" t="d">
        <x:v>2026-05-12T00:00:00.000Z</x:v>
      </x:c>
      <x:c r="E63" s="6" t="str">
        <x:v>公开公告正文（数字/联系方式部分脱敏）</x:v>
      </x:c>
      <x:c r="F63" s="6" t="str">
        <x:v>采用或待核资料</x:v>
      </x:c>
      <x:c r="G63" s="6" t="str">
        <x:v>http://www.ebnew.com/businessShow/708155841.html</x:v>
      </x:c>
    </x:row>
    <x:row r="64" ht="74" customHeight="1">
      <x:c r="A64" s="6" t="str">
        <x:v>P005</x:v>
      </x:c>
      <x:c r="B64" s="6" t="str">
        <x:v>必联网</x:v>
      </x:c>
      <x:c r="C64" s="6" t="str">
        <x:v>公告代码：0413010020251021017采购方式：公开招标项目名称：石家庄学院2025年教学科研设备采购项目联系人：刘若愚联系方式:0311-83086953代理机构：河北省成套招标有限公司行政区划名称：，必联网中国领先的采购与招标电子商务网站!"&gt;</x:v>
      </x:c>
      <x:c r="D64" s="20" t="d">
        <x:v>2025-10-21T00:00:00.000Z</x:v>
      </x:c>
      <x:c r="E64" s="6" t="str">
        <x:v>公开公告正文（数字/联系方式部分脱敏）</x:v>
      </x:c>
      <x:c r="F64" s="6" t="str">
        <x:v>采用或待核资料</x:v>
      </x:c>
      <x:c r="G64" s="6" t="str">
        <x:v>http://www.ebnew.com/businessShow/704822731.html</x:v>
      </x:c>
    </x:row>
    <x:row r="65" ht="74" customHeight="1">
      <x:c r="A65" s="6" t="str">
        <x:v>P006</x:v>
      </x:c>
      <x:c r="B65" s="6" t="str">
        <x:v>必联网</x:v>
      </x:c>
      <x:c r="C65" s="6" t="str">
        <x:v>[HF20262621]超级微波消解仪采购项目成交公告-必联网</x:v>
      </x:c>
      <x:c r="D65" s="20" t="d">
        <x:v>2026-09-21T00:00:00.000Z</x:v>
      </x:c>
      <x:c r="E65" s="6" t="str">
        <x:v>公开公告正文（数字/联系方式部分脱敏）</x:v>
      </x:c>
      <x:c r="F65" s="6" t="str">
        <x:v>采用或待核资料</x:v>
      </x:c>
      <x:c r="G65" s="6" t="str">
        <x:v>http://www.ebnew.com/businessShow/710002285.html</x:v>
      </x:c>
    </x:row>
    <x:row r="66" ht="74" customHeight="1">
      <x:c r="A66" s="6" t="str">
        <x:v>P007</x:v>
      </x:c>
      <x:c r="B66" s="6" t="str">
        <x:v>必联网</x:v>
      </x:c>
      <x:c r="C66" s="6" t="str">
        <x:v>微波消解仪第二次中标成交公告-必联网</x:v>
      </x:c>
      <x:c r="D66" s="20" t="d">
        <x:v>2026-07-31T00:00:00.000Z</x:v>
      </x:c>
      <x:c r="E66" s="6" t="str">
        <x:v>公开公告正文（数字/联系方式部分脱敏）</x:v>
      </x:c>
      <x:c r="F66" s="6" t="str">
        <x:v>仅访问/排除</x:v>
      </x:c>
      <x:c r="G66" s="6" t="str">
        <x:v>http://www.ebnew.com/businessShow/709318457.html</x:v>
      </x:c>
    </x:row>
    <x:row r="67" ht="74" customHeight="1">
      <x:c r="A67" s="6" t="str">
        <x:v>P008</x:v>
      </x:c>
      <x:c r="B67" s="6" t="str">
        <x:v>必联网</x:v>
      </x:c>
      <x:c r="C67" s="6" t="str">
        <x:v>2026153恩施州农科院农博园建设项目科创中心实验室仪器设备采购（天然产物类）第二次中标结果公告-必联网</x:v>
      </x:c>
      <x:c r="D67" s="20" t="d">
        <x:v>2026-05-08T00:00:00.000Z</x:v>
      </x:c>
      <x:c r="E67" s="6" t="str">
        <x:v>公开公告正文（数字/联系方式部分脱敏）</x:v>
      </x:c>
      <x:c r="F67" s="6" t="str">
        <x:v>仅访问/排除</x:v>
      </x:c>
      <x:c r="G67" s="6" t="str">
        <x:v>http://www.ebnew.com/businessShow/708096540.html</x:v>
      </x:c>
    </x:row>
    <x:row r="68" ht="74" customHeight="1">
      <x:c r="A68" s="6" t="str">
        <x:v>P009</x:v>
      </x:c>
      <x:c r="B68" s="6" t="str">
        <x:v>必联网</x:v>
      </x:c>
      <x:c r="C68" s="6" t="str">
        <x:v>2025年县区监测能力提升项目（灌云)中标公告-必联网</x:v>
      </x:c>
      <x:c r="D68" s="20" t="d">
        <x:v>2026-01-29T00:00:00.000Z</x:v>
      </x:c>
      <x:c r="E68" s="6" t="str">
        <x:v>公开公告正文（数字/联系方式部分脱敏）</x:v>
      </x:c>
      <x:c r="F68" s="6" t="str">
        <x:v>仅访问/排除</x:v>
      </x:c>
      <x:c r="G68" s="6" t="str">
        <x:v>http://www.ebnew.com/businessShow/706641779.html</x:v>
      </x:c>
    </x:row>
    <x:row r="69" ht="74" customHeight="1">
      <x:c r="A69" s="6" t="str">
        <x:v>P010</x:v>
      </x:c>
      <x:c r="B69" s="6" t="str">
        <x:v>必联网</x:v>
      </x:c>
      <x:c r="C69" s="6" t="str">
        <x:v>武汉软件工程职业学院武汉软件工程职业学院实训科研设备更新项目（五）（第二次）中标结果公告-必联网</x:v>
      </x:c>
      <x:c r="D69" s="20" t="d">
        <x:v>2026-01-06T00:00:00.000Z</x:v>
      </x:c>
      <x:c r="E69" s="6" t="str">
        <x:v>公开公告正文（数字/联系方式部分脱敏）</x:v>
      </x:c>
      <x:c r="F69" s="6" t="str">
        <x:v>仅访问/排除</x:v>
      </x:c>
      <x:c r="G69" s="6" t="str">
        <x:v>http://www.ebnew.com/businessShow/706248573.html</x:v>
      </x:c>
    </x:row>
    <x:row r="70" ht="74" customHeight="1">
      <x:c r="A70" s="6" t="str">
        <x:v>P011</x:v>
      </x:c>
      <x:c r="B70" s="6" t="str">
        <x:v>中国政府采购网</x:v>
      </x:c>
      <x:c r="C70" s="6" t="str">
        <x:v>高通量全自动样品前处理系统、数字PCR仪等设备采购结果公告（采购包1、2、3、4、6）</x:v>
      </x:c>
      <x:c r="D70" s="20" t="d">
        <x:v>2026-10-08T00:00:00.000Z</x:v>
      </x:c>
      <x:c r="E70" s="6" t="str">
        <x:v>官方公告正文</x:v>
      </x:c>
      <x:c r="F70" s="6" t="str">
        <x:v>采用或待核资料</x:v>
      </x:c>
      <x:c r="G70" s="6" t="str">
        <x:v>http://www.ccgp.gov.cn/cggg/dfgg/zbgg/202610/t20261008_27440404.htm</x:v>
      </x:c>
    </x:row>
    <x:row r="71" ht="74" customHeight="1">
      <x:c r="A71" s="6" t="str">
        <x:v>P012</x:v>
      </x:c>
      <x:c r="B71" s="6" t="str">
        <x:v>中国政府采购网</x:v>
      </x:c>
      <x:c r="C71" s="6" t="str">
        <x:v>2026年新疆理工职业大学天山食府智慧餐饮等购置安装采购项目中标(成交)结果公告</x:v>
      </x:c>
      <x:c r="D71" s="20" t="d">
        <x:v>2026-10-01T00:00:00.000Z</x:v>
      </x:c>
      <x:c r="E71" s="6" t="str">
        <x:v>官方公告正文</x:v>
      </x:c>
      <x:c r="F71" s="6" t="str">
        <x:v>采用或待核资料</x:v>
      </x:c>
      <x:c r="G71" s="6" t="str">
        <x:v>http://www.ccgp.gov.cn/cggg/dfgg/zbgg/202610/t20261001_27439305.htm</x:v>
      </x:c>
    </x:row>
    <x:row r="72" ht="74" customHeight="1">
      <x:c r="A72" s="6" t="str">
        <x:v>P013</x:v>
      </x:c>
      <x:c r="B72" s="6" t="str">
        <x:v>中国政府采购网</x:v>
      </x:c>
      <x:c r="C72" s="6" t="str">
        <x:v>黄冈职业技术学院2026年教育领域重大设备更新之医药学院设备采购项目 （第二批）中标结果公告</x:v>
      </x:c>
      <x:c r="D72" s="20" t="d">
        <x:v>2026-05-29T00:00:00.000Z</x:v>
      </x:c>
      <x:c r="E72" s="6" t="str">
        <x:v>官方公告正文</x:v>
      </x:c>
      <x:c r="F72" s="6" t="str">
        <x:v>采用或待核资料</x:v>
      </x:c>
      <x:c r="G72" s="6" t="str">
        <x:v>http://www.ccgp.gov.cn/cggg/dfgg/zbgg/202605/t20260529_26658386.htm</x:v>
      </x:c>
    </x:row>
    <x:row r="73" ht="74" customHeight="1">
      <x:c r="A73" s="6" t="str">
        <x:v>P014</x:v>
      </x:c>
      <x:c r="B73" s="6" t="str">
        <x:v>中国政府采购网</x:v>
      </x:c>
      <x:c r="C73" s="6" t="str">
        <x:v>微波消解仪第二次中标成交公告</x:v>
      </x:c>
      <x:c r="D73" s="20" t="d">
        <x:v>2026-07-31T00:00:00.000Z</x:v>
      </x:c>
      <x:c r="E73" s="6" t="str">
        <x:v>官方公告正文</x:v>
      </x:c>
      <x:c r="F73" s="6" t="str">
        <x:v>采用或待核资料</x:v>
      </x:c>
      <x:c r="G73" s="6" t="str">
        <x:v>http://www.ccgp.gov.cn/cggg/dfgg/zbgg/202607/t20260731_27050808.htm</x:v>
      </x:c>
    </x:row>
    <x:row r="74" ht="74" customHeight="1">
      <x:c r="A74" s="6" t="str">
        <x:v>P015</x:v>
      </x:c>
      <x:c r="B74" s="6" t="str">
        <x:v>中国政府采购网</x:v>
      </x:c>
      <x:c r="C74" s="6" t="str">
        <x:v>2026153恩施州农科院农博园建设项目科创中心实验室仪器设备采购（天然产物类）第二次中标结果公告</x:v>
      </x:c>
      <x:c r="D74" s="20" t="d">
        <x:v>2026-05-08T00:00:00.000Z</x:v>
      </x:c>
      <x:c r="E74" s="6" t="str">
        <x:v>官方公告正文</x:v>
      </x:c>
      <x:c r="F74" s="6" t="str">
        <x:v>采用或待核资料</x:v>
      </x:c>
      <x:c r="G74" s="6" t="str">
        <x:v>http://www.ccgp.gov.cn/cggg/dfgg/zbgg/202605/t20260508_26525247.htm</x:v>
      </x:c>
    </x:row>
    <x:row r="75" ht="74" customHeight="1">
      <x:c r="A75" s="6" t="str">
        <x:v>P016</x:v>
      </x:c>
      <x:c r="B75" s="6" t="str">
        <x:v>中国政府采购网</x:v>
      </x:c>
      <x:c r="C75" s="6" t="str">
        <x:v>2025年县区监测能力提升项目（灌云)中标公告</x:v>
      </x:c>
      <x:c r="D75" s="20" t="d">
        <x:v>2026-01-29T00:00:00.000Z</x:v>
      </x:c>
      <x:c r="E75" s="6" t="str">
        <x:v>官方公告正文</x:v>
      </x:c>
      <x:c r="F75" s="6" t="str">
        <x:v>采用或待核资料</x:v>
      </x:c>
      <x:c r="G75" s="6" t="str">
        <x:v>http://www.ccgp.gov.cn/cggg/dfgg/zbgg/202601/t20260129_26131409.htm</x:v>
      </x:c>
    </x:row>
    <x:row r="76" ht="74" customHeight="1">
      <x:c r="A76" s="6" t="str">
        <x:v>P017</x:v>
      </x:c>
      <x:c r="B76" s="6" t="str">
        <x:v>中国政府采购网</x:v>
      </x:c>
      <x:c r="C76" s="6" t="str">
        <x:v>武汉软件工程职业学院武汉软件工程职业学院实训科研设备更新项目（五）（第二次）中标结果公告</x:v>
      </x:c>
      <x:c r="D76" s="20" t="d">
        <x:v>2026-01-06T00:00:00.000Z</x:v>
      </x:c>
      <x:c r="E76" s="6" t="str">
        <x:v>官方公告正文</x:v>
      </x:c>
      <x:c r="F76" s="6" t="str">
        <x:v>采用或待核资料</x:v>
      </x:c>
      <x:c r="G76" s="6" t="str">
        <x:v>http://www.ccgp.gov.cn/cggg/dfgg/zbgg/202601/t20260106_26043751.htm</x:v>
      </x:c>
    </x:row>
    <x:row r="77" ht="74" customHeight="1">
      <x:c r="A77" s="6" t="str">
        <x:v>P018</x:v>
      </x:c>
      <x:c r="B77" s="6" t="str">
        <x:v>中国政府采购网</x:v>
      </x:c>
      <x:c r="C77" s="6" t="str">
        <x:v>省疾控中心化学类设备采购项目（第2批）结果公告</x:v>
      </x:c>
      <x:c r="D77" s="20" t="d">
        <x:v>2026-09-29T00:00:00.000Z</x:v>
      </x:c>
      <x:c r="E77" s="6" t="str">
        <x:v>官方公告正文</x:v>
      </x:c>
      <x:c r="F77" s="6" t="str">
        <x:v>采用或待核资料</x:v>
      </x:c>
      <x:c r="G77" s="6" t="str">
        <x:v>http://www.ccgp.gov.cn/cggg/dfgg/zbgg/202609/t20260929_27414135.htm</x:v>
      </x:c>
    </x:row>
    <x:row r="78" ht="74" customHeight="1">
      <x:c r="A78" s="6" t="str">
        <x:v>P019</x:v>
      </x:c>
      <x:c r="B78" s="6" t="str">
        <x:v>中国政府采购网</x:v>
      </x:c>
      <x:c r="C78" s="6" t="str">
        <x:v>北京中医药大学东直门医院国家中医药传承创新中心建设项目（第七批）设备采购公告第一包中标公告</x:v>
      </x:c>
      <x:c r="D78" s="20" t="d">
        <x:v>2026-06-11T00:00:00.000Z</x:v>
      </x:c>
      <x:c r="E78" s="6" t="str">
        <x:v>官方公告正文</x:v>
      </x:c>
      <x:c r="F78" s="6" t="str">
        <x:v>采用或待核资料</x:v>
      </x:c>
      <x:c r="G78" s="6" t="str">
        <x:v>http://www.ccgp.gov.cn/cggg/zygg/zbgg/202606/t20260611_26731947.htm</x:v>
      </x:c>
    </x:row>
    <x:row r="79" ht="74" customHeight="1">
      <x:c r="A79" s="6" t="str">
        <x:v>P020</x:v>
      </x:c>
      <x:c r="B79" s="6" t="str">
        <x:v>中国政府采购网</x:v>
      </x:c>
      <x:c r="C79" s="6" t="str">
        <x:v>太原海关技术中心2025年实验室仪器设备更新项目中标公告</x:v>
      </x:c>
      <x:c r="D79" s="20" t="d">
        <x:v>2025-10-22T00:00:00.000Z</x:v>
      </x:c>
      <x:c r="E79" s="6" t="str">
        <x:v>官方公告正文</x:v>
      </x:c>
      <x:c r="F79" s="6" t="str">
        <x:v>采用或待核资料</x:v>
      </x:c>
      <x:c r="G79" s="6" t="str">
        <x:v>http://www.ccgp.gov.cn/cggg/zygg/zbgg/202510/t20251022_25549541.htm</x:v>
      </x:c>
    </x:row>
    <x:row r="80" ht="74" customHeight="1">
      <x:c r="A80" s="6" t="str">
        <x:v>P021</x:v>
      </x:c>
      <x:c r="B80" s="6" t="str">
        <x:v>中国政府采购网</x:v>
      </x:c>
      <x:c r="C80" s="6" t="str">
        <x:v>济南市生态环境局济南市大气细颗粒物和挥发性有机物协同监测能力提升项目中标公告</x:v>
      </x:c>
      <x:c r="D80" s="20" t="d">
        <x:v>2026-01-06T00:00:00.000Z</x:v>
      </x:c>
      <x:c r="E80" s="6" t="str">
        <x:v>官方公告正文</x:v>
      </x:c>
      <x:c r="F80" s="6" t="str">
        <x:v>采用或待核资料</x:v>
      </x:c>
      <x:c r="G80" s="6" t="str">
        <x:v>http://www.ccgp.gov.cn/cggg/dfgg/zbgg/202601/t20260106_26039472.htm</x:v>
      </x:c>
    </x:row>
    <x:row r="81" ht="74" customHeight="1">
      <x:c r="A81" s="6" t="str">
        <x:v>P022</x:v>
      </x:c>
      <x:c r="B81" s="6" t="str">
        <x:v>中国政府采购网</x:v>
      </x:c>
      <x:c r="C81" s="6" t="str">
        <x:v>陕西中医药大学中药真伪鉴别与智能质控分析系统中标（成交）结果公告</x:v>
      </x:c>
      <x:c r="D81" s="20" t="d">
        <x:v>2026-09-07T00:00:00.000Z</x:v>
      </x:c>
      <x:c r="E81" s="6" t="str">
        <x:v>官方公告正文</x:v>
      </x:c>
      <x:c r="F81" s="6" t="str">
        <x:v>采用或待核资料</x:v>
      </x:c>
      <x:c r="G81" s="6" t="str">
        <x:v>http://www.ccgp.gov.cn/cggg/dfgg/zbgg/202609/t20260907_27278704.htm</x:v>
      </x:c>
    </x:row>
    <x:row r="82" ht="74" customHeight="1">
      <x:c r="A82" s="6" t="str">
        <x:v>P023</x:v>
      </x:c>
      <x:c r="B82" s="6" t="str">
        <x:v>中国政府采购网</x:v>
      </x:c>
      <x:c r="C82" s="6" t="str">
        <x:v>海关总署2025年微波消解仪采购项目中标公告</x:v>
      </x:c>
      <x:c r="D82" s="20" t="d">
        <x:v>2025-12-27T00:00:00.000Z</x:v>
      </x:c>
      <x:c r="E82" s="6" t="str">
        <x:v>官方公告正文</x:v>
      </x:c>
      <x:c r="F82" s="6" t="str">
        <x:v>采用或待核资料</x:v>
      </x:c>
      <x:c r="G82" s="6" t="str">
        <x:v>http://www.ccgp.gov.cn/cggg/zygg/zbgg/202512/t20251227_26002820.htm</x:v>
      </x:c>
    </x:row>
    <x:row r="83" ht="74" customHeight="1">
      <x:c r="A83" s="6" t="str">
        <x:v>P024</x:v>
      </x:c>
      <x:c r="B83" s="6" t="str">
        <x:v>中国政府采购网</x:v>
      </x:c>
      <x:c r="C83" s="6" t="str">
        <x:v>海能 2025-10-08至2026-10-08全文检索</x:v>
      </x:c>
      <x:c r="D83" s="20"/>
      <x:c r="E83" s="6" t="str">
        <x:v>站内全文搜索结果页</x:v>
      </x:c>
      <x:c r="F83" s="6" t="str">
        <x:v>仅访问/排除</x:v>
      </x:c>
      <x:c r="G83" s="6" t="str">
        <x:v>https://search.ccgp.gov.cn/bxsearch?searchtype=2&amp;page_index=1&amp;start_time=2025%3A10%3A08&amp;end_time=2026%3A10%3A08&amp;timeType=6&amp;dbselect=bidx&amp;kw=%E6%B5%B7%E8%83%BD&amp;bidSort=0&amp;pinMu=0&amp;bidType=0&amp;buyerName=&amp;projectId=&amp;displayZone=&amp;zoneId=&amp;agentName=&amp;pppStatus=0</x:v>
      </x:c>
    </x:row>
    <x:row r="84" ht="74" customHeight="1">
      <x:c r="A84" s="6" t="str">
        <x:v>P025</x:v>
      </x:c>
      <x:c r="B84" s="6" t="str">
        <x:v>中国政府采购网</x:v>
      </x:c>
      <x:c r="C84" s="6" t="str">
        <x:v>海能未来 2025-10-08至2026-10-08全文检索</x:v>
      </x:c>
      <x:c r="D84" s="20"/>
      <x:c r="E84" s="6" t="str">
        <x:v>站内全文搜索结果页</x:v>
      </x:c>
      <x:c r="F84" s="6" t="str">
        <x:v>仅访问/排除</x:v>
      </x:c>
      <x:c r="G84" s="6" t="str">
        <x:v>https://search.ccgp.gov.cn/bxsearch?searchtype=2&amp;page_index=1&amp;start_time=2025%3A10%3A08&amp;end_time=2026%3A10%3A08&amp;timeType=6&amp;dbselect=bidx&amp;kw=%E6%B5%B7%E8%83%BD%E6%9C%AA%E6%9D%A5&amp;bidSort=0&amp;pinMu=0&amp;bidType=0&amp;buyerName=&amp;projectId=&amp;displayZone=&amp;zoneId=&amp;agentName=&amp;pppStatus=0</x:v>
      </x:c>
    </x:row>
    <x:row r="85" ht="74" customHeight="1">
      <x:c r="A85" s="6" t="str">
        <x:v>P026</x:v>
      </x:c>
      <x:c r="B85" s="6" t="str">
        <x:v>中国政府采购网</x:v>
      </x:c>
      <x:c r="C85" s="6" t="str">
        <x:v>山东海能 2025-10-08至2026-10-08全文检索</x:v>
      </x:c>
      <x:c r="D85" s="20"/>
      <x:c r="E85" s="6" t="str">
        <x:v>站内全文搜索结果页</x:v>
      </x:c>
      <x:c r="F85" s="6" t="str">
        <x:v>仅访问/排除</x:v>
      </x:c>
      <x:c r="G85" s="6" t="str">
        <x:v>https://search.ccgp.gov.cn/bxsearch?searchtype=2&amp;page_index=1&amp;start_time=2025%3A10%3A08&amp;end_time=2026%3A10%3A08&amp;timeType=6&amp;dbselect=bidx&amp;kw=%E5%B1%B1%E4%B8%9C%E6%B5%B7%E8%83%BD&amp;bidSort=0&amp;pinMu=0&amp;bidType=0&amp;buyerName=&amp;projectId=&amp;displayZone=&amp;zoneId=&amp;agentName=&amp;pppStatus=0</x:v>
      </x:c>
    </x:row>
    <x:row r="86" ht="74" customHeight="1">
      <x:c r="A86" s="6" t="str">
        <x:v>P027</x:v>
      </x:c>
      <x:c r="B86" s="6" t="str">
        <x:v>中国政府采购网</x:v>
      </x:c>
      <x:c r="C86" s="6" t="str">
        <x:v>悟空仪器 2025-10-08至2026-10-08全文检索</x:v>
      </x:c>
      <x:c r="D86" s="20"/>
      <x:c r="E86" s="6" t="str">
        <x:v>站内全文搜索结果页</x:v>
      </x:c>
      <x:c r="F86" s="6" t="str">
        <x:v>仅访问/排除</x:v>
      </x:c>
      <x:c r="G86" s="6" t="str">
        <x:v>https://search.ccgp.gov.cn/bxsearch?searchtype=2&amp;page_index=1&amp;start_time=2025%3A10%3A08&amp;end_time=2026%3A10%3A08&amp;timeType=6&amp;dbselect=bidx&amp;kw=%E6%82%9F%E7%A9%BA%E4%BB%AA%E5%99%A8&amp;bidSort=0&amp;pinMu=0&amp;bidType=0&amp;buyerName=&amp;projectId=&amp;displayZone=&amp;zoneId=&amp;agentName=&amp;pppStatus=0</x:v>
      </x:c>
    </x:row>
    <x:row r="87" ht="74" customHeight="1">
      <x:c r="A87" s="6" t="str">
        <x:v>P028</x:v>
      </x:c>
      <x:c r="B87" s="6" t="str">
        <x:v>中国政府采购网</x:v>
      </x:c>
      <x:c r="C87" s="6" t="str">
        <x:v>上海新仪 2025-10-08至2026-10-08全文检索</x:v>
      </x:c>
      <x:c r="D87" s="20"/>
      <x:c r="E87" s="6" t="str">
        <x:v>站内全文搜索结果页</x:v>
      </x:c>
      <x:c r="F87" s="6" t="str">
        <x:v>仅访问/排除</x:v>
      </x:c>
      <x:c r="G87" s="6" t="str">
        <x:v>https://search.ccgp.gov.cn/bxsearch?searchtype=2&amp;page_index=1&amp;start_time=2025%3A10%3A08&amp;end_time=2026%3A10%3A08&amp;timeType=6&amp;dbselect=bidx&amp;kw=%E4%B8%8A%E6%B5%B7%E6%96%B0%E4%BB%AA&amp;bidSort=0&amp;pinMu=0&amp;bidType=0&amp;buyerName=&amp;projectId=&amp;displayZone=&amp;zoneId=&amp;agentName=&amp;pppStatus=0</x:v>
      </x:c>
    </x:row>
    <x:row r="88" ht="74" customHeight="1">
      <x:c r="A88" s="6" t="str">
        <x:v>P029</x:v>
      </x:c>
      <x:c r="B88" s="6" t="str">
        <x:v>全国公共资源交易平台</x:v>
      </x:c>
      <x:c r="C88" s="6" t="str">
        <x:v>全国公共资源交易平台</x:v>
      </x:c>
      <x:c r="D88" s="20"/>
      <x:c r="E88" s="6" t="str">
        <x:v>官网首页</x:v>
      </x:c>
      <x:c r="F88" s="6" t="str">
        <x:v>仅访问/排除</x:v>
      </x:c>
      <x:c r="G88" s="6" t="str">
        <x:v>https://www.ggzy.gov.cn/</x:v>
      </x:c>
    </x:row>
    <x:row r="89" ht="74" customHeight="1">
      <x:c r="A89" s="6" t="str">
        <x:v>P030</x:v>
      </x:c>
      <x:c r="B89" s="6" t="str">
        <x:v>全国公共资源交易平台</x:v>
      </x:c>
      <x:c r="C89" s="6" t="str">
        <x:v>全国公共资源交易平台交易查询</x:v>
      </x:c>
      <x:c r="D89" s="20"/>
      <x:c r="E89" s="6" t="str">
        <x:v>查询界面静态正文</x:v>
      </x:c>
      <x:c r="F89" s="6" t="str">
        <x:v>仅访问/排除</x:v>
      </x:c>
      <x:c r="G89" s="6" t="str">
        <x:v>https://www.ggzy.gov.cn/deal/dealList.html</x:v>
      </x:c>
    </x:row>
    <x:row r="90" ht="74" customHeight="1">
      <x:c r="A90" s="6" t="str">
        <x:v>P031</x:v>
      </x:c>
      <x:c r="B90" s="6" t="str">
        <x:v>中国招标投标公共服务平台</x:v>
      </x:c>
      <x:c r="C90" s="6" t="str">
        <x:v>robots拒绝自动读取</x:v>
      </x:c>
      <x:c r="D90" s="20"/>
      <x:c r="E90" s="6" t="str">
        <x:v>访问失败记录</x:v>
      </x:c>
      <x:c r="F90" s="6" t="str">
        <x:v>仅访问/排除</x:v>
      </x:c>
      <x:c r="G90" s="6" t="str">
        <x:v>https://www.cebpubservice.com/</x:v>
      </x:c>
    </x:row>
    <x:row r="91" ht="74" customHeight="1">
      <x:c r="A91" s="6" t="str">
        <x:v>P032</x:v>
      </x:c>
      <x:c r="B91" s="6" t="str">
        <x:v>中国国际招标网（商业/商务部双域）</x:v>
      </x:c>
      <x:c r="C91" s="6" t="str">
        <x:v>国际招标双域首页</x:v>
      </x:c>
      <x:c r="D91" s="20"/>
      <x:c r="E91" s="6" t="str">
        <x:v>双域官网首页（内容工具读取）</x:v>
      </x:c>
      <x:c r="F91" s="6" t="str">
        <x:v>仅访问/排除</x:v>
      </x:c>
      <x:c r="G91" s="6" t="str">
        <x:v>https://www.chinabidding.com/</x:v>
      </x:c>
    </x:row>
    <x:row r="92" ht="74" customHeight="1">
      <x:c r="A92" s="6" t="str">
        <x:v>P033</x:v>
      </x:c>
      <x:c r="B92" s="6" t="str">
        <x:v>中国政府采购网</x:v>
      </x:c>
      <x:c r="C92" s="6" t="str">
        <x:v>CCGP采购公告表单动作</x:v>
      </x:c>
      <x:c r="D92" s="20"/>
      <x:c r="E92" s="6" t="str">
        <x:v>官方表单入口脚本</x:v>
      </x:c>
      <x:c r="F92" s="6" t="str">
        <x:v>仅访问/排除</x:v>
      </x:c>
      <x:c r="G92" s="6" t="str">
        <x:v>https://www.ccgp.gov.cn/js/indexonly2022.js?v=3.17</x:v>
      </x:c>
    </x:row>
    <x:row r="93" ht="74" customHeight="1">
      <x:c r="A93" s="6" t="str">
        <x:v>P034</x:v>
      </x:c>
      <x:c r="B93" s="6" t="str">
        <x:v>中国政府采购网</x:v>
      </x:c>
      <x:c r="C93" s="6" t="str">
        <x:v>CCGP自定义日期参数</x:v>
      </x:c>
      <x:c r="D93" s="20"/>
      <x:c r="E93" s="6" t="str">
        <x:v>官方表单日期脚本</x:v>
      </x:c>
      <x:c r="F93" s="6" t="str">
        <x:v>仅访问/排除</x:v>
      </x:c>
      <x:c r="G93" s="6" t="str">
        <x:v>https://search.ccgp.gov.cn/static/js/data4.js</x:v>
      </x:c>
    </x:row>
    <x:row r="94" ht="74" customHeight="1">
      <x:c r="A94" s="6" t="str">
        <x:v>P035</x:v>
      </x:c>
      <x:c r="B94" s="6" t="str">
        <x:v>必联网</x:v>
      </x:c>
      <x:c r="C94" s="6" t="str">
        <x:v>海能未来公开检索</x:v>
      </x:c>
      <x:c r="D94" s="20"/>
      <x:c r="E94" s="6" t="str">
        <x:v>站内检索结果页</x:v>
      </x:c>
      <x:c r="F94" s="6" t="str">
        <x:v>仅访问/排除</x:v>
      </x:c>
      <x:c r="G94" s="6" t="str">
        <x:v>https://ss.ebnew.com/tradingSearch/index.htm?key=%E6%B5%B7%E8%83%BD%E6%9C%AA%E6%9D%A5</x:v>
      </x:c>
    </x:row>
    <x:row r="95" ht="74" customHeight="1">
      <x:c r="A95" s="6" t="str">
        <x:v>P036</x:v>
      </x:c>
      <x:c r="B95" s="6" t="str">
        <x:v>必联网</x:v>
      </x:c>
      <x:c r="C95" s="6" t="str">
        <x:v>海能仪器公开检索</x:v>
      </x:c>
      <x:c r="D95" s="20"/>
      <x:c r="E95" s="6" t="str">
        <x:v>站内检索结果页</x:v>
      </x:c>
      <x:c r="F95" s="6" t="str">
        <x:v>仅访问/排除</x:v>
      </x:c>
      <x:c r="G95" s="6" t="str">
        <x:v>https://ss.ebnew.com/tradingSearch/index.htm?key=%E6%B5%B7%E8%83%BD%E4%BB%AA%E5%99%A8</x:v>
      </x:c>
    </x:row>
    <x:row r="96" ht="74" customHeight="1">
      <x:c r="A96" s="6" t="str">
        <x:v>P037</x:v>
      </x:c>
      <x:c r="B96" s="6" t="str">
        <x:v>必联网</x:v>
      </x:c>
      <x:c r="C96" s="6" t="str">
        <x:v>海能基石公开检索</x:v>
      </x:c>
      <x:c r="D96" s="20"/>
      <x:c r="E96" s="6" t="str">
        <x:v>站内检索结果页</x:v>
      </x:c>
      <x:c r="F96" s="6" t="str">
        <x:v>仅访问/排除</x:v>
      </x:c>
      <x:c r="G96" s="6" t="str">
        <x:v>https://ss.ebnew.com/tradingSearch/index.htm?key=%E6%B5%B7%E8%83%BD%E5%9F%BA%E7%9F%B3</x:v>
      </x:c>
    </x:row>
    <x:row r="97" ht="74" customHeight="1">
      <x:c r="A97" s="6" t="str">
        <x:v>P038</x:v>
      </x:c>
      <x:c r="B97" s="6" t="str">
        <x:v>必联网</x:v>
      </x:c>
      <x:c r="C97" s="6" t="str">
        <x:v>悟空仪器公开检索</x:v>
      </x:c>
      <x:c r="D97" s="20"/>
      <x:c r="E97" s="6" t="str">
        <x:v>站内检索结果页</x:v>
      </x:c>
      <x:c r="F97" s="6" t="str">
        <x:v>仅访问/排除</x:v>
      </x:c>
      <x:c r="G97" s="6" t="str">
        <x:v>https://ss.ebnew.com/tradingSearch/index.htm?key=%E6%82%9F%E7%A9%BA%E4%BB%AA%E5%99%A8</x:v>
      </x:c>
    </x:row>
    <x:row r="98" ht="74" customHeight="1">
      <x:c r="A98" s="6" t="str">
        <x:v>P039</x:v>
      </x:c>
      <x:c r="B98" s="6" t="str">
        <x:v>必联网</x:v>
      </x:c>
      <x:c r="C98" s="6" t="str">
        <x:v>上海新仪公开检索</x:v>
      </x:c>
      <x:c r="D98" s="20"/>
      <x:c r="E98" s="6" t="str">
        <x:v>站内检索结果页</x:v>
      </x:c>
      <x:c r="F98" s="6" t="str">
        <x:v>仅访问/排除</x:v>
      </x:c>
      <x:c r="G98" s="6" t="str">
        <x:v>https://ss.ebnew.com/tradingSearch/index.htm?key=%E4%B8%8A%E6%B5%B7%E6%96%B0%E4%BB%AA</x:v>
      </x:c>
    </x:row>
    <x:row r="99" ht="74" customHeight="1">
      <x:c r="A99" s="6" t="str">
        <x:v>P040</x:v>
      </x:c>
      <x:c r="B99" s="6" t="str">
        <x:v>中国国际招标网（商业/商务部双域）</x:v>
      </x:c>
      <x:c r="C99" s="6" t="str">
        <x:v>中国国际招标网商务部行政监督和公共服务平台官网</x:v>
      </x:c>
      <x:c r="D99" s="20"/>
      <x:c r="E99" s="6" t="str">
        <x:v>双域官网首页（内容工具读取）</x:v>
      </x:c>
      <x:c r="F99" s="6" t="str">
        <x:v>仅访问/排除</x:v>
      </x:c>
      <x:c r="G99" s="6" t="str">
        <x:v>https://chinabidding.mofcom.gov.cn/</x:v>
      </x:c>
    </x:row>
  </x:sheetData>
  <x:pageMargins left="0.7" right="0.7" top="0.75" bottom="0.75" header="0.3" footer="0.3"/>
  <x:tableParts count="2">
    <x:tablePart xmlns:r="http://schemas.openxmlformats.org/officeDocument/2006/relationships" r:id="Rb5f215e8fc47433b"/>
    <x:tablePart xmlns:r="http://schemas.openxmlformats.org/officeDocument/2006/relationships" r:id="R890d25834a43494d"/>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1" hidden="0" customWidth="1"/>
    <x:col min="2" max="2" width="18" hidden="0" customWidth="1"/>
    <x:col min="3" max="3" width="58" hidden="0" customWidth="1"/>
    <x:col min="4" max="4" width="90" hidden="0" customWidth="1"/>
    <x:col min="5" max="5" width="90" hidden="0" customWidth="1"/>
    <x:col min="6" max="6" width="110" hidden="0" customWidth="1"/>
  </x:cols>
  <x:sheetData>
    <x:row r="2" ht="28" customHeight="1">
      <x:c r="A2" s="2" t="str">
        <x:v>来源纠正、排除和设备明细审计</x:v>
      </x:c>
      <x:c r="B2" s="2"/>
      <x:c r="C2" s="2"/>
      <x:c r="D2" s="2"/>
      <x:c r="E2" s="2"/>
      <x:c r="F2" s="2"/>
    </x:row>
    <x:row r="3" ht="24" customHeight="1">
      <x:c r="A3" s="3" t="str">
        <x:v>6项独立审查意见已处理；保留原值与更正出处。</x:v>
      </x:c>
      <x:c r="B3" s="3"/>
      <x:c r="C3" s="3"/>
      <x:c r="D3" s="3"/>
      <x:c r="E3" s="3"/>
      <x:c r="F3" s="3"/>
    </x:row>
    <x:row r="5" ht="38" customHeight="1">
      <x:c r="A5" s="12" t="str">
        <x:v>处理类型</x:v>
      </x:c>
      <x:c r="B5" s="13" t="str">
        <x:v>来源编号</x:v>
      </x:c>
      <x:c r="C5" s="13" t="str">
        <x:v>涉及字段或项目</x:v>
      </x:c>
      <x:c r="D5" s="13" t="str">
        <x:v>纠正前或排除来源</x:v>
      </x:c>
      <x:c r="E5" s="13" t="str">
        <x:v>纠正后</x:v>
      </x:c>
      <x:c r="F5" s="14" t="str">
        <x:v>理由</x:v>
      </x:c>
    </x:row>
    <x:row r="6" ht="40" customHeight="1">
      <x:c r="A6" s="6" t="str">
        <x:v>检索阶段排除</x:v>
      </x:c>
      <x:c r="B6" s="6" t="str"/>
      <x:c r="C6" s="6" t="str">
        <x:v>2026年半年度报告摘要</x:v>
      </x:c>
      <x:c r="D6" s="6" t="str">
        <x:v>https://www.hanon.cc/uploads/image/20260818/1787022739.pdf</x:v>
      </x:c>
      <x:c r="E6" s="6" t="str">
        <x:v>未纳入</x:v>
      </x:c>
      <x:c r="F6" s="6" t="str">
        <x:v>已读取完整报告，不重复计算摘要</x:v>
      </x:c>
    </x:row>
    <x:row r="7" ht="40" customHeight="1">
      <x:c r="A7" s="6" t="str">
        <x:v>检索阶段排除</x:v>
      </x:c>
      <x:c r="B7" s="6" t="str"/>
      <x:c r="C7" s="6" t="str">
        <x:v>2025年年度报告摘要</x:v>
      </x:c>
      <x:c r="D7" s="6" t="str">
        <x:v>https://www.hanon.cc/uploads/image/20260317/1773734327.pdf</x:v>
      </x:c>
      <x:c r="E7" s="6" t="str">
        <x:v>未纳入</x:v>
      </x:c>
      <x:c r="F7" s="6" t="str">
        <x:v>完整年报披露日2026-03-16，摘要目录日2026-03-17；不将摘要日期替代完整年报日期。</x:v>
      </x:c>
    </x:row>
    <x:row r="8" ht="34" customHeight="1">
      <x:c r="A8" s="6" t="str">
        <x:v>检索阶段排除</x:v>
      </x:c>
      <x:c r="B8" s="6" t="str"/>
      <x:c r="C8" s="6" t="str">
        <x:v>定制部件</x:v>
      </x:c>
      <x:c r="D8" s="6" t="str">
        <x:v>https://www.hanon.cc/peijian</x:v>
      </x:c>
      <x:c r="E8" s="6" t="str">
        <x:v>未纳入</x:v>
      </x:c>
      <x:c r="F8" s="6" t="str">
        <x:v>清洗正文未呈现定制部件详情，除首页钣金/模塑/流体/机加工标签外未确认能力参数</x:v>
      </x:c>
    </x:row>
    <x:row r="9" ht="34" customHeight="1">
      <x:c r="A9" s="6" t="str">
        <x:v>检索阶段排除</x:v>
      </x:c>
      <x:c r="B9" s="6" t="str"/>
      <x:c r="C9" s="6" t="str">
        <x:v>官网页脚</x:v>
      </x:c>
      <x:c r="D9" s="6" t="str">
        <x:v>https://www.hanon.cc/</x:v>
      </x:c>
      <x:c r="E9" s="6" t="str">
        <x:v>未纳入</x:v>
      </x:c>
      <x:c r="F9" s="6" t="str">
        <x:v>版权主体海能基石技术有限公司不替换海能未来技术集团股份有限公司</x:v>
      </x:c>
    </x:row>
    <x:row r="10" ht="34" customHeight="1">
      <x:c r="A10" s="6" t="str">
        <x:v>检索阶段排除</x:v>
      </x:c>
      <x:c r="B10" s="6" t="str"/>
      <x:c r="C10" s="6" t="str">
        <x:v>德国G.A.S.</x:v>
      </x:c>
      <x:c r="D10" s="6" t="str">
        <x:v>https://www.hanon.cc/konggu/dg_gas0.html</x:v>
      </x:c>
      <x:c r="E10" s="6" t="str">
        <x:v>未纳入</x:v>
      </x:c>
      <x:c r="F10" s="6" t="str">
        <x:v>中国集团联系地址不能解释为德国法律主体注册地址</x:v>
      </x:c>
    </x:row>
    <x:row r="11" ht="40" customHeight="1">
      <x:c r="A11" s="6" t="str">
        <x:v>检索阶段排除</x:v>
      </x:c>
      <x:c r="B11" s="6" t="str"/>
      <x:c r="C11" s="6" t="str">
        <x:v>洗瓶机方案新闻</x:v>
      </x:c>
      <x:c r="D11" s="6" t="str">
        <x:v>https://www.hanon.cc/news/bbgjizcjjsysqlljjfa.html</x:v>
      </x:c>
      <x:c r="E11" s="6" t="str">
        <x:v>未纳入</x:v>
      </x:c>
      <x:c r="F11" s="6" t="str">
        <x:v>厂商参展/产品方案不能解释为已中标或成交；12套与4套程序数量矛盾待核</x:v>
      </x:c>
    </x:row>
    <x:row r="12" ht="34" customHeight="1">
      <x:c r="A12" s="6" t="str">
        <x:v>检索阶段排除</x:v>
      </x:c>
      <x:c r="B12" s="6" t="str"/>
      <x:c r="C12" s="6" t="str">
        <x:v>集团员工数</x:v>
      </x:c>
      <x:c r="D12" s="6" t="str"/>
      <x:c r="E12" s="6" t="str">
        <x:v>未纳入</x:v>
      </x:c>
      <x:c r="F12" s="6" t="str">
        <x:v>本代理未读半年报，不填入566作为直接核查事实；不得复制集团员工数到子公司</x:v>
      </x:c>
    </x:row>
    <x:row r="13" ht="34" customHeight="1">
      <x:c r="A13" s="6" t="str">
        <x:v>检索阶段排除</x:v>
      </x:c>
      <x:c r="B13" s="6" t="str"/>
      <x:c r="C13" s="6" t="str">
        <x:v>上海智能制造基地与建设需求</x:v>
      </x:c>
      <x:c r="D13" s="6" t="str"/>
      <x:c r="E13" s="6" t="str">
        <x:v>未纳入</x:v>
      </x:c>
      <x:c r="F13" s="6" t="str">
        <x:v>20页官网范围未检出明确建设采购公告，本代理未独立覆盖公告附件；不代表无建设需求</x:v>
      </x:c>
    </x:row>
    <x:row r="14" ht="34" customHeight="1">
      <x:c r="A14" s="6" t="str">
        <x:v>检索阶段排除</x:v>
      </x:c>
      <x:c r="B14" s="6" t="str"/>
      <x:c r="C14" s="6" t="str">
        <x:v>历史沿革</x:v>
      </x:c>
      <x:c r="D14" s="6" t="str">
        <x:v>https://www.hanon.cc/about/gsjj</x:v>
      </x:c>
      <x:c r="E14" s="6" t="str">
        <x:v>未纳入</x:v>
      </x:c>
      <x:c r="F14" s="6" t="str">
        <x:v>2006至2024年历史背景可单列，但不计作2025-10-08至2026-10-08新增业务事件</x:v>
      </x:c>
    </x:row>
    <x:row r="15" ht="40" customHeight="1">
      <x:c r="A15" s="6" t="str">
        <x:v>检索阶段排除</x:v>
      </x:c>
      <x:c r="B15" s="6" t="str"/>
      <x:c r="C15" s="6" t="str">
        <x:v>东莞松山湖海能达地块内雨水管道迁改工程勘察测量物探</x:v>
      </x:c>
      <x:c r="D15" s="6" t="str">
        <x:v>https://www.yfbzb.com/winbid/detail/20261008_636408366.html</x:v>
      </x:c>
      <x:c r="E15" s="6" t="str">
        <x:v>未纳入</x:v>
      </x:c>
      <x:c r="F15" s="6" t="str">
        <x:v>标题涉及海能达品牌或地块，与目标海能仪器法律实体未有关系证据；仅列表标题，不纳入目标记录。</x:v>
      </x:c>
    </x:row>
    <x:row r="16" ht="40" customHeight="1">
      <x:c r="A16" s="6" t="str">
        <x:v>检索阶段排除</x:v>
      </x:c>
      <x:c r="B16" s="6" t="str"/>
      <x:c r="C16" s="6" t="str">
        <x:v>关于【东莞松山湖海能达地块内雨水管道迁改工程造价咨询】中选结果的公告</x:v>
      </x:c>
      <x:c r="D16" s="6" t="str">
        <x:v>https://www.yfbzb.com/winbid/detail/20261008_636402463.html</x:v>
      </x:c>
      <x:c r="E16" s="6" t="str">
        <x:v>未纳入</x:v>
      </x:c>
      <x:c r="F16" s="6" t="str">
        <x:v>标题涉及海能达品牌或地块，与目标海能仪器法律实体未有关系证据；仅列表标题，不纳入目标记录。</x:v>
      </x:c>
    </x:row>
    <x:row r="17" ht="40" customHeight="1">
      <x:c r="A17" s="6" t="str">
        <x:v>检索阶段排除</x:v>
      </x:c>
      <x:c r="B17" s="6" t="str"/>
      <x:c r="C17" s="6" t="str">
        <x:v>关于【东莞松山湖海能达地块内雨水管道迁改工程设计】中选结果的公告</x:v>
      </x:c>
      <x:c r="D17" s="6" t="str">
        <x:v>https://www.yfbzb.com/winbid/detail/20261008_636398964.html</x:v>
      </x:c>
      <x:c r="E17" s="6" t="str">
        <x:v>未纳入</x:v>
      </x:c>
      <x:c r="F17" s="6" t="str">
        <x:v>标题涉及海能达品牌或地块，与目标海能仪器法律实体未有关系证据；仅列表标题，不纳入目标记录。</x:v>
      </x:c>
    </x:row>
    <x:row r="18" ht="40" customHeight="1">
      <x:c r="A18" s="6" t="str">
        <x:v>检索阶段排除</x:v>
      </x:c>
      <x:c r="B18" s="6" t="str"/>
      <x:c r="C18" s="6" t="str">
        <x:v>流标公告-江苏海能2026年产业单位第九次物资授权公开谈判采购</x:v>
      </x:c>
      <x:c r="D18" s="6" t="str">
        <x:v>https://www.yfbzb.com/winbid/detail/20260929_635425641.html</x:v>
      </x:c>
      <x:c r="E18" s="6" t="str">
        <x:v>未纳入</x:v>
      </x:c>
      <x:c r="F18" s="6" t="str">
        <x:v>列表标题含同形词，未有目标法律实体的采购人或供应商身份依据，未读全文，不纳入目标记录。</x:v>
      </x:c>
    </x:row>
    <x:row r="19" ht="40" customHeight="1">
      <x:c r="A19" s="6" t="str">
        <x:v>检索阶段排除</x:v>
      </x:c>
      <x:c r="B19" s="6" t="str"/>
      <x:c r="C19" s="6" t="str">
        <x:v>江苏海能2026年产业单位第九次服务授权框架协议公开谈判采购项目预成交公示</x:v>
      </x:c>
      <x:c r="D19" s="6" t="str">
        <x:v>https://www.yfbzb.com/winbid/detail/20260929_635385636.html</x:v>
      </x:c>
      <x:c r="E19" s="6" t="str">
        <x:v>未纳入</x:v>
      </x:c>
      <x:c r="F19" s="6" t="str">
        <x:v>列表标题含同形词，未有目标法律实体的采购人或供应商身份依据，未读全文，不纳入目标记录。</x:v>
      </x:c>
    </x:row>
    <x:row r="20" ht="40" customHeight="1">
      <x:c r="A20" s="6" t="str">
        <x:v>检索阶段排除</x:v>
      </x:c>
      <x:c r="B20" s="6" t="str"/>
      <x:c r="C20" s="6" t="str">
        <x:v>江苏海能2026年产业单位第九次服务授权公开谈判采购项目预成交公示</x:v>
      </x:c>
      <x:c r="D20" s="6" t="str">
        <x:v>https://www.yfbzb.com/winbid/detail/20260929_635379136.html</x:v>
      </x:c>
      <x:c r="E20" s="6" t="str">
        <x:v>未纳入</x:v>
      </x:c>
      <x:c r="F20" s="6" t="str">
        <x:v>列表标题含同形词，未有目标法律实体的采购人或供应商身份依据，未读全文，不纳入目标记录。</x:v>
      </x:c>
    </x:row>
    <x:row r="21" ht="40" customHeight="1">
      <x:c r="A21" s="6" t="str">
        <x:v>检索阶段排除</x:v>
      </x:c>
      <x:c r="B21" s="6" t="str"/>
      <x:c r="C21" s="6" t="str">
        <x:v>中铁建工集团有限公司海能基石科学仪器智能制造基地项目施工总承包预制构件招标采购中标结果公示</x:v>
      </x:c>
      <x:c r="D21" s="6" t="str">
        <x:v>https://www.yfbzb.com/winbid/detail/20260928_634931196.html</x:v>
      </x:c>
      <x:c r="E21" s="6" t="str">
        <x:v>未纳入</x:v>
      </x:c>
      <x:c r="F21" s="6" t="str">
        <x:v>施工总承包预制构件采购，标题项目名涉及海能基石；采购发起标题为中铁建工，已读结果页的中标人为江苏博拓/江苏际铨，不构成海能未来技术集团法律实体采购或中标记录。候选公告全文未读。</x:v>
      </x:c>
    </x:row>
    <x:row r="22" ht="40" customHeight="1">
      <x:c r="A22" s="6" t="str">
        <x:v>检索阶段排除</x:v>
      </x:c>
      <x:c r="B22" s="6" t="str"/>
      <x:c r="C22" s="6" t="str">
        <x:v>关于【嘉滨路渝海能加油站围墙排危拆除工程】中选结果的公告</x:v>
      </x:c>
      <x:c r="D22" s="6" t="str">
        <x:v>https://www.yfbzb.com/winbid/detail/20260928_634816150.html</x:v>
      </x:c>
      <x:c r="E22" s="6" t="str">
        <x:v>未纳入</x:v>
      </x:c>
      <x:c r="F22" s="6" t="str">
        <x:v>列表标题含同形词，未有目标法律实体的采购人或供应商身份依据，未读全文，不纳入目标记录。</x:v>
      </x:c>
    </x:row>
    <x:row r="23" ht="40" customHeight="1">
      <x:c r="A23" s="6" t="str">
        <x:v>检索阶段排除</x:v>
      </x:c>
      <x:c r="B23" s="6" t="str"/>
      <x:c r="C23" s="6" t="str">
        <x:v>福州外理海能达对讲机流标公告</x:v>
      </x:c>
      <x:c r="D23" s="6" t="str">
        <x:v>https://www.yfbzb.com/winbid/detail/20260924_634620857.html</x:v>
      </x:c>
      <x:c r="E23" s="6" t="str">
        <x:v>未纳入</x:v>
      </x:c>
      <x:c r="F23" s="6" t="str">
        <x:v>标题涉及海能达品牌或地块，与目标海能仪器法律实体未有关系证据；仅列表标题，不纳入目标记录。</x:v>
      </x:c>
    </x:row>
    <x:row r="24" ht="40" customHeight="1">
      <x:c r="A24" s="6" t="str">
        <x:v>检索阶段排除</x:v>
      </x:c>
      <x:c r="B24" s="6" t="str"/>
      <x:c r="C24" s="6" t="str">
        <x:v>珠海经济技术开发区装备制造南区海能路东北侧</x:v>
      </x:c>
      <x:c r="D24" s="6" t="str">
        <x:v>https://www.yfbzb.com/winbid/detail/20260924_634447028.html</x:v>
      </x:c>
      <x:c r="E24" s="6" t="str">
        <x:v>未纳入</x:v>
      </x:c>
      <x:c r="F24" s="6" t="str">
        <x:v>列表标题含同形词，未有目标法律实体的采购人或供应商身份依据，未读全文，不纳入目标记录。</x:v>
      </x:c>
    </x:row>
    <x:row r="25" ht="40" customHeight="1">
      <x:c r="A25" s="6" t="str">
        <x:v>检索阶段排除</x:v>
      </x:c>
      <x:c r="B25" s="6" t="str"/>
      <x:c r="C25" s="6" t="str">
        <x:v>海能达大厦接入网机房租赁协议续签2026</x:v>
      </x:c>
      <x:c r="D25" s="6" t="str">
        <x:v>https://www.yfbzb.com/winbid/detail/20260923_634011666.html</x:v>
      </x:c>
      <x:c r="E25" s="6" t="str">
        <x:v>未纳入</x:v>
      </x:c>
      <x:c r="F25" s="6" t="str">
        <x:v>标题涉及海能达品牌或地块，与目标海能仪器法律实体未有关系证据；仅列表标题，不纳入目标记录。</x:v>
      </x:c>
    </x:row>
    <x:row r="26" ht="40" customHeight="1">
      <x:c r="A26" s="6" t="str">
        <x:v>检索阶段排除</x:v>
      </x:c>
      <x:c r="B26" s="6" t="str"/>
      <x:c r="C26" s="6" t="str">
        <x:v>海能达对讲机原装正品电池 BP2402</x:v>
      </x:c>
      <x:c r="D26" s="6" t="str">
        <x:v>https://www.yfbzb.com/winbid/detail/20260923_633896754.html</x:v>
      </x:c>
      <x:c r="E26" s="6" t="str">
        <x:v>未纳入</x:v>
      </x:c>
      <x:c r="F26" s="6" t="str">
        <x:v>标题涉及海能达品牌或地块，与目标海能仪器法律实体未有关系证据；仅列表标题，不纳入目标记录。</x:v>
      </x:c>
    </x:row>
    <x:row r="27" ht="40" customHeight="1">
      <x:c r="A27" s="6" t="str">
        <x:v>检索阶段排除</x:v>
      </x:c>
      <x:c r="B27" s="6" t="str"/>
      <x:c r="C27" s="6" t="str">
        <x:v>中铁建工集团有限公司海能基石科学仪器智能制造基地项目施工总承包预制构件招标采购中标候选人公示</x:v>
      </x:c>
      <x:c r="D27" s="6" t="str">
        <x:v>https://www.yfbzb.com/winbid/detail/20260921_633316851.html</x:v>
      </x:c>
      <x:c r="E27" s="6" t="str">
        <x:v>未纳入</x:v>
      </x:c>
      <x:c r="F27" s="6" t="str">
        <x:v>施工总承包预制构件采购，标题项目名涉及海能基石；采购发起标题为中铁建工，已读结果页的中标人为江苏博拓/江苏际铨，不构成海能未来技术集团法律实体采购或中标记录。候选公告全文未读。</x:v>
      </x:c>
    </x:row>
    <x:row r="28" ht="40" customHeight="1">
      <x:c r="A28" s="6" t="str">
        <x:v>检索阶段排除</x:v>
      </x:c>
      <x:c r="B28" s="6" t="str"/>
      <x:c r="C28" s="6" t="str">
        <x:v>四川海能天源电力有限公司南门关电站防雷接地检测服务(三次)成交结果公示</x:v>
      </x:c>
      <x:c r="D28" s="6" t="str">
        <x:v>https://www.yfbzb.com/winbid/detail/20260920_632735761.html</x:v>
      </x:c>
      <x:c r="E28" s="6" t="str">
        <x:v>未纳入</x:v>
      </x:c>
      <x:c r="F28" s="6" t="str">
        <x:v>列表标题含同形词，未有目标法律实体的采购人或供应商身份依据，未读全文，不纳入目标记录。</x:v>
      </x:c>
    </x:row>
    <x:row r="29" ht="40" customHeight="1">
      <x:c r="A29" s="6" t="str">
        <x:v>检索阶段排除</x:v>
      </x:c>
      <x:c r="B29" s="6" t="str"/>
      <x:c r="C29" s="6" t="str">
        <x:v>海能达 HP780对讲机（含备用电池和耳机）</x:v>
      </x:c>
      <x:c r="D29" s="6" t="str">
        <x:v>https://www.yfbzb.com/winbid/detail/20260918_632245642.html</x:v>
      </x:c>
      <x:c r="E29" s="6" t="str">
        <x:v>未纳入</x:v>
      </x:c>
      <x:c r="F29" s="6" t="str">
        <x:v>标题涉及海能达品牌或地块，与目标海能仪器法律实体未有关系证据；仅列表标题，不纳入目标记录。</x:v>
      </x:c>
    </x:row>
    <x:row r="30" ht="40" customHeight="1">
      <x:c r="A30" s="6" t="str">
        <x:v>检索阶段排除</x:v>
      </x:c>
      <x:c r="B30" s="6" t="str"/>
      <x:c r="C30" s="6" t="str">
        <x:v>海能公司员工宿舍租赁合同（2026-2029）项目直接采购成交结果公示</x:v>
      </x:c>
      <x:c r="D30" s="6" t="str">
        <x:v>https://www.yfbzb.com/winbid/detail/20260917_632166980.html</x:v>
      </x:c>
      <x:c r="E30" s="6" t="str">
        <x:v>未纳入</x:v>
      </x:c>
      <x:c r="F30" s="6" t="str">
        <x:v>已读公开正文涉及中国广核集团监督部门和中广核研究院落款，成交供应商为惠州市兴广和；采购单位被遮挡，不能把简称海能公司视为目标股份公司。</x:v>
      </x:c>
    </x:row>
    <x:row r="31" ht="40" customHeight="1">
      <x:c r="A31" s="6" t="str">
        <x:v>检索阶段排除</x:v>
      </x:c>
      <x:c r="B31" s="6" t="str"/>
      <x:c r="C31" s="6" t="str">
        <x:v>终止询比价公告-新疆中泰化学股份有限公司-托克逊能化海能达对讲机服务器机相关配套采购</x:v>
      </x:c>
      <x:c r="D31" s="6" t="str">
        <x:v>https://www.yfbzb.com/winbid/detail/20260917_631962325.html</x:v>
      </x:c>
      <x:c r="E31" s="6" t="str">
        <x:v>未纳入</x:v>
      </x:c>
      <x:c r="F31" s="6" t="str">
        <x:v>标题涉及海能达品牌或地块，与目标海能仪器法律实体未有关系证据；仅列表标题，不纳入目标记录。</x:v>
      </x:c>
    </x:row>
    <x:row r="32" ht="40" customHeight="1">
      <x:c r="A32" s="6" t="str">
        <x:v>检索阶段排除</x:v>
      </x:c>
      <x:c r="B32" s="6" t="str"/>
      <x:c r="C32" s="6" t="str">
        <x:v>海能达 BD550 对讲机</x:v>
      </x:c>
      <x:c r="D32" s="6" t="str">
        <x:v>https://www.yfbzb.com/winbid/detail/20260915_631287050.html</x:v>
      </x:c>
      <x:c r="E32" s="6" t="str">
        <x:v>未纳入</x:v>
      </x:c>
      <x:c r="F32" s="6" t="str">
        <x:v>标题涉及海能达品牌或地块，与目标海能仪器法律实体未有关系证据；仅列表标题，不纳入目标记录。</x:v>
      </x:c>
    </x:row>
    <x:row r="33" ht="40" customHeight="1">
      <x:c r="A33" s="6" t="str">
        <x:v>检索阶段排除</x:v>
      </x:c>
      <x:c r="B33" s="6" t="str"/>
      <x:c r="C33" s="6" t="str">
        <x:v>海能达对讲系统管理平台反拍成交公告</x:v>
      </x:c>
      <x:c r="D33" s="6" t="str">
        <x:v>https://www.yfbzb.com/winbid/detail/20260915_631148618.html</x:v>
      </x:c>
      <x:c r="E33" s="6" t="str">
        <x:v>未纳入</x:v>
      </x:c>
      <x:c r="F33" s="6" t="str">
        <x:v>标题涉及海能达品牌或地块，与目标海能仪器法律实体未有关系证据；仅列表标题，不纳入目标记录。</x:v>
      </x:c>
    </x:row>
    <x:row r="34" ht="40" customHeight="1">
      <x:c r="A34" s="6" t="str">
        <x:v>检索阶段排除</x:v>
      </x:c>
      <x:c r="B34" s="6" t="str"/>
      <x:c r="C34" s="6" t="str">
        <x:v>天津海能科技创新园二期变更项目5#~7#楼合同订立信息公告</x:v>
      </x:c>
      <x:c r="D34" s="6" t="str">
        <x:v>https://www.yfbzb.com/winbid/detail/20260909_629510905.html</x:v>
      </x:c>
      <x:c r="E34" s="6" t="str">
        <x:v>未纳入</x:v>
      </x:c>
      <x:c r="F34" s="6" t="str">
        <x:v>已读公开正文甲方名称遮挡，乙方为北京鹏丹建设集团；天津园区名不足以证明目标法律实体身份或关联，不纳入目标采购。</x:v>
      </x:c>
    </x:row>
    <x:row r="35" ht="40" customHeight="1">
      <x:c r="A35" s="6" t="str">
        <x:v>检索阶段排除</x:v>
      </x:c>
      <x:c r="B35" s="6" t="str"/>
      <x:c r="C35" s="6" t="str">
        <x:v>海能达对讲系统管理平台反拍终止公告</x:v>
      </x:c>
      <x:c r="D35" s="6" t="str">
        <x:v>https://www.yfbzb.com/winbid/detail/20260908_628968242.html</x:v>
      </x:c>
      <x:c r="E35" s="6" t="str">
        <x:v>未纳入</x:v>
      </x:c>
      <x:c r="F35" s="6" t="str">
        <x:v>标题涉及海能达品牌或地块，与目标海能仪器法律实体未有关系证据；仅列表标题，不纳入目标记录。</x:v>
      </x:c>
    </x:row>
    <x:row r="36" ht="40" customHeight="1">
      <x:c r="A36" s="6" t="str">
        <x:v>replace_note</x:v>
      </x:c>
      <x:c r="B36" s="6" t="str">
        <x:v>P015</x:v>
      </x:c>
      <x:c r="C36" s="6" t="str">
        <x:v>note</x:v>
      </x:c>
      <x:c r="D36" s="6" t="str">
        <x:v>设备金额按389000元/台×2台推导；整个项目中标827.68万元不可归于海能。</x:v>
      </x:c>
      <x:c r="E36" s="6" t="str">
        <x:v>海能K1160单价292000元×1台=292000元；整个项目中标827.68万元不可归于海能。</x:v>
      </x:c>
      <x:c r="F36" s="6" t="str">
        <x:v>同一来源微波消解仪备注误复制给凯氏定氮仪，当前金额292000元正确。</x:v>
      </x:c>
    </x:row>
    <x:row r="37" ht="56" customHeight="1">
      <x:c r="A37" s="6" t="str">
        <x:v>replace_title</x:v>
      </x:c>
      <x:c r="B37" s="6" t="str">
        <x:v>P005</x:v>
      </x:c>
      <x:c r="C37" s="6" t="str">
        <x:v>title</x:v>
      </x:c>
      <x:c r="D37" s="6" t="str">
        <x:v>公告代码：0413010020251021017采购方式：公开招标项目名称：石家庄学院2025年教学科研设备采购项目联系人：刘若愚联系方式:0311-83086953代理机构：河北省成套招标有限公司行政区划名称：，必联网中国领先的采购与招标电子商务网站!"&gt;</x:v>
      </x:c>
      <x:c r="E37" s="6" t="str">
        <x:v>石家庄学院 2025 年教学科研设备项目公开招标中标公告</x:v>
      </x:c>
      <x:c r="F37" s="6" t="str">
        <x:v>抓取器误把meta description当成标题，HTML title和h2提供干净标题。</x:v>
      </x:c>
    </x:row>
    <x:row r="38" ht="40" customHeight="1">
      <x:c r="A38" s="6" t="str">
        <x:v>optional_add_metadata_only</x:v>
      </x:c>
      <x:c r="B38" s="6" t="str">
        <x:v>P006</x:v>
      </x:c>
      <x:c r="C38" s="6" t="str">
        <x:v>amount_numeric</x:v>
      </x:c>
      <x:c r="D38" s="6" t="str"/>
      <x:c r="E38" s="15" t="str">
        <x:v>399500</x:v>
      </x:c>
      <x:c r="F38" s="6" t="str">
        <x:v>公开meta description披露399500元，正文金额和单价仍脱敏；只能标注元数据披露的项目成交金额，不应标为已核验设备明细金额。</x:v>
      </x:c>
    </x:row>
    <x:row r="39" ht="40" customHeight="1">
      <x:c r="A39" s="6" t="str">
        <x:v>optional_add_title_identifier</x:v>
      </x:c>
      <x:c r="B39" s="6" t="str">
        <x:v>P006</x:v>
      </x:c>
      <x:c r="C39" s="6" t="str">
        <x:v>project_id</x:v>
      </x:c>
      <x:c r="D39" s="6" t="str"/>
      <x:c r="E39" s="6" t="str">
        <x:v>HF20262621</x:v>
      </x:c>
      <x:c r="F39" s="6" t="str">
        <x:v>编号已在公开title及h2出现，可标为标题编号来源。</x:v>
      </x:c>
    </x:row>
    <x:row r="40" ht="40" customHeight="1">
      <x:c r="A40" s="6" t="str">
        <x:v>clarify_contact_role</x:v>
      </x:c>
      <x:c r="B40" s="6" t="str">
        <x:v>P015</x:v>
      </x:c>
      <x:c r="C40" s="6" t="str">
        <x:v>contact_role</x:v>
      </x:c>
      <x:c r="D40" s="6" t="str">
        <x:v>项目联系人/代理机构（非海能采购联系人）</x:v>
      </x:c>
      <x:c r="E40" s="6" t="str">
        <x:v>采购人/项目联系人（非海能采购联系人）</x:v>
      </x:c>
      <x:c r="F40" s="6" t="str">
        <x:v>秦邦的号码13886777440同时是采购单位联系方式；代理机构联系方式另为15288286995，联合标注代理机构容易误读。</x:v>
      </x:c>
    </x:row>
    <x:row r="41" ht="40" customHeight="1">
      <x:c r="A41" s="6" t="str">
        <x:v>clarify_contact_role</x:v>
      </x:c>
      <x:c r="B41" s="6" t="str">
        <x:v>P015</x:v>
      </x:c>
      <x:c r="C41" s="6" t="str">
        <x:v>contact_role</x:v>
      </x:c>
      <x:c r="D41" s="6" t="str">
        <x:v>项目联系人/代理机构（非海能采购联系人）</x:v>
      </x:c>
      <x:c r="E41" s="6" t="str">
        <x:v>采购人/项目联系人（非海能采购联系人）</x:v>
      </x:c>
      <x:c r="F41" s="6" t="str">
        <x:v>秦邦的号码13886777440同时是采购单位联系方式；代理机构联系方式另为15288286995，联合标注代理机构容易误读。</x:v>
      </x:c>
    </x:row>
    <x:row r="42" ht="34" customHeight="1">
      <x:c r="A42" s="6" t="str">
        <x:v>保留设备明细</x:v>
      </x:c>
      <x:c r="B42" s="6" t="str">
        <x:v>P013</x:v>
      </x:c>
      <x:c r="C42" s="6" t="str">
        <x:v>DZHG(2026)020</x:v>
      </x:c>
      <x:c r="D42" s="6" t="str">
        <x:v>同一公告多行</x:v>
      </x:c>
      <x:c r="E42" s="6" t="str">
        <x:v>按设备明细保留，公告数去重</x:v>
      </x:c>
      <x:c r="F42" s="6" t="str">
        <x:v>同公告多个真实设备行，不是重复项目；聚合时项目计数只记一次，设备金额保留各行。</x:v>
      </x:c>
    </x:row>
    <x:row r="43" ht="34" customHeight="1">
      <x:c r="A43" s="6" t="str">
        <x:v>保留设备明细</x:v>
      </x:c>
      <x:c r="B43" s="6" t="str">
        <x:v>P015</x:v>
      </x:c>
      <x:c r="C43" s="6" t="str">
        <x:v>HBGL-ZB（2026）005_二</x:v>
      </x:c>
      <x:c r="D43" s="6" t="str">
        <x:v>同一公告多行</x:v>
      </x:c>
      <x:c r="E43" s="6" t="str">
        <x:v>按设备明细保留，公告数去重</x:v>
      </x:c>
      <x:c r="F43" s="6" t="str">
        <x:v>同公告多个真实设备行，不是重复项目；聚合时项目计数只记一次，设备金额保留各行。</x:v>
      </x:c>
    </x:row>
  </x:sheetData>
  <x:pageMargins left="0.7" right="0.7" top="0.75" bottom="0.75" header="0.3" footer="0.3"/>
  <x:tableParts count="1">
    <x:tablePart xmlns:r="http://schemas.openxmlformats.org/officeDocument/2006/relationships" r:id="R3a08a8c9d6bf47c4"/>
  </x:tableParts>
</x:worksheet>
</file>